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a\Downloads\"/>
    </mc:Choice>
  </mc:AlternateContent>
  <xr:revisionPtr revIDLastSave="0" documentId="13_ncr:1_{1B7F9B16-208A-4C5C-8AB3-D227C685CB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1" sheetId="2" r:id="rId1"/>
    <sheet name="bike_buyers" sheetId="1" r:id="rId2"/>
  </sheets>
  <definedNames>
    <definedName name="_xlnm._FilterDatabase" localSheetId="1" hidden="1">bike_buyers!$A$1:$M$1001</definedName>
    <definedName name="ExternalData_1" localSheetId="0" hidden="1">Table1!$A$1:$N$1001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O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K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R2" i="2"/>
  <c r="U2" i="2" s="1"/>
  <c r="R3" i="2"/>
  <c r="U3" i="2" s="1"/>
  <c r="R4" i="2"/>
  <c r="U4" i="2" s="1"/>
  <c r="R5" i="2"/>
  <c r="U5" i="2" s="1"/>
  <c r="R6" i="2"/>
  <c r="U6" i="2" s="1"/>
  <c r="R7" i="2"/>
  <c r="U7" i="2" s="1"/>
  <c r="R8" i="2"/>
  <c r="U8" i="2" s="1"/>
  <c r="R9" i="2"/>
  <c r="U9" i="2" s="1"/>
  <c r="R10" i="2"/>
  <c r="U10" i="2" s="1"/>
  <c r="R11" i="2"/>
  <c r="U11" i="2" s="1"/>
  <c r="R12" i="2"/>
  <c r="U12" i="2" s="1"/>
  <c r="R13" i="2"/>
  <c r="U13" i="2" s="1"/>
  <c r="R14" i="2"/>
  <c r="U14" i="2" s="1"/>
  <c r="R15" i="2"/>
  <c r="U15" i="2" s="1"/>
  <c r="R16" i="2"/>
  <c r="U16" i="2" s="1"/>
  <c r="R17" i="2"/>
  <c r="U17" i="2" s="1"/>
  <c r="R18" i="2"/>
  <c r="U18" i="2" s="1"/>
  <c r="R19" i="2"/>
  <c r="U19" i="2" s="1"/>
  <c r="R20" i="2"/>
  <c r="U20" i="2" s="1"/>
  <c r="R21" i="2"/>
  <c r="U21" i="2" s="1"/>
  <c r="R22" i="2"/>
  <c r="U22" i="2" s="1"/>
  <c r="R23" i="2"/>
  <c r="U23" i="2" s="1"/>
  <c r="R24" i="2"/>
  <c r="U24" i="2" s="1"/>
  <c r="R25" i="2"/>
  <c r="U25" i="2" s="1"/>
  <c r="R26" i="2"/>
  <c r="U26" i="2" s="1"/>
  <c r="R27" i="2"/>
  <c r="U27" i="2" s="1"/>
  <c r="R28" i="2"/>
  <c r="U28" i="2" s="1"/>
  <c r="R29" i="2"/>
  <c r="U29" i="2" s="1"/>
  <c r="R30" i="2"/>
  <c r="U30" i="2" s="1"/>
  <c r="R31" i="2"/>
  <c r="U31" i="2" s="1"/>
  <c r="R32" i="2"/>
  <c r="U32" i="2" s="1"/>
  <c r="R33" i="2"/>
  <c r="U33" i="2" s="1"/>
  <c r="R34" i="2"/>
  <c r="U34" i="2" s="1"/>
  <c r="R35" i="2"/>
  <c r="U35" i="2" s="1"/>
  <c r="R36" i="2"/>
  <c r="U36" i="2" s="1"/>
  <c r="R37" i="2"/>
  <c r="U37" i="2" s="1"/>
  <c r="R38" i="2"/>
  <c r="U38" i="2" s="1"/>
  <c r="R39" i="2"/>
  <c r="U39" i="2" s="1"/>
  <c r="R40" i="2"/>
  <c r="U40" i="2" s="1"/>
  <c r="R41" i="2"/>
  <c r="U41" i="2" s="1"/>
  <c r="R42" i="2"/>
  <c r="U42" i="2" s="1"/>
  <c r="R43" i="2"/>
  <c r="U43" i="2" s="1"/>
  <c r="R44" i="2"/>
  <c r="U44" i="2" s="1"/>
  <c r="R45" i="2"/>
  <c r="U45" i="2" s="1"/>
  <c r="R46" i="2"/>
  <c r="U46" i="2" s="1"/>
  <c r="R47" i="2"/>
  <c r="U47" i="2" s="1"/>
  <c r="R48" i="2"/>
  <c r="U48" i="2" s="1"/>
  <c r="R49" i="2"/>
  <c r="U49" i="2" s="1"/>
  <c r="R50" i="2"/>
  <c r="U50" i="2" s="1"/>
  <c r="R51" i="2"/>
  <c r="U51" i="2" s="1"/>
  <c r="R52" i="2"/>
  <c r="U52" i="2" s="1"/>
  <c r="R53" i="2"/>
  <c r="U53" i="2" s="1"/>
  <c r="R54" i="2"/>
  <c r="U54" i="2" s="1"/>
  <c r="R55" i="2"/>
  <c r="U55" i="2" s="1"/>
  <c r="R56" i="2"/>
  <c r="U56" i="2" s="1"/>
  <c r="R57" i="2"/>
  <c r="U57" i="2" s="1"/>
  <c r="R58" i="2"/>
  <c r="U58" i="2" s="1"/>
  <c r="R59" i="2"/>
  <c r="U59" i="2" s="1"/>
  <c r="R60" i="2"/>
  <c r="U60" i="2" s="1"/>
  <c r="R61" i="2"/>
  <c r="U61" i="2" s="1"/>
  <c r="R62" i="2"/>
  <c r="U62" i="2" s="1"/>
  <c r="R63" i="2"/>
  <c r="U63" i="2" s="1"/>
  <c r="R64" i="2"/>
  <c r="U64" i="2" s="1"/>
  <c r="R65" i="2"/>
  <c r="U65" i="2" s="1"/>
  <c r="R66" i="2"/>
  <c r="U66" i="2" s="1"/>
  <c r="R67" i="2"/>
  <c r="U67" i="2" s="1"/>
  <c r="R68" i="2"/>
  <c r="U68" i="2" s="1"/>
  <c r="R69" i="2"/>
  <c r="U69" i="2" s="1"/>
  <c r="R70" i="2"/>
  <c r="U70" i="2" s="1"/>
  <c r="R71" i="2"/>
  <c r="U71" i="2" s="1"/>
  <c r="R72" i="2"/>
  <c r="U72" i="2" s="1"/>
  <c r="R73" i="2"/>
  <c r="U73" i="2" s="1"/>
  <c r="R74" i="2"/>
  <c r="U74" i="2" s="1"/>
  <c r="R75" i="2"/>
  <c r="U75" i="2" s="1"/>
  <c r="R76" i="2"/>
  <c r="U76" i="2" s="1"/>
  <c r="R77" i="2"/>
  <c r="U77" i="2" s="1"/>
  <c r="R78" i="2"/>
  <c r="U78" i="2" s="1"/>
  <c r="R79" i="2"/>
  <c r="U79" i="2" s="1"/>
  <c r="R80" i="2"/>
  <c r="U80" i="2" s="1"/>
  <c r="R81" i="2"/>
  <c r="U81" i="2" s="1"/>
  <c r="R82" i="2"/>
  <c r="U82" i="2" s="1"/>
  <c r="R83" i="2"/>
  <c r="U83" i="2" s="1"/>
  <c r="R84" i="2"/>
  <c r="U84" i="2" s="1"/>
  <c r="R85" i="2"/>
  <c r="U85" i="2" s="1"/>
  <c r="R86" i="2"/>
  <c r="U86" i="2" s="1"/>
  <c r="R87" i="2"/>
  <c r="U87" i="2" s="1"/>
  <c r="R88" i="2"/>
  <c r="U88" i="2" s="1"/>
  <c r="R89" i="2"/>
  <c r="U89" i="2" s="1"/>
  <c r="R90" i="2"/>
  <c r="U90" i="2" s="1"/>
  <c r="R91" i="2"/>
  <c r="U91" i="2" s="1"/>
  <c r="R92" i="2"/>
  <c r="U92" i="2" s="1"/>
  <c r="R93" i="2"/>
  <c r="U93" i="2" s="1"/>
  <c r="R94" i="2"/>
  <c r="U94" i="2" s="1"/>
  <c r="R95" i="2"/>
  <c r="U95" i="2" s="1"/>
  <c r="R96" i="2"/>
  <c r="U96" i="2" s="1"/>
  <c r="R97" i="2"/>
  <c r="U97" i="2" s="1"/>
  <c r="R98" i="2"/>
  <c r="U98" i="2" s="1"/>
  <c r="R99" i="2"/>
  <c r="U99" i="2" s="1"/>
  <c r="R100" i="2"/>
  <c r="U100" i="2" s="1"/>
  <c r="R101" i="2"/>
  <c r="U101" i="2" s="1"/>
  <c r="R102" i="2"/>
  <c r="U102" i="2" s="1"/>
  <c r="R103" i="2"/>
  <c r="U103" i="2" s="1"/>
  <c r="R104" i="2"/>
  <c r="U104" i="2" s="1"/>
  <c r="R105" i="2"/>
  <c r="U105" i="2" s="1"/>
  <c r="R106" i="2"/>
  <c r="U106" i="2" s="1"/>
  <c r="R107" i="2"/>
  <c r="U107" i="2" s="1"/>
  <c r="R108" i="2"/>
  <c r="U108" i="2" s="1"/>
  <c r="R109" i="2"/>
  <c r="U109" i="2" s="1"/>
  <c r="R110" i="2"/>
  <c r="U110" i="2" s="1"/>
  <c r="R111" i="2"/>
  <c r="U111" i="2" s="1"/>
  <c r="R112" i="2"/>
  <c r="U112" i="2" s="1"/>
  <c r="R113" i="2"/>
  <c r="U113" i="2" s="1"/>
  <c r="R114" i="2"/>
  <c r="U114" i="2" s="1"/>
  <c r="R115" i="2"/>
  <c r="U115" i="2" s="1"/>
  <c r="R116" i="2"/>
  <c r="U116" i="2" s="1"/>
  <c r="R117" i="2"/>
  <c r="U117" i="2" s="1"/>
  <c r="R118" i="2"/>
  <c r="U118" i="2" s="1"/>
  <c r="R119" i="2"/>
  <c r="U119" i="2" s="1"/>
  <c r="R120" i="2"/>
  <c r="U120" i="2" s="1"/>
  <c r="R121" i="2"/>
  <c r="U121" i="2" s="1"/>
  <c r="R122" i="2"/>
  <c r="U122" i="2" s="1"/>
  <c r="R123" i="2"/>
  <c r="U123" i="2" s="1"/>
  <c r="R124" i="2"/>
  <c r="U124" i="2" s="1"/>
  <c r="R125" i="2"/>
  <c r="U125" i="2" s="1"/>
  <c r="R126" i="2"/>
  <c r="U126" i="2" s="1"/>
  <c r="R127" i="2"/>
  <c r="U127" i="2" s="1"/>
  <c r="R128" i="2"/>
  <c r="U128" i="2" s="1"/>
  <c r="R129" i="2"/>
  <c r="U129" i="2" s="1"/>
  <c r="R130" i="2"/>
  <c r="U130" i="2" s="1"/>
  <c r="R131" i="2"/>
  <c r="U131" i="2" s="1"/>
  <c r="R132" i="2"/>
  <c r="U132" i="2" s="1"/>
  <c r="R133" i="2"/>
  <c r="U133" i="2" s="1"/>
  <c r="R134" i="2"/>
  <c r="U134" i="2" s="1"/>
  <c r="R135" i="2"/>
  <c r="U135" i="2" s="1"/>
  <c r="R136" i="2"/>
  <c r="U136" i="2" s="1"/>
  <c r="R137" i="2"/>
  <c r="U137" i="2" s="1"/>
  <c r="R138" i="2"/>
  <c r="U138" i="2" s="1"/>
  <c r="R139" i="2"/>
  <c r="U139" i="2" s="1"/>
  <c r="R140" i="2"/>
  <c r="U140" i="2" s="1"/>
  <c r="R141" i="2"/>
  <c r="U141" i="2" s="1"/>
  <c r="R142" i="2"/>
  <c r="U142" i="2" s="1"/>
  <c r="R143" i="2"/>
  <c r="U143" i="2" s="1"/>
  <c r="R144" i="2"/>
  <c r="U144" i="2" s="1"/>
  <c r="R145" i="2"/>
  <c r="U145" i="2" s="1"/>
  <c r="R146" i="2"/>
  <c r="U146" i="2" s="1"/>
  <c r="R147" i="2"/>
  <c r="U147" i="2" s="1"/>
  <c r="R148" i="2"/>
  <c r="U148" i="2" s="1"/>
  <c r="R149" i="2"/>
  <c r="U149" i="2" s="1"/>
  <c r="R150" i="2"/>
  <c r="U150" i="2" s="1"/>
  <c r="R151" i="2"/>
  <c r="U151" i="2" s="1"/>
  <c r="R152" i="2"/>
  <c r="U152" i="2" s="1"/>
  <c r="R153" i="2"/>
  <c r="U153" i="2" s="1"/>
  <c r="R154" i="2"/>
  <c r="U154" i="2" s="1"/>
  <c r="R155" i="2"/>
  <c r="U155" i="2" s="1"/>
  <c r="R156" i="2"/>
  <c r="U156" i="2" s="1"/>
  <c r="R157" i="2"/>
  <c r="U157" i="2" s="1"/>
  <c r="R158" i="2"/>
  <c r="U158" i="2" s="1"/>
  <c r="R159" i="2"/>
  <c r="U159" i="2" s="1"/>
  <c r="R160" i="2"/>
  <c r="U160" i="2" s="1"/>
  <c r="R161" i="2"/>
  <c r="U161" i="2" s="1"/>
  <c r="R162" i="2"/>
  <c r="U162" i="2" s="1"/>
  <c r="R163" i="2"/>
  <c r="U163" i="2" s="1"/>
  <c r="R164" i="2"/>
  <c r="U164" i="2" s="1"/>
  <c r="R165" i="2"/>
  <c r="U165" i="2" s="1"/>
  <c r="R166" i="2"/>
  <c r="U166" i="2" s="1"/>
  <c r="R167" i="2"/>
  <c r="U167" i="2" s="1"/>
  <c r="R168" i="2"/>
  <c r="U168" i="2" s="1"/>
  <c r="R169" i="2"/>
  <c r="U169" i="2" s="1"/>
  <c r="R170" i="2"/>
  <c r="U170" i="2" s="1"/>
  <c r="R171" i="2"/>
  <c r="U171" i="2" s="1"/>
  <c r="R172" i="2"/>
  <c r="U172" i="2" s="1"/>
  <c r="R173" i="2"/>
  <c r="U173" i="2" s="1"/>
  <c r="R174" i="2"/>
  <c r="U174" i="2" s="1"/>
  <c r="R175" i="2"/>
  <c r="U175" i="2" s="1"/>
  <c r="R176" i="2"/>
  <c r="U176" i="2" s="1"/>
  <c r="R177" i="2"/>
  <c r="U177" i="2" s="1"/>
  <c r="R178" i="2"/>
  <c r="U178" i="2" s="1"/>
  <c r="R179" i="2"/>
  <c r="U179" i="2" s="1"/>
  <c r="R180" i="2"/>
  <c r="U180" i="2" s="1"/>
  <c r="R181" i="2"/>
  <c r="U181" i="2" s="1"/>
  <c r="R182" i="2"/>
  <c r="U182" i="2" s="1"/>
  <c r="R183" i="2"/>
  <c r="U183" i="2" s="1"/>
  <c r="R184" i="2"/>
  <c r="U184" i="2" s="1"/>
  <c r="R185" i="2"/>
  <c r="U185" i="2" s="1"/>
  <c r="R186" i="2"/>
  <c r="U186" i="2" s="1"/>
  <c r="R187" i="2"/>
  <c r="U187" i="2" s="1"/>
  <c r="R188" i="2"/>
  <c r="U188" i="2" s="1"/>
  <c r="R189" i="2"/>
  <c r="U189" i="2" s="1"/>
  <c r="R190" i="2"/>
  <c r="U190" i="2" s="1"/>
  <c r="R191" i="2"/>
  <c r="U191" i="2" s="1"/>
  <c r="R192" i="2"/>
  <c r="U192" i="2" s="1"/>
  <c r="R193" i="2"/>
  <c r="U193" i="2" s="1"/>
  <c r="R194" i="2"/>
  <c r="U194" i="2" s="1"/>
  <c r="R195" i="2"/>
  <c r="U195" i="2" s="1"/>
  <c r="R196" i="2"/>
  <c r="U196" i="2" s="1"/>
  <c r="R197" i="2"/>
  <c r="U197" i="2" s="1"/>
  <c r="R198" i="2"/>
  <c r="U198" i="2" s="1"/>
  <c r="R199" i="2"/>
  <c r="U199" i="2" s="1"/>
  <c r="R200" i="2"/>
  <c r="U200" i="2" s="1"/>
  <c r="R201" i="2"/>
  <c r="U201" i="2" s="1"/>
  <c r="R202" i="2"/>
  <c r="U202" i="2" s="1"/>
  <c r="R203" i="2"/>
  <c r="U203" i="2" s="1"/>
  <c r="R204" i="2"/>
  <c r="U204" i="2" s="1"/>
  <c r="R205" i="2"/>
  <c r="U205" i="2" s="1"/>
  <c r="R206" i="2"/>
  <c r="U206" i="2" s="1"/>
  <c r="R207" i="2"/>
  <c r="U207" i="2" s="1"/>
  <c r="R208" i="2"/>
  <c r="U208" i="2" s="1"/>
  <c r="R209" i="2"/>
  <c r="U209" i="2" s="1"/>
  <c r="R210" i="2"/>
  <c r="U210" i="2" s="1"/>
  <c r="R211" i="2"/>
  <c r="U211" i="2" s="1"/>
  <c r="R212" i="2"/>
  <c r="U212" i="2" s="1"/>
  <c r="R213" i="2"/>
  <c r="U213" i="2" s="1"/>
  <c r="R214" i="2"/>
  <c r="U214" i="2" s="1"/>
  <c r="R215" i="2"/>
  <c r="U215" i="2" s="1"/>
  <c r="R216" i="2"/>
  <c r="U216" i="2" s="1"/>
  <c r="R217" i="2"/>
  <c r="U217" i="2" s="1"/>
  <c r="R218" i="2"/>
  <c r="U218" i="2" s="1"/>
  <c r="R219" i="2"/>
  <c r="U219" i="2" s="1"/>
  <c r="R220" i="2"/>
  <c r="U220" i="2" s="1"/>
  <c r="R221" i="2"/>
  <c r="U221" i="2" s="1"/>
  <c r="R222" i="2"/>
  <c r="U222" i="2" s="1"/>
  <c r="R223" i="2"/>
  <c r="U223" i="2" s="1"/>
  <c r="R224" i="2"/>
  <c r="U224" i="2" s="1"/>
  <c r="R225" i="2"/>
  <c r="U225" i="2" s="1"/>
  <c r="R226" i="2"/>
  <c r="U226" i="2" s="1"/>
  <c r="R227" i="2"/>
  <c r="U227" i="2" s="1"/>
  <c r="R228" i="2"/>
  <c r="U228" i="2" s="1"/>
  <c r="R229" i="2"/>
  <c r="U229" i="2" s="1"/>
  <c r="R230" i="2"/>
  <c r="U230" i="2" s="1"/>
  <c r="R231" i="2"/>
  <c r="U231" i="2" s="1"/>
  <c r="R232" i="2"/>
  <c r="U232" i="2" s="1"/>
  <c r="R233" i="2"/>
  <c r="U233" i="2" s="1"/>
  <c r="R234" i="2"/>
  <c r="U234" i="2" s="1"/>
  <c r="R235" i="2"/>
  <c r="U235" i="2" s="1"/>
  <c r="R236" i="2"/>
  <c r="U236" i="2" s="1"/>
  <c r="R237" i="2"/>
  <c r="U237" i="2" s="1"/>
  <c r="R238" i="2"/>
  <c r="U238" i="2" s="1"/>
  <c r="R239" i="2"/>
  <c r="U239" i="2" s="1"/>
  <c r="R240" i="2"/>
  <c r="U240" i="2" s="1"/>
  <c r="R241" i="2"/>
  <c r="U241" i="2" s="1"/>
  <c r="R242" i="2"/>
  <c r="U242" i="2" s="1"/>
  <c r="R243" i="2"/>
  <c r="U243" i="2" s="1"/>
  <c r="R244" i="2"/>
  <c r="U244" i="2" s="1"/>
  <c r="R245" i="2"/>
  <c r="U245" i="2" s="1"/>
  <c r="R246" i="2"/>
  <c r="U246" i="2" s="1"/>
  <c r="R247" i="2"/>
  <c r="U247" i="2" s="1"/>
  <c r="R248" i="2"/>
  <c r="U248" i="2" s="1"/>
  <c r="R249" i="2"/>
  <c r="U249" i="2" s="1"/>
  <c r="R250" i="2"/>
  <c r="U250" i="2" s="1"/>
  <c r="R251" i="2"/>
  <c r="U251" i="2" s="1"/>
  <c r="R252" i="2"/>
  <c r="U252" i="2" s="1"/>
  <c r="R253" i="2"/>
  <c r="U253" i="2" s="1"/>
  <c r="R254" i="2"/>
  <c r="U254" i="2" s="1"/>
  <c r="R255" i="2"/>
  <c r="U255" i="2" s="1"/>
  <c r="R256" i="2"/>
  <c r="U256" i="2" s="1"/>
  <c r="R257" i="2"/>
  <c r="U257" i="2" s="1"/>
  <c r="R258" i="2"/>
  <c r="U258" i="2" s="1"/>
  <c r="R259" i="2"/>
  <c r="U259" i="2" s="1"/>
  <c r="R260" i="2"/>
  <c r="U260" i="2" s="1"/>
  <c r="R261" i="2"/>
  <c r="U261" i="2" s="1"/>
  <c r="R262" i="2"/>
  <c r="U262" i="2" s="1"/>
  <c r="R263" i="2"/>
  <c r="U263" i="2" s="1"/>
  <c r="R264" i="2"/>
  <c r="U264" i="2" s="1"/>
  <c r="R265" i="2"/>
  <c r="U265" i="2" s="1"/>
  <c r="R266" i="2"/>
  <c r="U266" i="2" s="1"/>
  <c r="R267" i="2"/>
  <c r="U267" i="2" s="1"/>
  <c r="R268" i="2"/>
  <c r="U268" i="2" s="1"/>
  <c r="R269" i="2"/>
  <c r="U269" i="2" s="1"/>
  <c r="R270" i="2"/>
  <c r="U270" i="2" s="1"/>
  <c r="R271" i="2"/>
  <c r="U271" i="2" s="1"/>
  <c r="R272" i="2"/>
  <c r="U272" i="2" s="1"/>
  <c r="R273" i="2"/>
  <c r="U273" i="2" s="1"/>
  <c r="R274" i="2"/>
  <c r="U274" i="2" s="1"/>
  <c r="R275" i="2"/>
  <c r="U275" i="2" s="1"/>
  <c r="R276" i="2"/>
  <c r="U276" i="2" s="1"/>
  <c r="R277" i="2"/>
  <c r="U277" i="2" s="1"/>
  <c r="R278" i="2"/>
  <c r="U278" i="2" s="1"/>
  <c r="R279" i="2"/>
  <c r="U279" i="2" s="1"/>
  <c r="R280" i="2"/>
  <c r="U280" i="2" s="1"/>
  <c r="R281" i="2"/>
  <c r="U281" i="2" s="1"/>
  <c r="R282" i="2"/>
  <c r="U282" i="2" s="1"/>
  <c r="R283" i="2"/>
  <c r="U283" i="2" s="1"/>
  <c r="R284" i="2"/>
  <c r="U284" i="2" s="1"/>
  <c r="R285" i="2"/>
  <c r="U285" i="2" s="1"/>
  <c r="R286" i="2"/>
  <c r="U286" i="2" s="1"/>
  <c r="R287" i="2"/>
  <c r="U287" i="2" s="1"/>
  <c r="R288" i="2"/>
  <c r="U288" i="2" s="1"/>
  <c r="R289" i="2"/>
  <c r="U289" i="2" s="1"/>
  <c r="R290" i="2"/>
  <c r="U290" i="2" s="1"/>
  <c r="R291" i="2"/>
  <c r="U291" i="2" s="1"/>
  <c r="R292" i="2"/>
  <c r="U292" i="2" s="1"/>
  <c r="R293" i="2"/>
  <c r="U293" i="2" s="1"/>
  <c r="R294" i="2"/>
  <c r="U294" i="2" s="1"/>
  <c r="R295" i="2"/>
  <c r="U295" i="2" s="1"/>
  <c r="R296" i="2"/>
  <c r="U296" i="2" s="1"/>
  <c r="R297" i="2"/>
  <c r="U297" i="2" s="1"/>
  <c r="R298" i="2"/>
  <c r="U298" i="2" s="1"/>
  <c r="R299" i="2"/>
  <c r="U299" i="2" s="1"/>
  <c r="R300" i="2"/>
  <c r="U300" i="2" s="1"/>
  <c r="R301" i="2"/>
  <c r="U301" i="2" s="1"/>
  <c r="R302" i="2"/>
  <c r="U302" i="2" s="1"/>
  <c r="R303" i="2"/>
  <c r="U303" i="2" s="1"/>
  <c r="R304" i="2"/>
  <c r="U304" i="2" s="1"/>
  <c r="R305" i="2"/>
  <c r="U305" i="2" s="1"/>
  <c r="R306" i="2"/>
  <c r="U306" i="2" s="1"/>
  <c r="R307" i="2"/>
  <c r="U307" i="2" s="1"/>
  <c r="R308" i="2"/>
  <c r="U308" i="2" s="1"/>
  <c r="R309" i="2"/>
  <c r="U309" i="2" s="1"/>
  <c r="R310" i="2"/>
  <c r="U310" i="2" s="1"/>
  <c r="R311" i="2"/>
  <c r="U311" i="2" s="1"/>
  <c r="R312" i="2"/>
  <c r="U312" i="2" s="1"/>
  <c r="R313" i="2"/>
  <c r="U313" i="2" s="1"/>
  <c r="R314" i="2"/>
  <c r="U314" i="2" s="1"/>
  <c r="R315" i="2"/>
  <c r="U315" i="2" s="1"/>
  <c r="R316" i="2"/>
  <c r="U316" i="2" s="1"/>
  <c r="R317" i="2"/>
  <c r="U317" i="2" s="1"/>
  <c r="R318" i="2"/>
  <c r="U318" i="2" s="1"/>
  <c r="R319" i="2"/>
  <c r="U319" i="2" s="1"/>
  <c r="R320" i="2"/>
  <c r="U320" i="2" s="1"/>
  <c r="R321" i="2"/>
  <c r="U321" i="2" s="1"/>
  <c r="R322" i="2"/>
  <c r="U322" i="2" s="1"/>
  <c r="R323" i="2"/>
  <c r="U323" i="2" s="1"/>
  <c r="R324" i="2"/>
  <c r="U324" i="2" s="1"/>
  <c r="R325" i="2"/>
  <c r="U325" i="2" s="1"/>
  <c r="R326" i="2"/>
  <c r="U326" i="2" s="1"/>
  <c r="R327" i="2"/>
  <c r="U327" i="2" s="1"/>
  <c r="R328" i="2"/>
  <c r="U328" i="2" s="1"/>
  <c r="R329" i="2"/>
  <c r="U329" i="2" s="1"/>
  <c r="R330" i="2"/>
  <c r="U330" i="2" s="1"/>
  <c r="R331" i="2"/>
  <c r="U331" i="2" s="1"/>
  <c r="R332" i="2"/>
  <c r="U332" i="2" s="1"/>
  <c r="R333" i="2"/>
  <c r="U333" i="2" s="1"/>
  <c r="R334" i="2"/>
  <c r="U334" i="2" s="1"/>
  <c r="R335" i="2"/>
  <c r="U335" i="2" s="1"/>
  <c r="R336" i="2"/>
  <c r="U336" i="2" s="1"/>
  <c r="R337" i="2"/>
  <c r="U337" i="2" s="1"/>
  <c r="R338" i="2"/>
  <c r="U338" i="2" s="1"/>
  <c r="R339" i="2"/>
  <c r="U339" i="2" s="1"/>
  <c r="R340" i="2"/>
  <c r="U340" i="2" s="1"/>
  <c r="R341" i="2"/>
  <c r="U341" i="2" s="1"/>
  <c r="R342" i="2"/>
  <c r="U342" i="2" s="1"/>
  <c r="R343" i="2"/>
  <c r="U343" i="2" s="1"/>
  <c r="R344" i="2"/>
  <c r="U344" i="2" s="1"/>
  <c r="R345" i="2"/>
  <c r="U345" i="2" s="1"/>
  <c r="R346" i="2"/>
  <c r="U346" i="2" s="1"/>
  <c r="R347" i="2"/>
  <c r="U347" i="2" s="1"/>
  <c r="R348" i="2"/>
  <c r="U348" i="2" s="1"/>
  <c r="R349" i="2"/>
  <c r="U349" i="2" s="1"/>
  <c r="R350" i="2"/>
  <c r="U350" i="2" s="1"/>
  <c r="R351" i="2"/>
  <c r="U351" i="2" s="1"/>
  <c r="R352" i="2"/>
  <c r="U352" i="2" s="1"/>
  <c r="R353" i="2"/>
  <c r="U353" i="2" s="1"/>
  <c r="R354" i="2"/>
  <c r="U354" i="2" s="1"/>
  <c r="R355" i="2"/>
  <c r="U355" i="2" s="1"/>
  <c r="R356" i="2"/>
  <c r="U356" i="2" s="1"/>
  <c r="R357" i="2"/>
  <c r="U357" i="2" s="1"/>
  <c r="R358" i="2"/>
  <c r="U358" i="2" s="1"/>
  <c r="R359" i="2"/>
  <c r="U359" i="2" s="1"/>
  <c r="R360" i="2"/>
  <c r="U360" i="2" s="1"/>
  <c r="R361" i="2"/>
  <c r="U361" i="2" s="1"/>
  <c r="R362" i="2"/>
  <c r="U362" i="2" s="1"/>
  <c r="R363" i="2"/>
  <c r="U363" i="2" s="1"/>
  <c r="R364" i="2"/>
  <c r="U364" i="2" s="1"/>
  <c r="R365" i="2"/>
  <c r="U365" i="2" s="1"/>
  <c r="R366" i="2"/>
  <c r="U366" i="2" s="1"/>
  <c r="R367" i="2"/>
  <c r="U367" i="2" s="1"/>
  <c r="R368" i="2"/>
  <c r="U368" i="2" s="1"/>
  <c r="R369" i="2"/>
  <c r="U369" i="2" s="1"/>
  <c r="R370" i="2"/>
  <c r="U370" i="2" s="1"/>
  <c r="R371" i="2"/>
  <c r="U371" i="2" s="1"/>
  <c r="R372" i="2"/>
  <c r="U372" i="2" s="1"/>
  <c r="R373" i="2"/>
  <c r="U373" i="2" s="1"/>
  <c r="R374" i="2"/>
  <c r="U374" i="2" s="1"/>
  <c r="R375" i="2"/>
  <c r="U375" i="2" s="1"/>
  <c r="R376" i="2"/>
  <c r="U376" i="2" s="1"/>
  <c r="R377" i="2"/>
  <c r="U377" i="2" s="1"/>
  <c r="R378" i="2"/>
  <c r="U378" i="2" s="1"/>
  <c r="R379" i="2"/>
  <c r="U379" i="2" s="1"/>
  <c r="R380" i="2"/>
  <c r="U380" i="2" s="1"/>
  <c r="R381" i="2"/>
  <c r="U381" i="2" s="1"/>
  <c r="R382" i="2"/>
  <c r="U382" i="2" s="1"/>
  <c r="R383" i="2"/>
  <c r="U383" i="2" s="1"/>
  <c r="R384" i="2"/>
  <c r="U384" i="2" s="1"/>
  <c r="R385" i="2"/>
  <c r="U385" i="2" s="1"/>
  <c r="R386" i="2"/>
  <c r="U386" i="2" s="1"/>
  <c r="R387" i="2"/>
  <c r="U387" i="2" s="1"/>
  <c r="R388" i="2"/>
  <c r="U388" i="2" s="1"/>
  <c r="R389" i="2"/>
  <c r="U389" i="2" s="1"/>
  <c r="R390" i="2"/>
  <c r="U390" i="2" s="1"/>
  <c r="R391" i="2"/>
  <c r="U391" i="2" s="1"/>
  <c r="R392" i="2"/>
  <c r="U392" i="2" s="1"/>
  <c r="R393" i="2"/>
  <c r="U393" i="2" s="1"/>
  <c r="R394" i="2"/>
  <c r="U394" i="2" s="1"/>
  <c r="R395" i="2"/>
  <c r="U395" i="2" s="1"/>
  <c r="R396" i="2"/>
  <c r="U396" i="2" s="1"/>
  <c r="R397" i="2"/>
  <c r="U397" i="2" s="1"/>
  <c r="R398" i="2"/>
  <c r="U398" i="2" s="1"/>
  <c r="R399" i="2"/>
  <c r="U399" i="2" s="1"/>
  <c r="R400" i="2"/>
  <c r="U400" i="2" s="1"/>
  <c r="R401" i="2"/>
  <c r="U401" i="2" s="1"/>
  <c r="R402" i="2"/>
  <c r="U402" i="2" s="1"/>
  <c r="R403" i="2"/>
  <c r="U403" i="2" s="1"/>
  <c r="R404" i="2"/>
  <c r="U404" i="2" s="1"/>
  <c r="R405" i="2"/>
  <c r="U405" i="2" s="1"/>
  <c r="R406" i="2"/>
  <c r="U406" i="2" s="1"/>
  <c r="R407" i="2"/>
  <c r="U407" i="2" s="1"/>
  <c r="R408" i="2"/>
  <c r="U408" i="2" s="1"/>
  <c r="R409" i="2"/>
  <c r="U409" i="2" s="1"/>
  <c r="R410" i="2"/>
  <c r="U410" i="2" s="1"/>
  <c r="R411" i="2"/>
  <c r="U411" i="2" s="1"/>
  <c r="R412" i="2"/>
  <c r="U412" i="2" s="1"/>
  <c r="R413" i="2"/>
  <c r="U413" i="2" s="1"/>
  <c r="R414" i="2"/>
  <c r="U414" i="2" s="1"/>
  <c r="R415" i="2"/>
  <c r="U415" i="2" s="1"/>
  <c r="R416" i="2"/>
  <c r="U416" i="2" s="1"/>
  <c r="R417" i="2"/>
  <c r="U417" i="2" s="1"/>
  <c r="R418" i="2"/>
  <c r="U418" i="2" s="1"/>
  <c r="R419" i="2"/>
  <c r="U419" i="2" s="1"/>
  <c r="R420" i="2"/>
  <c r="U420" i="2" s="1"/>
  <c r="R421" i="2"/>
  <c r="U421" i="2" s="1"/>
  <c r="R422" i="2"/>
  <c r="U422" i="2" s="1"/>
  <c r="R423" i="2"/>
  <c r="U423" i="2" s="1"/>
  <c r="R424" i="2"/>
  <c r="U424" i="2" s="1"/>
  <c r="R425" i="2"/>
  <c r="U425" i="2" s="1"/>
  <c r="R426" i="2"/>
  <c r="U426" i="2" s="1"/>
  <c r="R427" i="2"/>
  <c r="U427" i="2" s="1"/>
  <c r="R428" i="2"/>
  <c r="U428" i="2" s="1"/>
  <c r="R429" i="2"/>
  <c r="U429" i="2" s="1"/>
  <c r="R430" i="2"/>
  <c r="U430" i="2" s="1"/>
  <c r="R431" i="2"/>
  <c r="U431" i="2" s="1"/>
  <c r="R432" i="2"/>
  <c r="U432" i="2" s="1"/>
  <c r="R433" i="2"/>
  <c r="U433" i="2" s="1"/>
  <c r="R434" i="2"/>
  <c r="U434" i="2" s="1"/>
  <c r="R435" i="2"/>
  <c r="U435" i="2" s="1"/>
  <c r="R436" i="2"/>
  <c r="U436" i="2" s="1"/>
  <c r="R437" i="2"/>
  <c r="U437" i="2" s="1"/>
  <c r="R438" i="2"/>
  <c r="U438" i="2" s="1"/>
  <c r="R439" i="2"/>
  <c r="U439" i="2" s="1"/>
  <c r="R440" i="2"/>
  <c r="U440" i="2" s="1"/>
  <c r="R441" i="2"/>
  <c r="U441" i="2" s="1"/>
  <c r="R442" i="2"/>
  <c r="U442" i="2" s="1"/>
  <c r="R443" i="2"/>
  <c r="U443" i="2" s="1"/>
  <c r="R444" i="2"/>
  <c r="U444" i="2" s="1"/>
  <c r="R445" i="2"/>
  <c r="U445" i="2" s="1"/>
  <c r="R446" i="2"/>
  <c r="U446" i="2" s="1"/>
  <c r="R447" i="2"/>
  <c r="U447" i="2" s="1"/>
  <c r="R448" i="2"/>
  <c r="U448" i="2" s="1"/>
  <c r="R449" i="2"/>
  <c r="U449" i="2" s="1"/>
  <c r="R450" i="2"/>
  <c r="U450" i="2" s="1"/>
  <c r="R451" i="2"/>
  <c r="U451" i="2" s="1"/>
  <c r="R452" i="2"/>
  <c r="U452" i="2" s="1"/>
  <c r="R453" i="2"/>
  <c r="U453" i="2" s="1"/>
  <c r="R454" i="2"/>
  <c r="U454" i="2" s="1"/>
  <c r="R455" i="2"/>
  <c r="U455" i="2" s="1"/>
  <c r="R456" i="2"/>
  <c r="U456" i="2" s="1"/>
  <c r="R457" i="2"/>
  <c r="U457" i="2" s="1"/>
  <c r="R458" i="2"/>
  <c r="U458" i="2" s="1"/>
  <c r="R459" i="2"/>
  <c r="U459" i="2" s="1"/>
  <c r="R460" i="2"/>
  <c r="U460" i="2" s="1"/>
  <c r="R461" i="2"/>
  <c r="U461" i="2" s="1"/>
  <c r="R462" i="2"/>
  <c r="U462" i="2" s="1"/>
  <c r="R463" i="2"/>
  <c r="U463" i="2" s="1"/>
  <c r="R464" i="2"/>
  <c r="U464" i="2" s="1"/>
  <c r="R465" i="2"/>
  <c r="U465" i="2" s="1"/>
  <c r="R466" i="2"/>
  <c r="U466" i="2" s="1"/>
  <c r="R467" i="2"/>
  <c r="U467" i="2" s="1"/>
  <c r="R468" i="2"/>
  <c r="U468" i="2" s="1"/>
  <c r="R469" i="2"/>
  <c r="U469" i="2" s="1"/>
  <c r="R470" i="2"/>
  <c r="U470" i="2" s="1"/>
  <c r="R471" i="2"/>
  <c r="U471" i="2" s="1"/>
  <c r="R472" i="2"/>
  <c r="U472" i="2" s="1"/>
  <c r="R473" i="2"/>
  <c r="U473" i="2" s="1"/>
  <c r="R474" i="2"/>
  <c r="U474" i="2" s="1"/>
  <c r="R475" i="2"/>
  <c r="U475" i="2" s="1"/>
  <c r="R476" i="2"/>
  <c r="U476" i="2" s="1"/>
  <c r="R477" i="2"/>
  <c r="U477" i="2" s="1"/>
  <c r="R478" i="2"/>
  <c r="U478" i="2" s="1"/>
  <c r="R479" i="2"/>
  <c r="U479" i="2" s="1"/>
  <c r="R480" i="2"/>
  <c r="U480" i="2" s="1"/>
  <c r="R481" i="2"/>
  <c r="U481" i="2" s="1"/>
  <c r="R482" i="2"/>
  <c r="U482" i="2" s="1"/>
  <c r="R483" i="2"/>
  <c r="U483" i="2" s="1"/>
  <c r="R484" i="2"/>
  <c r="U484" i="2" s="1"/>
  <c r="R485" i="2"/>
  <c r="U485" i="2" s="1"/>
  <c r="R486" i="2"/>
  <c r="U486" i="2" s="1"/>
  <c r="R487" i="2"/>
  <c r="U487" i="2" s="1"/>
  <c r="R488" i="2"/>
  <c r="U488" i="2" s="1"/>
  <c r="R489" i="2"/>
  <c r="U489" i="2" s="1"/>
  <c r="R490" i="2"/>
  <c r="U490" i="2" s="1"/>
  <c r="R491" i="2"/>
  <c r="U491" i="2" s="1"/>
  <c r="R492" i="2"/>
  <c r="U492" i="2" s="1"/>
  <c r="R493" i="2"/>
  <c r="U493" i="2" s="1"/>
  <c r="R494" i="2"/>
  <c r="U494" i="2" s="1"/>
  <c r="R495" i="2"/>
  <c r="U495" i="2" s="1"/>
  <c r="R496" i="2"/>
  <c r="U496" i="2" s="1"/>
  <c r="R497" i="2"/>
  <c r="U497" i="2" s="1"/>
  <c r="R498" i="2"/>
  <c r="U498" i="2" s="1"/>
  <c r="R499" i="2"/>
  <c r="U499" i="2" s="1"/>
  <c r="R500" i="2"/>
  <c r="U500" i="2" s="1"/>
  <c r="R501" i="2"/>
  <c r="U501" i="2" s="1"/>
  <c r="R502" i="2"/>
  <c r="U502" i="2" s="1"/>
  <c r="R503" i="2"/>
  <c r="U503" i="2" s="1"/>
  <c r="R504" i="2"/>
  <c r="U504" i="2" s="1"/>
  <c r="R505" i="2"/>
  <c r="U505" i="2" s="1"/>
  <c r="R506" i="2"/>
  <c r="U506" i="2" s="1"/>
  <c r="R507" i="2"/>
  <c r="U507" i="2" s="1"/>
  <c r="R508" i="2"/>
  <c r="U508" i="2" s="1"/>
  <c r="R509" i="2"/>
  <c r="U509" i="2" s="1"/>
  <c r="R510" i="2"/>
  <c r="U510" i="2" s="1"/>
  <c r="R511" i="2"/>
  <c r="U511" i="2" s="1"/>
  <c r="R512" i="2"/>
  <c r="U512" i="2" s="1"/>
  <c r="R513" i="2"/>
  <c r="U513" i="2" s="1"/>
  <c r="R514" i="2"/>
  <c r="U514" i="2" s="1"/>
  <c r="R515" i="2"/>
  <c r="U515" i="2" s="1"/>
  <c r="R516" i="2"/>
  <c r="U516" i="2" s="1"/>
  <c r="R517" i="2"/>
  <c r="U517" i="2" s="1"/>
  <c r="R518" i="2"/>
  <c r="U518" i="2" s="1"/>
  <c r="R519" i="2"/>
  <c r="U519" i="2" s="1"/>
  <c r="R520" i="2"/>
  <c r="U520" i="2" s="1"/>
  <c r="R521" i="2"/>
  <c r="U521" i="2" s="1"/>
  <c r="R522" i="2"/>
  <c r="U522" i="2" s="1"/>
  <c r="R523" i="2"/>
  <c r="U523" i="2" s="1"/>
  <c r="R524" i="2"/>
  <c r="U524" i="2" s="1"/>
  <c r="R525" i="2"/>
  <c r="U525" i="2" s="1"/>
  <c r="R526" i="2"/>
  <c r="U526" i="2" s="1"/>
  <c r="R527" i="2"/>
  <c r="U527" i="2" s="1"/>
  <c r="R528" i="2"/>
  <c r="U528" i="2" s="1"/>
  <c r="R529" i="2"/>
  <c r="U529" i="2" s="1"/>
  <c r="R530" i="2"/>
  <c r="U530" i="2" s="1"/>
  <c r="R531" i="2"/>
  <c r="U531" i="2" s="1"/>
  <c r="R532" i="2"/>
  <c r="U532" i="2" s="1"/>
  <c r="R533" i="2"/>
  <c r="U533" i="2" s="1"/>
  <c r="R534" i="2"/>
  <c r="U534" i="2" s="1"/>
  <c r="R535" i="2"/>
  <c r="U535" i="2" s="1"/>
  <c r="R536" i="2"/>
  <c r="U536" i="2" s="1"/>
  <c r="R537" i="2"/>
  <c r="U537" i="2" s="1"/>
  <c r="R538" i="2"/>
  <c r="U538" i="2" s="1"/>
  <c r="R539" i="2"/>
  <c r="U539" i="2" s="1"/>
  <c r="R540" i="2"/>
  <c r="U540" i="2" s="1"/>
  <c r="R541" i="2"/>
  <c r="U541" i="2" s="1"/>
  <c r="R542" i="2"/>
  <c r="U542" i="2" s="1"/>
  <c r="R543" i="2"/>
  <c r="U543" i="2" s="1"/>
  <c r="R544" i="2"/>
  <c r="U544" i="2" s="1"/>
  <c r="R545" i="2"/>
  <c r="U545" i="2" s="1"/>
  <c r="R546" i="2"/>
  <c r="U546" i="2" s="1"/>
  <c r="R547" i="2"/>
  <c r="U547" i="2" s="1"/>
  <c r="R548" i="2"/>
  <c r="U548" i="2" s="1"/>
  <c r="R549" i="2"/>
  <c r="U549" i="2" s="1"/>
  <c r="R550" i="2"/>
  <c r="U550" i="2" s="1"/>
  <c r="R551" i="2"/>
  <c r="U551" i="2" s="1"/>
  <c r="R552" i="2"/>
  <c r="U552" i="2" s="1"/>
  <c r="R553" i="2"/>
  <c r="U553" i="2" s="1"/>
  <c r="R554" i="2"/>
  <c r="U554" i="2" s="1"/>
  <c r="R555" i="2"/>
  <c r="U555" i="2" s="1"/>
  <c r="R556" i="2"/>
  <c r="U556" i="2" s="1"/>
  <c r="R557" i="2"/>
  <c r="U557" i="2" s="1"/>
  <c r="R558" i="2"/>
  <c r="U558" i="2" s="1"/>
  <c r="R559" i="2"/>
  <c r="U559" i="2" s="1"/>
  <c r="R560" i="2"/>
  <c r="U560" i="2" s="1"/>
  <c r="R561" i="2"/>
  <c r="U561" i="2" s="1"/>
  <c r="R562" i="2"/>
  <c r="U562" i="2" s="1"/>
  <c r="R563" i="2"/>
  <c r="U563" i="2" s="1"/>
  <c r="R564" i="2"/>
  <c r="U564" i="2" s="1"/>
  <c r="R565" i="2"/>
  <c r="U565" i="2" s="1"/>
  <c r="R566" i="2"/>
  <c r="U566" i="2" s="1"/>
  <c r="R567" i="2"/>
  <c r="U567" i="2" s="1"/>
  <c r="R568" i="2"/>
  <c r="U568" i="2" s="1"/>
  <c r="R569" i="2"/>
  <c r="U569" i="2" s="1"/>
  <c r="R570" i="2"/>
  <c r="U570" i="2" s="1"/>
  <c r="R571" i="2"/>
  <c r="U571" i="2" s="1"/>
  <c r="R572" i="2"/>
  <c r="U572" i="2" s="1"/>
  <c r="R573" i="2"/>
  <c r="U573" i="2" s="1"/>
  <c r="R574" i="2"/>
  <c r="U574" i="2" s="1"/>
  <c r="R575" i="2"/>
  <c r="U575" i="2" s="1"/>
  <c r="R576" i="2"/>
  <c r="U576" i="2" s="1"/>
  <c r="R577" i="2"/>
  <c r="U577" i="2" s="1"/>
  <c r="R578" i="2"/>
  <c r="U578" i="2" s="1"/>
  <c r="R579" i="2"/>
  <c r="U579" i="2" s="1"/>
  <c r="R580" i="2"/>
  <c r="U580" i="2" s="1"/>
  <c r="R581" i="2"/>
  <c r="U581" i="2" s="1"/>
  <c r="R582" i="2"/>
  <c r="U582" i="2" s="1"/>
  <c r="R583" i="2"/>
  <c r="U583" i="2" s="1"/>
  <c r="R584" i="2"/>
  <c r="U584" i="2" s="1"/>
  <c r="R585" i="2"/>
  <c r="U585" i="2" s="1"/>
  <c r="R586" i="2"/>
  <c r="U586" i="2" s="1"/>
  <c r="R587" i="2"/>
  <c r="U587" i="2" s="1"/>
  <c r="R588" i="2"/>
  <c r="U588" i="2" s="1"/>
  <c r="R589" i="2"/>
  <c r="U589" i="2" s="1"/>
  <c r="R590" i="2"/>
  <c r="U590" i="2" s="1"/>
  <c r="R591" i="2"/>
  <c r="U591" i="2" s="1"/>
  <c r="R592" i="2"/>
  <c r="U592" i="2" s="1"/>
  <c r="R593" i="2"/>
  <c r="U593" i="2" s="1"/>
  <c r="R594" i="2"/>
  <c r="U594" i="2" s="1"/>
  <c r="R595" i="2"/>
  <c r="U595" i="2" s="1"/>
  <c r="R596" i="2"/>
  <c r="U596" i="2" s="1"/>
  <c r="R597" i="2"/>
  <c r="U597" i="2" s="1"/>
  <c r="R598" i="2"/>
  <c r="U598" i="2" s="1"/>
  <c r="R599" i="2"/>
  <c r="U599" i="2" s="1"/>
  <c r="R600" i="2"/>
  <c r="U600" i="2" s="1"/>
  <c r="R601" i="2"/>
  <c r="U601" i="2" s="1"/>
  <c r="R602" i="2"/>
  <c r="U602" i="2" s="1"/>
  <c r="R603" i="2"/>
  <c r="U603" i="2" s="1"/>
  <c r="R604" i="2"/>
  <c r="U604" i="2" s="1"/>
  <c r="R605" i="2"/>
  <c r="U605" i="2" s="1"/>
  <c r="R606" i="2"/>
  <c r="U606" i="2" s="1"/>
  <c r="R607" i="2"/>
  <c r="U607" i="2" s="1"/>
  <c r="R608" i="2"/>
  <c r="U608" i="2" s="1"/>
  <c r="R609" i="2"/>
  <c r="U609" i="2" s="1"/>
  <c r="R610" i="2"/>
  <c r="U610" i="2" s="1"/>
  <c r="R611" i="2"/>
  <c r="U611" i="2" s="1"/>
  <c r="R612" i="2"/>
  <c r="U612" i="2" s="1"/>
  <c r="R613" i="2"/>
  <c r="U613" i="2" s="1"/>
  <c r="R614" i="2"/>
  <c r="U614" i="2" s="1"/>
  <c r="R615" i="2"/>
  <c r="U615" i="2" s="1"/>
  <c r="R616" i="2"/>
  <c r="U616" i="2" s="1"/>
  <c r="R617" i="2"/>
  <c r="U617" i="2" s="1"/>
  <c r="R618" i="2"/>
  <c r="U618" i="2" s="1"/>
  <c r="R619" i="2"/>
  <c r="U619" i="2" s="1"/>
  <c r="R620" i="2"/>
  <c r="U620" i="2" s="1"/>
  <c r="R621" i="2"/>
  <c r="U621" i="2" s="1"/>
  <c r="R622" i="2"/>
  <c r="U622" i="2" s="1"/>
  <c r="R623" i="2"/>
  <c r="U623" i="2" s="1"/>
  <c r="R624" i="2"/>
  <c r="U624" i="2" s="1"/>
  <c r="R625" i="2"/>
  <c r="U625" i="2" s="1"/>
  <c r="R626" i="2"/>
  <c r="U626" i="2" s="1"/>
  <c r="R627" i="2"/>
  <c r="U627" i="2" s="1"/>
  <c r="R628" i="2"/>
  <c r="U628" i="2" s="1"/>
  <c r="R629" i="2"/>
  <c r="U629" i="2" s="1"/>
  <c r="R630" i="2"/>
  <c r="U630" i="2" s="1"/>
  <c r="R631" i="2"/>
  <c r="U631" i="2" s="1"/>
  <c r="R632" i="2"/>
  <c r="U632" i="2" s="1"/>
  <c r="R633" i="2"/>
  <c r="U633" i="2" s="1"/>
  <c r="R634" i="2"/>
  <c r="U634" i="2" s="1"/>
  <c r="R635" i="2"/>
  <c r="U635" i="2" s="1"/>
  <c r="R636" i="2"/>
  <c r="U636" i="2" s="1"/>
  <c r="R637" i="2"/>
  <c r="U637" i="2" s="1"/>
  <c r="R638" i="2"/>
  <c r="U638" i="2" s="1"/>
  <c r="R639" i="2"/>
  <c r="U639" i="2" s="1"/>
  <c r="R640" i="2"/>
  <c r="U640" i="2" s="1"/>
  <c r="R641" i="2"/>
  <c r="U641" i="2" s="1"/>
  <c r="R642" i="2"/>
  <c r="U642" i="2" s="1"/>
  <c r="R643" i="2"/>
  <c r="U643" i="2" s="1"/>
  <c r="R644" i="2"/>
  <c r="U644" i="2" s="1"/>
  <c r="R645" i="2"/>
  <c r="U645" i="2" s="1"/>
  <c r="R646" i="2"/>
  <c r="U646" i="2" s="1"/>
  <c r="R647" i="2"/>
  <c r="U647" i="2" s="1"/>
  <c r="R648" i="2"/>
  <c r="U648" i="2" s="1"/>
  <c r="R649" i="2"/>
  <c r="U649" i="2" s="1"/>
  <c r="R650" i="2"/>
  <c r="U650" i="2" s="1"/>
  <c r="R651" i="2"/>
  <c r="U651" i="2" s="1"/>
  <c r="R652" i="2"/>
  <c r="U652" i="2" s="1"/>
  <c r="R653" i="2"/>
  <c r="U653" i="2" s="1"/>
  <c r="R654" i="2"/>
  <c r="U654" i="2" s="1"/>
  <c r="R655" i="2"/>
  <c r="U655" i="2" s="1"/>
  <c r="R656" i="2"/>
  <c r="U656" i="2" s="1"/>
  <c r="R657" i="2"/>
  <c r="U657" i="2" s="1"/>
  <c r="R658" i="2"/>
  <c r="U658" i="2" s="1"/>
  <c r="R659" i="2"/>
  <c r="U659" i="2" s="1"/>
  <c r="R660" i="2"/>
  <c r="U660" i="2" s="1"/>
  <c r="R661" i="2"/>
  <c r="U661" i="2" s="1"/>
  <c r="R662" i="2"/>
  <c r="U662" i="2" s="1"/>
  <c r="R663" i="2"/>
  <c r="U663" i="2" s="1"/>
  <c r="R664" i="2"/>
  <c r="U664" i="2" s="1"/>
  <c r="R665" i="2"/>
  <c r="U665" i="2" s="1"/>
  <c r="R666" i="2"/>
  <c r="U666" i="2" s="1"/>
  <c r="R667" i="2"/>
  <c r="U667" i="2" s="1"/>
  <c r="R668" i="2"/>
  <c r="U668" i="2" s="1"/>
  <c r="R669" i="2"/>
  <c r="U669" i="2" s="1"/>
  <c r="R670" i="2"/>
  <c r="U670" i="2" s="1"/>
  <c r="R671" i="2"/>
  <c r="U671" i="2" s="1"/>
  <c r="R672" i="2"/>
  <c r="U672" i="2" s="1"/>
  <c r="R673" i="2"/>
  <c r="U673" i="2" s="1"/>
  <c r="R674" i="2"/>
  <c r="U674" i="2" s="1"/>
  <c r="R675" i="2"/>
  <c r="U675" i="2" s="1"/>
  <c r="R676" i="2"/>
  <c r="U676" i="2" s="1"/>
  <c r="R677" i="2"/>
  <c r="U677" i="2" s="1"/>
  <c r="R678" i="2"/>
  <c r="U678" i="2" s="1"/>
  <c r="R679" i="2"/>
  <c r="U679" i="2" s="1"/>
  <c r="R680" i="2"/>
  <c r="U680" i="2" s="1"/>
  <c r="R681" i="2"/>
  <c r="U681" i="2" s="1"/>
  <c r="R682" i="2"/>
  <c r="U682" i="2" s="1"/>
  <c r="R683" i="2"/>
  <c r="U683" i="2" s="1"/>
  <c r="R684" i="2"/>
  <c r="U684" i="2" s="1"/>
  <c r="R685" i="2"/>
  <c r="U685" i="2" s="1"/>
  <c r="R686" i="2"/>
  <c r="U686" i="2" s="1"/>
  <c r="R687" i="2"/>
  <c r="U687" i="2" s="1"/>
  <c r="R688" i="2"/>
  <c r="U688" i="2" s="1"/>
  <c r="R689" i="2"/>
  <c r="U689" i="2" s="1"/>
  <c r="R690" i="2"/>
  <c r="U690" i="2" s="1"/>
  <c r="R691" i="2"/>
  <c r="U691" i="2" s="1"/>
  <c r="R692" i="2"/>
  <c r="U692" i="2" s="1"/>
  <c r="R693" i="2"/>
  <c r="U693" i="2" s="1"/>
  <c r="R694" i="2"/>
  <c r="U694" i="2" s="1"/>
  <c r="R695" i="2"/>
  <c r="U695" i="2" s="1"/>
  <c r="R696" i="2"/>
  <c r="U696" i="2" s="1"/>
  <c r="R697" i="2"/>
  <c r="U697" i="2" s="1"/>
  <c r="R698" i="2"/>
  <c r="U698" i="2" s="1"/>
  <c r="R699" i="2"/>
  <c r="U699" i="2" s="1"/>
  <c r="R700" i="2"/>
  <c r="U700" i="2" s="1"/>
  <c r="R701" i="2"/>
  <c r="U701" i="2" s="1"/>
  <c r="R702" i="2"/>
  <c r="U702" i="2" s="1"/>
  <c r="R703" i="2"/>
  <c r="U703" i="2" s="1"/>
  <c r="R704" i="2"/>
  <c r="U704" i="2" s="1"/>
  <c r="R705" i="2"/>
  <c r="U705" i="2" s="1"/>
  <c r="R706" i="2"/>
  <c r="U706" i="2" s="1"/>
  <c r="R707" i="2"/>
  <c r="U707" i="2" s="1"/>
  <c r="R708" i="2"/>
  <c r="U708" i="2" s="1"/>
  <c r="R709" i="2"/>
  <c r="U709" i="2" s="1"/>
  <c r="R710" i="2"/>
  <c r="U710" i="2" s="1"/>
  <c r="R711" i="2"/>
  <c r="U711" i="2" s="1"/>
  <c r="R712" i="2"/>
  <c r="U712" i="2" s="1"/>
  <c r="R713" i="2"/>
  <c r="U713" i="2" s="1"/>
  <c r="R714" i="2"/>
  <c r="U714" i="2" s="1"/>
  <c r="R715" i="2"/>
  <c r="U715" i="2" s="1"/>
  <c r="R716" i="2"/>
  <c r="U716" i="2" s="1"/>
  <c r="R717" i="2"/>
  <c r="U717" i="2" s="1"/>
  <c r="R718" i="2"/>
  <c r="U718" i="2" s="1"/>
  <c r="R719" i="2"/>
  <c r="U719" i="2" s="1"/>
  <c r="R720" i="2"/>
  <c r="U720" i="2" s="1"/>
  <c r="R721" i="2"/>
  <c r="U721" i="2" s="1"/>
  <c r="R722" i="2"/>
  <c r="U722" i="2" s="1"/>
  <c r="R723" i="2"/>
  <c r="U723" i="2" s="1"/>
  <c r="R724" i="2"/>
  <c r="U724" i="2" s="1"/>
  <c r="R725" i="2"/>
  <c r="U725" i="2" s="1"/>
  <c r="R726" i="2"/>
  <c r="U726" i="2" s="1"/>
  <c r="R727" i="2"/>
  <c r="U727" i="2" s="1"/>
  <c r="R728" i="2"/>
  <c r="U728" i="2" s="1"/>
  <c r="R729" i="2"/>
  <c r="U729" i="2" s="1"/>
  <c r="R730" i="2"/>
  <c r="U730" i="2" s="1"/>
  <c r="R731" i="2"/>
  <c r="U731" i="2" s="1"/>
  <c r="R732" i="2"/>
  <c r="U732" i="2" s="1"/>
  <c r="R733" i="2"/>
  <c r="U733" i="2" s="1"/>
  <c r="R734" i="2"/>
  <c r="U734" i="2" s="1"/>
  <c r="R735" i="2"/>
  <c r="U735" i="2" s="1"/>
  <c r="R736" i="2"/>
  <c r="U736" i="2" s="1"/>
  <c r="R737" i="2"/>
  <c r="U737" i="2" s="1"/>
  <c r="R738" i="2"/>
  <c r="U738" i="2" s="1"/>
  <c r="R739" i="2"/>
  <c r="U739" i="2" s="1"/>
  <c r="R740" i="2"/>
  <c r="U740" i="2" s="1"/>
  <c r="R741" i="2"/>
  <c r="U741" i="2" s="1"/>
  <c r="R742" i="2"/>
  <c r="U742" i="2" s="1"/>
  <c r="R743" i="2"/>
  <c r="U743" i="2" s="1"/>
  <c r="R744" i="2"/>
  <c r="U744" i="2" s="1"/>
  <c r="R745" i="2"/>
  <c r="U745" i="2" s="1"/>
  <c r="R746" i="2"/>
  <c r="U746" i="2" s="1"/>
  <c r="R747" i="2"/>
  <c r="U747" i="2" s="1"/>
  <c r="R748" i="2"/>
  <c r="U748" i="2" s="1"/>
  <c r="R749" i="2"/>
  <c r="U749" i="2" s="1"/>
  <c r="R750" i="2"/>
  <c r="U750" i="2" s="1"/>
  <c r="R751" i="2"/>
  <c r="U751" i="2" s="1"/>
  <c r="R752" i="2"/>
  <c r="U752" i="2" s="1"/>
  <c r="R753" i="2"/>
  <c r="U753" i="2" s="1"/>
  <c r="R754" i="2"/>
  <c r="U754" i="2" s="1"/>
  <c r="R755" i="2"/>
  <c r="U755" i="2" s="1"/>
  <c r="R756" i="2"/>
  <c r="U756" i="2" s="1"/>
  <c r="R757" i="2"/>
  <c r="U757" i="2" s="1"/>
  <c r="R758" i="2"/>
  <c r="U758" i="2" s="1"/>
  <c r="R759" i="2"/>
  <c r="U759" i="2" s="1"/>
  <c r="R760" i="2"/>
  <c r="U760" i="2" s="1"/>
  <c r="R761" i="2"/>
  <c r="U761" i="2" s="1"/>
  <c r="R762" i="2"/>
  <c r="U762" i="2" s="1"/>
  <c r="R763" i="2"/>
  <c r="U763" i="2" s="1"/>
  <c r="R764" i="2"/>
  <c r="U764" i="2" s="1"/>
  <c r="R765" i="2"/>
  <c r="U765" i="2" s="1"/>
  <c r="R766" i="2"/>
  <c r="U766" i="2" s="1"/>
  <c r="R767" i="2"/>
  <c r="U767" i="2" s="1"/>
  <c r="R768" i="2"/>
  <c r="U768" i="2" s="1"/>
  <c r="R769" i="2"/>
  <c r="U769" i="2" s="1"/>
  <c r="R770" i="2"/>
  <c r="U770" i="2" s="1"/>
  <c r="R771" i="2"/>
  <c r="U771" i="2" s="1"/>
  <c r="R772" i="2"/>
  <c r="U772" i="2" s="1"/>
  <c r="R773" i="2"/>
  <c r="U773" i="2" s="1"/>
  <c r="R774" i="2"/>
  <c r="U774" i="2" s="1"/>
  <c r="R775" i="2"/>
  <c r="U775" i="2" s="1"/>
  <c r="R776" i="2"/>
  <c r="U776" i="2" s="1"/>
  <c r="R777" i="2"/>
  <c r="U777" i="2" s="1"/>
  <c r="R778" i="2"/>
  <c r="U778" i="2" s="1"/>
  <c r="R779" i="2"/>
  <c r="U779" i="2" s="1"/>
  <c r="R780" i="2"/>
  <c r="U780" i="2" s="1"/>
  <c r="R781" i="2"/>
  <c r="U781" i="2" s="1"/>
  <c r="R782" i="2"/>
  <c r="U782" i="2" s="1"/>
  <c r="R783" i="2"/>
  <c r="U783" i="2" s="1"/>
  <c r="R784" i="2"/>
  <c r="U784" i="2" s="1"/>
  <c r="R785" i="2"/>
  <c r="U785" i="2" s="1"/>
  <c r="R786" i="2"/>
  <c r="U786" i="2" s="1"/>
  <c r="R787" i="2"/>
  <c r="U787" i="2" s="1"/>
  <c r="R788" i="2"/>
  <c r="U788" i="2" s="1"/>
  <c r="R789" i="2"/>
  <c r="U789" i="2" s="1"/>
  <c r="R790" i="2"/>
  <c r="U790" i="2" s="1"/>
  <c r="R791" i="2"/>
  <c r="U791" i="2" s="1"/>
  <c r="R792" i="2"/>
  <c r="U792" i="2" s="1"/>
  <c r="R793" i="2"/>
  <c r="U793" i="2" s="1"/>
  <c r="R794" i="2"/>
  <c r="U794" i="2" s="1"/>
  <c r="R795" i="2"/>
  <c r="U795" i="2" s="1"/>
  <c r="R796" i="2"/>
  <c r="U796" i="2" s="1"/>
  <c r="R797" i="2"/>
  <c r="U797" i="2" s="1"/>
  <c r="R798" i="2"/>
  <c r="U798" i="2" s="1"/>
  <c r="R799" i="2"/>
  <c r="U799" i="2" s="1"/>
  <c r="R800" i="2"/>
  <c r="U800" i="2" s="1"/>
  <c r="R801" i="2"/>
  <c r="U801" i="2" s="1"/>
  <c r="R802" i="2"/>
  <c r="U802" i="2" s="1"/>
  <c r="R803" i="2"/>
  <c r="U803" i="2" s="1"/>
  <c r="R804" i="2"/>
  <c r="U804" i="2" s="1"/>
  <c r="R805" i="2"/>
  <c r="U805" i="2" s="1"/>
  <c r="R806" i="2"/>
  <c r="U806" i="2" s="1"/>
  <c r="R807" i="2"/>
  <c r="U807" i="2" s="1"/>
  <c r="R808" i="2"/>
  <c r="U808" i="2" s="1"/>
  <c r="R809" i="2"/>
  <c r="U809" i="2" s="1"/>
  <c r="R810" i="2"/>
  <c r="U810" i="2" s="1"/>
  <c r="R811" i="2"/>
  <c r="U811" i="2" s="1"/>
  <c r="R812" i="2"/>
  <c r="U812" i="2" s="1"/>
  <c r="R813" i="2"/>
  <c r="U813" i="2" s="1"/>
  <c r="R814" i="2"/>
  <c r="U814" i="2" s="1"/>
  <c r="R815" i="2"/>
  <c r="U815" i="2" s="1"/>
  <c r="R816" i="2"/>
  <c r="U816" i="2" s="1"/>
  <c r="R817" i="2"/>
  <c r="U817" i="2" s="1"/>
  <c r="R818" i="2"/>
  <c r="U818" i="2" s="1"/>
  <c r="R819" i="2"/>
  <c r="U819" i="2" s="1"/>
  <c r="R820" i="2"/>
  <c r="U820" i="2" s="1"/>
  <c r="R821" i="2"/>
  <c r="U821" i="2" s="1"/>
  <c r="R822" i="2"/>
  <c r="U822" i="2" s="1"/>
  <c r="R823" i="2"/>
  <c r="U823" i="2" s="1"/>
  <c r="R824" i="2"/>
  <c r="U824" i="2" s="1"/>
  <c r="R825" i="2"/>
  <c r="U825" i="2" s="1"/>
  <c r="R826" i="2"/>
  <c r="U826" i="2" s="1"/>
  <c r="R827" i="2"/>
  <c r="U827" i="2" s="1"/>
  <c r="R828" i="2"/>
  <c r="U828" i="2" s="1"/>
  <c r="R829" i="2"/>
  <c r="U829" i="2" s="1"/>
  <c r="R830" i="2"/>
  <c r="U830" i="2" s="1"/>
  <c r="R831" i="2"/>
  <c r="U831" i="2" s="1"/>
  <c r="R832" i="2"/>
  <c r="U832" i="2" s="1"/>
  <c r="R833" i="2"/>
  <c r="U833" i="2" s="1"/>
  <c r="R834" i="2"/>
  <c r="U834" i="2" s="1"/>
  <c r="R835" i="2"/>
  <c r="U835" i="2" s="1"/>
  <c r="R836" i="2"/>
  <c r="U836" i="2" s="1"/>
  <c r="R837" i="2"/>
  <c r="U837" i="2" s="1"/>
  <c r="R838" i="2"/>
  <c r="U838" i="2" s="1"/>
  <c r="R839" i="2"/>
  <c r="U839" i="2" s="1"/>
  <c r="R840" i="2"/>
  <c r="U840" i="2" s="1"/>
  <c r="R841" i="2"/>
  <c r="U841" i="2" s="1"/>
  <c r="R842" i="2"/>
  <c r="U842" i="2" s="1"/>
  <c r="R843" i="2"/>
  <c r="U843" i="2" s="1"/>
  <c r="R844" i="2"/>
  <c r="U844" i="2" s="1"/>
  <c r="R845" i="2"/>
  <c r="U845" i="2" s="1"/>
  <c r="R846" i="2"/>
  <c r="U846" i="2" s="1"/>
  <c r="R847" i="2"/>
  <c r="U847" i="2" s="1"/>
  <c r="R848" i="2"/>
  <c r="U848" i="2" s="1"/>
  <c r="R849" i="2"/>
  <c r="U849" i="2" s="1"/>
  <c r="R850" i="2"/>
  <c r="U850" i="2" s="1"/>
  <c r="R851" i="2"/>
  <c r="U851" i="2" s="1"/>
  <c r="R852" i="2"/>
  <c r="U852" i="2" s="1"/>
  <c r="R853" i="2"/>
  <c r="U853" i="2" s="1"/>
  <c r="R854" i="2"/>
  <c r="U854" i="2" s="1"/>
  <c r="R855" i="2"/>
  <c r="U855" i="2" s="1"/>
  <c r="R856" i="2"/>
  <c r="U856" i="2" s="1"/>
  <c r="R857" i="2"/>
  <c r="U857" i="2" s="1"/>
  <c r="R858" i="2"/>
  <c r="U858" i="2" s="1"/>
  <c r="R859" i="2"/>
  <c r="U859" i="2" s="1"/>
  <c r="R860" i="2"/>
  <c r="U860" i="2" s="1"/>
  <c r="R861" i="2"/>
  <c r="U861" i="2" s="1"/>
  <c r="R862" i="2"/>
  <c r="U862" i="2" s="1"/>
  <c r="R863" i="2"/>
  <c r="U863" i="2" s="1"/>
  <c r="R864" i="2"/>
  <c r="U864" i="2" s="1"/>
  <c r="R865" i="2"/>
  <c r="U865" i="2" s="1"/>
  <c r="R866" i="2"/>
  <c r="U866" i="2" s="1"/>
  <c r="R867" i="2"/>
  <c r="U867" i="2" s="1"/>
  <c r="R868" i="2"/>
  <c r="U868" i="2" s="1"/>
  <c r="R869" i="2"/>
  <c r="U869" i="2" s="1"/>
  <c r="R870" i="2"/>
  <c r="U870" i="2" s="1"/>
  <c r="R871" i="2"/>
  <c r="U871" i="2" s="1"/>
  <c r="R872" i="2"/>
  <c r="U872" i="2" s="1"/>
  <c r="R873" i="2"/>
  <c r="U873" i="2" s="1"/>
  <c r="R874" i="2"/>
  <c r="U874" i="2" s="1"/>
  <c r="R875" i="2"/>
  <c r="U875" i="2" s="1"/>
  <c r="R876" i="2"/>
  <c r="U876" i="2" s="1"/>
  <c r="R877" i="2"/>
  <c r="U877" i="2" s="1"/>
  <c r="R878" i="2"/>
  <c r="U878" i="2" s="1"/>
  <c r="R879" i="2"/>
  <c r="U879" i="2" s="1"/>
  <c r="R880" i="2"/>
  <c r="U880" i="2" s="1"/>
  <c r="R881" i="2"/>
  <c r="U881" i="2" s="1"/>
  <c r="R882" i="2"/>
  <c r="U882" i="2" s="1"/>
  <c r="R883" i="2"/>
  <c r="U883" i="2" s="1"/>
  <c r="R884" i="2"/>
  <c r="U884" i="2" s="1"/>
  <c r="R885" i="2"/>
  <c r="U885" i="2" s="1"/>
  <c r="R886" i="2"/>
  <c r="U886" i="2" s="1"/>
  <c r="R887" i="2"/>
  <c r="U887" i="2" s="1"/>
  <c r="R888" i="2"/>
  <c r="U888" i="2" s="1"/>
  <c r="R889" i="2"/>
  <c r="U889" i="2" s="1"/>
  <c r="R890" i="2"/>
  <c r="U890" i="2" s="1"/>
  <c r="R891" i="2"/>
  <c r="U891" i="2" s="1"/>
  <c r="R892" i="2"/>
  <c r="U892" i="2" s="1"/>
  <c r="R893" i="2"/>
  <c r="U893" i="2" s="1"/>
  <c r="R894" i="2"/>
  <c r="U894" i="2" s="1"/>
  <c r="R895" i="2"/>
  <c r="U895" i="2" s="1"/>
  <c r="R896" i="2"/>
  <c r="U896" i="2" s="1"/>
  <c r="R897" i="2"/>
  <c r="U897" i="2" s="1"/>
  <c r="R898" i="2"/>
  <c r="U898" i="2" s="1"/>
  <c r="R899" i="2"/>
  <c r="U899" i="2" s="1"/>
  <c r="R900" i="2"/>
  <c r="U900" i="2" s="1"/>
  <c r="R901" i="2"/>
  <c r="U901" i="2" s="1"/>
  <c r="R902" i="2"/>
  <c r="U902" i="2" s="1"/>
  <c r="R903" i="2"/>
  <c r="U903" i="2" s="1"/>
  <c r="R904" i="2"/>
  <c r="U904" i="2" s="1"/>
  <c r="R905" i="2"/>
  <c r="U905" i="2" s="1"/>
  <c r="R906" i="2"/>
  <c r="U906" i="2" s="1"/>
  <c r="R907" i="2"/>
  <c r="U907" i="2" s="1"/>
  <c r="R908" i="2"/>
  <c r="U908" i="2" s="1"/>
  <c r="R909" i="2"/>
  <c r="U909" i="2" s="1"/>
  <c r="R910" i="2"/>
  <c r="U910" i="2" s="1"/>
  <c r="R911" i="2"/>
  <c r="U911" i="2" s="1"/>
  <c r="R912" i="2"/>
  <c r="U912" i="2" s="1"/>
  <c r="R913" i="2"/>
  <c r="U913" i="2" s="1"/>
  <c r="R914" i="2"/>
  <c r="U914" i="2" s="1"/>
  <c r="R915" i="2"/>
  <c r="U915" i="2" s="1"/>
  <c r="R916" i="2"/>
  <c r="U916" i="2" s="1"/>
  <c r="R917" i="2"/>
  <c r="U917" i="2" s="1"/>
  <c r="R918" i="2"/>
  <c r="U918" i="2" s="1"/>
  <c r="R919" i="2"/>
  <c r="U919" i="2" s="1"/>
  <c r="R920" i="2"/>
  <c r="U920" i="2" s="1"/>
  <c r="R921" i="2"/>
  <c r="U921" i="2" s="1"/>
  <c r="R922" i="2"/>
  <c r="U922" i="2" s="1"/>
  <c r="R923" i="2"/>
  <c r="U923" i="2" s="1"/>
  <c r="R924" i="2"/>
  <c r="U924" i="2" s="1"/>
  <c r="R925" i="2"/>
  <c r="U925" i="2" s="1"/>
  <c r="R926" i="2"/>
  <c r="U926" i="2" s="1"/>
  <c r="R927" i="2"/>
  <c r="U927" i="2" s="1"/>
  <c r="R928" i="2"/>
  <c r="U928" i="2" s="1"/>
  <c r="R929" i="2"/>
  <c r="U929" i="2" s="1"/>
  <c r="R930" i="2"/>
  <c r="U930" i="2" s="1"/>
  <c r="R931" i="2"/>
  <c r="U931" i="2" s="1"/>
  <c r="R932" i="2"/>
  <c r="U932" i="2" s="1"/>
  <c r="R933" i="2"/>
  <c r="U933" i="2" s="1"/>
  <c r="R934" i="2"/>
  <c r="U934" i="2" s="1"/>
  <c r="R935" i="2"/>
  <c r="U935" i="2" s="1"/>
  <c r="R936" i="2"/>
  <c r="U936" i="2" s="1"/>
  <c r="R937" i="2"/>
  <c r="U937" i="2" s="1"/>
  <c r="R938" i="2"/>
  <c r="U938" i="2" s="1"/>
  <c r="R939" i="2"/>
  <c r="U939" i="2" s="1"/>
  <c r="R940" i="2"/>
  <c r="U940" i="2" s="1"/>
  <c r="R941" i="2"/>
  <c r="U941" i="2" s="1"/>
  <c r="R942" i="2"/>
  <c r="U942" i="2" s="1"/>
  <c r="R943" i="2"/>
  <c r="U943" i="2" s="1"/>
  <c r="R944" i="2"/>
  <c r="U944" i="2" s="1"/>
  <c r="R945" i="2"/>
  <c r="U945" i="2" s="1"/>
  <c r="R946" i="2"/>
  <c r="U946" i="2" s="1"/>
  <c r="R947" i="2"/>
  <c r="U947" i="2" s="1"/>
  <c r="R948" i="2"/>
  <c r="U948" i="2" s="1"/>
  <c r="R949" i="2"/>
  <c r="U949" i="2" s="1"/>
  <c r="R950" i="2"/>
  <c r="U950" i="2" s="1"/>
  <c r="R951" i="2"/>
  <c r="U951" i="2" s="1"/>
  <c r="R952" i="2"/>
  <c r="U952" i="2" s="1"/>
  <c r="R953" i="2"/>
  <c r="U953" i="2" s="1"/>
  <c r="R954" i="2"/>
  <c r="U954" i="2" s="1"/>
  <c r="R955" i="2"/>
  <c r="U955" i="2" s="1"/>
  <c r="R956" i="2"/>
  <c r="U956" i="2" s="1"/>
  <c r="R957" i="2"/>
  <c r="U957" i="2" s="1"/>
  <c r="R958" i="2"/>
  <c r="U958" i="2" s="1"/>
  <c r="R959" i="2"/>
  <c r="U959" i="2" s="1"/>
  <c r="R960" i="2"/>
  <c r="U960" i="2" s="1"/>
  <c r="R961" i="2"/>
  <c r="U961" i="2" s="1"/>
  <c r="R962" i="2"/>
  <c r="U962" i="2" s="1"/>
  <c r="R963" i="2"/>
  <c r="U963" i="2" s="1"/>
  <c r="R964" i="2"/>
  <c r="U964" i="2" s="1"/>
  <c r="R965" i="2"/>
  <c r="U965" i="2" s="1"/>
  <c r="R966" i="2"/>
  <c r="U966" i="2" s="1"/>
  <c r="R967" i="2"/>
  <c r="U967" i="2" s="1"/>
  <c r="R968" i="2"/>
  <c r="U968" i="2" s="1"/>
  <c r="R969" i="2"/>
  <c r="U969" i="2" s="1"/>
  <c r="R970" i="2"/>
  <c r="U970" i="2" s="1"/>
  <c r="R971" i="2"/>
  <c r="U971" i="2" s="1"/>
  <c r="R972" i="2"/>
  <c r="U972" i="2" s="1"/>
  <c r="R973" i="2"/>
  <c r="U973" i="2" s="1"/>
  <c r="R974" i="2"/>
  <c r="U974" i="2" s="1"/>
  <c r="R975" i="2"/>
  <c r="U975" i="2" s="1"/>
  <c r="R976" i="2"/>
  <c r="U976" i="2" s="1"/>
  <c r="R977" i="2"/>
  <c r="U977" i="2" s="1"/>
  <c r="R978" i="2"/>
  <c r="U978" i="2" s="1"/>
  <c r="R979" i="2"/>
  <c r="U979" i="2" s="1"/>
  <c r="R980" i="2"/>
  <c r="U980" i="2" s="1"/>
  <c r="R981" i="2"/>
  <c r="U981" i="2" s="1"/>
  <c r="R982" i="2"/>
  <c r="U982" i="2" s="1"/>
  <c r="R983" i="2"/>
  <c r="U983" i="2" s="1"/>
  <c r="R984" i="2"/>
  <c r="U984" i="2" s="1"/>
  <c r="R985" i="2"/>
  <c r="U985" i="2" s="1"/>
  <c r="R986" i="2"/>
  <c r="U986" i="2" s="1"/>
  <c r="R987" i="2"/>
  <c r="U987" i="2" s="1"/>
  <c r="R988" i="2"/>
  <c r="U988" i="2" s="1"/>
  <c r="R989" i="2"/>
  <c r="U989" i="2" s="1"/>
  <c r="R990" i="2"/>
  <c r="U990" i="2" s="1"/>
  <c r="R991" i="2"/>
  <c r="U991" i="2" s="1"/>
  <c r="R992" i="2"/>
  <c r="U992" i="2" s="1"/>
  <c r="R993" i="2"/>
  <c r="U993" i="2" s="1"/>
  <c r="R994" i="2"/>
  <c r="U994" i="2" s="1"/>
  <c r="R995" i="2"/>
  <c r="U995" i="2" s="1"/>
  <c r="R996" i="2"/>
  <c r="U996" i="2" s="1"/>
  <c r="R997" i="2"/>
  <c r="U997" i="2" s="1"/>
  <c r="R998" i="2"/>
  <c r="U998" i="2" s="1"/>
  <c r="R999" i="2"/>
  <c r="U999" i="2" s="1"/>
  <c r="R1000" i="2"/>
  <c r="U1000" i="2" s="1"/>
  <c r="R1001" i="2"/>
  <c r="U10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86621-76B8-444B-A179-C1041ED51AE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<sst xmlns="http://schemas.openxmlformats.org/spreadsheetml/2006/main" count="17243" uniqueCount="1050">
  <si>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</si>
  <si>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</si>
  <si>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</si>
  <si>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</si>
  <si>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</si>
  <si>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</si>
  <si>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</si>
  <si>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</si>
  <si>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</si>
  <si>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</si>
  <si>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</si>
  <si>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</si>
  <si>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</si>
  <si>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</si>
  <si>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</si>
  <si>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</si>
  <si>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</si>
  <si>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</si>
  <si>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</si>
  <si>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</si>
  <si>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</si>
  <si>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</si>
  <si>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</si>
  <si>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</si>
  <si>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</si>
  <si>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</si>
  <si>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</si>
  <si>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</si>
  <si>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</si>
  <si>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</si>
  <si>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</si>
  <si>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</si>
  <si>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</si>
  <si>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</si>
  <si>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</si>
  <si>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</si>
  <si>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12496</t>
  </si>
  <si>
    <t>24107</t>
  </si>
  <si>
    <t>14177</t>
  </si>
  <si>
    <t>24381</t>
  </si>
  <si>
    <t>25597</t>
  </si>
  <si>
    <t>13507</t>
  </si>
  <si>
    <t>27974</t>
  </si>
  <si>
    <t>19364</t>
  </si>
  <si>
    <t>22155</t>
  </si>
  <si>
    <t>19280</t>
  </si>
  <si>
    <t>22173</t>
  </si>
  <si>
    <t>12697</t>
  </si>
  <si>
    <t>11434</t>
  </si>
  <si>
    <t>25323</t>
  </si>
  <si>
    <t>23542</t>
  </si>
  <si>
    <t>20870</t>
  </si>
  <si>
    <t>23316</t>
  </si>
  <si>
    <t>12610</t>
  </si>
  <si>
    <t>27183</t>
  </si>
  <si>
    <t>25940</t>
  </si>
  <si>
    <t>25598</t>
  </si>
  <si>
    <t>21564</t>
  </si>
  <si>
    <t>19193</t>
  </si>
  <si>
    <t>26412</t>
  </si>
  <si>
    <t>27184</t>
  </si>
  <si>
    <t>12590</t>
  </si>
  <si>
    <t>17841</t>
  </si>
  <si>
    <t>18283</t>
  </si>
  <si>
    <t>18299</t>
  </si>
  <si>
    <t>16466</t>
  </si>
  <si>
    <t>19273</t>
  </si>
  <si>
    <t>22400</t>
  </si>
  <si>
    <t>20942</t>
  </si>
  <si>
    <t>18484</t>
  </si>
  <si>
    <t>12291</t>
  </si>
  <si>
    <t>28380</t>
  </si>
  <si>
    <t>17891</t>
  </si>
  <si>
    <t>27832</t>
  </si>
  <si>
    <t>26863</t>
  </si>
  <si>
    <t>16259</t>
  </si>
  <si>
    <t>27803</t>
  </si>
  <si>
    <t>14347</t>
  </si>
  <si>
    <t>17703</t>
  </si>
  <si>
    <t>17185</t>
  </si>
  <si>
    <t>29380</t>
  </si>
  <si>
    <t>23986</t>
  </si>
  <si>
    <t>24466</t>
  </si>
  <si>
    <t>29097</t>
  </si>
  <si>
    <t>19487</t>
  </si>
  <si>
    <t>14939</t>
  </si>
  <si>
    <t>13826</t>
  </si>
  <si>
    <t>20619</t>
  </si>
  <si>
    <t>12558</t>
  </si>
  <si>
    <t>24871</t>
  </si>
  <si>
    <t>17319</t>
  </si>
  <si>
    <t>28906</t>
  </si>
  <si>
    <t>12808</t>
  </si>
  <si>
    <t>20567</t>
  </si>
  <si>
    <t>25502</t>
  </si>
  <si>
    <t>15580</t>
  </si>
  <si>
    <t>24185</t>
  </si>
  <si>
    <t>19291</t>
  </si>
  <si>
    <t>16713</t>
  </si>
  <si>
    <t>16185</t>
  </si>
  <si>
    <t>14927</t>
  </si>
  <si>
    <t>29337</t>
  </si>
  <si>
    <t>29355</t>
  </si>
  <si>
    <t>25303</t>
  </si>
  <si>
    <t>14813</t>
  </si>
  <si>
    <t>16438</t>
  </si>
  <si>
    <t>14238</t>
  </si>
  <si>
    <t>16200</t>
  </si>
  <si>
    <t>24857</t>
  </si>
  <si>
    <t>26956</t>
  </si>
  <si>
    <t>14517</t>
  </si>
  <si>
    <t>12678</t>
  </si>
  <si>
    <t>16188</t>
  </si>
  <si>
    <t>27969</t>
  </si>
  <si>
    <t>15752</t>
  </si>
  <si>
    <t>27745</t>
  </si>
  <si>
    <t>20828</t>
  </si>
  <si>
    <t>19461</t>
  </si>
  <si>
    <t>26941</t>
  </si>
  <si>
    <t>28412</t>
  </si>
  <si>
    <t>24485</t>
  </si>
  <si>
    <t>16514</t>
  </si>
  <si>
    <t>17191</t>
  </si>
  <si>
    <t>19608</t>
  </si>
  <si>
    <t>24119</t>
  </si>
  <si>
    <t>25458</t>
  </si>
  <si>
    <t>26886</t>
  </si>
  <si>
    <t>28436</t>
  </si>
  <si>
    <t>19562</t>
  </si>
  <si>
    <t>15608</t>
  </si>
  <si>
    <t>16487</t>
  </si>
  <si>
    <t>17197</t>
  </si>
  <si>
    <t>12507</t>
  </si>
  <si>
    <t>23940</t>
  </si>
  <si>
    <t>19441</t>
  </si>
  <si>
    <t>26852</t>
  </si>
  <si>
    <t>12274</t>
  </si>
  <si>
    <t>20236</t>
  </si>
  <si>
    <t>24149</t>
  </si>
  <si>
    <t>26139</t>
  </si>
  <si>
    <t>18491</t>
  </si>
  <si>
    <t>22707</t>
  </si>
  <si>
    <t>20430</t>
  </si>
  <si>
    <t>27494</t>
  </si>
  <si>
    <t>26829</t>
  </si>
  <si>
    <t>28395</t>
  </si>
  <si>
    <t>21006</t>
  </si>
  <si>
    <t>14682</t>
  </si>
  <si>
    <t>17650</t>
  </si>
  <si>
    <t>29191</t>
  </si>
  <si>
    <t>15030</t>
  </si>
  <si>
    <t>24140</t>
  </si>
  <si>
    <t>22496</t>
  </si>
  <si>
    <t>24065</t>
  </si>
  <si>
    <t>19914</t>
  </si>
  <si>
    <t>12871</t>
  </si>
  <si>
    <t>22988</t>
  </si>
  <si>
    <t>15922</t>
  </si>
  <si>
    <t>12344</t>
  </si>
  <si>
    <t>23627</t>
  </si>
  <si>
    <t>27775</t>
  </si>
  <si>
    <t>29301</t>
  </si>
  <si>
    <t>12716</t>
  </si>
  <si>
    <t>12472</t>
  </si>
  <si>
    <t>20970</t>
  </si>
  <si>
    <t>26818</t>
  </si>
  <si>
    <t>12993</t>
  </si>
  <si>
    <t>14192</t>
  </si>
  <si>
    <t>19477</t>
  </si>
  <si>
    <t>26796</t>
  </si>
  <si>
    <t>21094</t>
  </si>
  <si>
    <t>12234</t>
  </si>
  <si>
    <t>28683</t>
  </si>
  <si>
    <t>17994</t>
  </si>
  <si>
    <t>24273</t>
  </si>
  <si>
    <t>26547</t>
  </si>
  <si>
    <t>22500</t>
  </si>
  <si>
    <t>23993</t>
  </si>
  <si>
    <t>14832</t>
  </si>
  <si>
    <t>16614</t>
  </si>
  <si>
    <t>20877</t>
  </si>
  <si>
    <t>20729</t>
  </si>
  <si>
    <t>22464</t>
  </si>
  <si>
    <t>19475</t>
  </si>
  <si>
    <t>19675</t>
  </si>
  <si>
    <t>12728</t>
  </si>
  <si>
    <t>26154</t>
  </si>
  <si>
    <t>29117</t>
  </si>
  <si>
    <t>17845</t>
  </si>
  <si>
    <t>25058</t>
  </si>
  <si>
    <t>23426</t>
  </si>
  <si>
    <t>14798</t>
  </si>
  <si>
    <t>12664</t>
  </si>
  <si>
    <t>23979</t>
  </si>
  <si>
    <t>25605</t>
  </si>
  <si>
    <t>20797</t>
  </si>
  <si>
    <t>21980</t>
  </si>
  <si>
    <t>25460</t>
  </si>
  <si>
    <t>29181</t>
  </si>
  <si>
    <t>24279</t>
  </si>
  <si>
    <t>22402</t>
  </si>
  <si>
    <t>15465</t>
  </si>
  <si>
    <t>26757</t>
  </si>
  <si>
    <t>14233</t>
  </si>
  <si>
    <t>14058</t>
  </si>
  <si>
    <t>12273</t>
  </si>
  <si>
    <t>17203</t>
  </si>
  <si>
    <t>18144</t>
  </si>
  <si>
    <t>23963</t>
  </si>
  <si>
    <t>17907</t>
  </si>
  <si>
    <t>19442</t>
  </si>
  <si>
    <t>17504</t>
  </si>
  <si>
    <t>12253</t>
  </si>
  <si>
    <t>27304</t>
  </si>
  <si>
    <t>14191</t>
  </si>
  <si>
    <t>12212</t>
  </si>
  <si>
    <t>25529</t>
  </si>
  <si>
    <t>22170</t>
  </si>
  <si>
    <t>19445</t>
  </si>
  <si>
    <t>15265</t>
  </si>
  <si>
    <t>28918</t>
  </si>
  <si>
    <t>15799</t>
  </si>
  <si>
    <t>11047</t>
  </si>
  <si>
    <t>18151</t>
  </si>
  <si>
    <t>20606</t>
  </si>
  <si>
    <t>19482</t>
  </si>
  <si>
    <t>16489</t>
  </si>
  <si>
    <t>26944</t>
  </si>
  <si>
    <t>15682</t>
  </si>
  <si>
    <t>26032</t>
  </si>
  <si>
    <t>17843</t>
  </si>
  <si>
    <t>25559</t>
  </si>
  <si>
    <t>16209</t>
  </si>
  <si>
    <t>11147</t>
  </si>
  <si>
    <t>15214</t>
  </si>
  <si>
    <t>11453</t>
  </si>
  <si>
    <t>24584</t>
  </si>
  <si>
    <t>12585</t>
  </si>
  <si>
    <t>18626</t>
  </si>
  <si>
    <t>29298</t>
  </si>
  <si>
    <t>24842</t>
  </si>
  <si>
    <t>15657</t>
  </si>
  <si>
    <t>11415</t>
  </si>
  <si>
    <t>28729</t>
  </si>
  <si>
    <t>22633</t>
  </si>
  <si>
    <t>25649</t>
  </si>
  <si>
    <t>14669</t>
  </si>
  <si>
    <t>19299</t>
  </si>
  <si>
    <t>20946</t>
  </si>
  <si>
    <t>11451</t>
  </si>
  <si>
    <t>25553</t>
  </si>
  <si>
    <t>27951</t>
  </si>
  <si>
    <t>25026</t>
  </si>
  <si>
    <t>13673</t>
  </si>
  <si>
    <t>16043</t>
  </si>
  <si>
    <t>22399</t>
  </si>
  <si>
    <t>27696</t>
  </si>
  <si>
    <t>25313</t>
  </si>
  <si>
    <t>13813</t>
  </si>
  <si>
    <t>18711</t>
  </si>
  <si>
    <t>19650</t>
  </si>
  <si>
    <t>14135</t>
  </si>
  <si>
    <t>12833</t>
  </si>
  <si>
    <t>26849</t>
  </si>
  <si>
    <t>20962</t>
  </si>
  <si>
    <t>28915</t>
  </si>
  <si>
    <t>22830</t>
  </si>
  <si>
    <t>14777</t>
  </si>
  <si>
    <t>12591</t>
  </si>
  <si>
    <t>24174</t>
  </si>
  <si>
    <t>24611</t>
  </si>
  <si>
    <t>11340</t>
  </si>
  <si>
    <t>25693</t>
  </si>
  <si>
    <t>25555</t>
  </si>
  <si>
    <t>22006</t>
  </si>
  <si>
    <t>20060</t>
  </si>
  <si>
    <t>17702</t>
  </si>
  <si>
    <t>12503</t>
  </si>
  <si>
    <t>23908</t>
  </si>
  <si>
    <t>22527</t>
  </si>
  <si>
    <t>19057</t>
  </si>
  <si>
    <t>18494</t>
  </si>
  <si>
    <t>11249</t>
  </si>
  <si>
    <t>21568</t>
  </si>
  <si>
    <t>13981</t>
  </si>
  <si>
    <t>23432</t>
  </si>
  <si>
    <t>22931</t>
  </si>
  <si>
    <t>18172</t>
  </si>
  <si>
    <t>12666</t>
  </si>
  <si>
    <t>20598</t>
  </si>
  <si>
    <t>21375</t>
  </si>
  <si>
    <t>20839</t>
  </si>
  <si>
    <t>21738</t>
  </si>
  <si>
    <t>14164</t>
  </si>
  <si>
    <t>14193</t>
  </si>
  <si>
    <t>12705</t>
  </si>
  <si>
    <t>22672</t>
  </si>
  <si>
    <t>26219</t>
  </si>
  <si>
    <t>28468</t>
  </si>
  <si>
    <t>23419</t>
  </si>
  <si>
    <t>17964</t>
  </si>
  <si>
    <t>20919</t>
  </si>
  <si>
    <t>20927</t>
  </si>
  <si>
    <t>13133</t>
  </si>
  <si>
    <t>19626</t>
  </si>
  <si>
    <t>21039</t>
  </si>
  <si>
    <t>12231</t>
  </si>
  <si>
    <t>25665</t>
  </si>
  <si>
    <t>24061</t>
  </si>
  <si>
    <t>26879</t>
  </si>
  <si>
    <t>12284</t>
  </si>
  <si>
    <t>26654</t>
  </si>
  <si>
    <t>14545</t>
  </si>
  <si>
    <t>24201</t>
  </si>
  <si>
    <t>20625</t>
  </si>
  <si>
    <t>16390</t>
  </si>
  <si>
    <t>14804</t>
  </si>
  <si>
    <t>12629</t>
  </si>
  <si>
    <t>14696</t>
  </si>
  <si>
    <t>22005</t>
  </si>
  <si>
    <t>14544</t>
  </si>
  <si>
    <t>14312</t>
  </si>
  <si>
    <t>29120</t>
  </si>
  <si>
    <t>24187</t>
  </si>
  <si>
    <t>15758</t>
  </si>
  <si>
    <t>29094</t>
  </si>
  <si>
    <t>28319</t>
  </si>
  <si>
    <t>16406</t>
  </si>
  <si>
    <t>20923</t>
  </si>
  <si>
    <t>11378</t>
  </si>
  <si>
    <t>20851</t>
  </si>
  <si>
    <t>21557</t>
  </si>
  <si>
    <t>26663</t>
  </si>
  <si>
    <t>11896</t>
  </si>
  <si>
    <t>14189</t>
  </si>
  <si>
    <t>13136</t>
  </si>
  <si>
    <t>25906</t>
  </si>
  <si>
    <t>17926</t>
  </si>
  <si>
    <t>26928</t>
  </si>
  <si>
    <t>20897</t>
  </si>
  <si>
    <t>28207</t>
  </si>
  <si>
    <t>25923</t>
  </si>
  <si>
    <t>11000</t>
  </si>
  <si>
    <t>20974</t>
  </si>
  <si>
    <t>28758</t>
  </si>
  <si>
    <t>11381</t>
  </si>
  <si>
    <t>17522</t>
  </si>
  <si>
    <t>21207</t>
  </si>
  <si>
    <t>28102</t>
  </si>
  <si>
    <t>23105</t>
  </si>
  <si>
    <t>18740</t>
  </si>
  <si>
    <t>21213</t>
  </si>
  <si>
    <t>17352</t>
  </si>
  <si>
    <t>14154</t>
  </si>
  <si>
    <t>19066</t>
  </si>
  <si>
    <t>11386</t>
  </si>
  <si>
    <t>20228</t>
  </si>
  <si>
    <t>16675</t>
  </si>
  <si>
    <t>16410</t>
  </si>
  <si>
    <t>27760</t>
  </si>
  <si>
    <t>22930</t>
  </si>
  <si>
    <t>23780</t>
  </si>
  <si>
    <t>20994</t>
  </si>
  <si>
    <t>28379</t>
  </si>
  <si>
    <t>14865</t>
  </si>
  <si>
    <t>12663</t>
  </si>
  <si>
    <t>24898</t>
  </si>
  <si>
    <t>19508</t>
  </si>
  <si>
    <t>11489</t>
  </si>
  <si>
    <t>18160</t>
  </si>
  <si>
    <t>25241</t>
  </si>
  <si>
    <t>24369</t>
  </si>
  <si>
    <t>27165</t>
  </si>
  <si>
    <t>29424</t>
  </si>
  <si>
    <t>15926</t>
  </si>
  <si>
    <t>14554</t>
  </si>
  <si>
    <t>16468</t>
  </si>
  <si>
    <t>19174</t>
  </si>
  <si>
    <t>19183</t>
  </si>
  <si>
    <t>13683</t>
  </si>
  <si>
    <t>17848</t>
  </si>
  <si>
    <t>17894</t>
  </si>
  <si>
    <t>25651</t>
  </si>
  <si>
    <t>22936</t>
  </si>
  <si>
    <t>23915</t>
  </si>
  <si>
    <t>24121</t>
  </si>
  <si>
    <t>27878</t>
  </si>
  <si>
    <t>13572</t>
  </si>
  <si>
    <t>27941</t>
  </si>
  <si>
    <t>26354</t>
  </si>
  <si>
    <t>14785</t>
  </si>
  <si>
    <t>17238</t>
  </si>
  <si>
    <t>23608</t>
  </si>
  <si>
    <t>22538</t>
  </si>
  <si>
    <t>12332</t>
  </si>
  <si>
    <t>17230</t>
  </si>
  <si>
    <t>13082</t>
  </si>
  <si>
    <t>22518</t>
  </si>
  <si>
    <t>13687</t>
  </si>
  <si>
    <t>23571</t>
  </si>
  <si>
    <t>19305</t>
  </si>
  <si>
    <t>22636</t>
  </si>
  <si>
    <t>17310</t>
  </si>
  <si>
    <t>12133</t>
  </si>
  <si>
    <t>25918</t>
  </si>
  <si>
    <t>25752</t>
  </si>
  <si>
    <t>17324</t>
  </si>
  <si>
    <t>22918</t>
  </si>
  <si>
    <t>12510</t>
  </si>
  <si>
    <t>25512</t>
  </si>
  <si>
    <t>16179</t>
  </si>
  <si>
    <t>15628</t>
  </si>
  <si>
    <t>20977</t>
  </si>
  <si>
    <t>18140</t>
  </si>
  <si>
    <t>20417</t>
  </si>
  <si>
    <t>18267</t>
  </si>
  <si>
    <t>13620</t>
  </si>
  <si>
    <t>22974</t>
  </si>
  <si>
    <t>13586</t>
  </si>
  <si>
    <t>17978</t>
  </si>
  <si>
    <t>12581</t>
  </si>
  <si>
    <t>18018</t>
  </si>
  <si>
    <t>28957</t>
  </si>
  <si>
    <t>13690</t>
  </si>
  <si>
    <t>12568</t>
  </si>
  <si>
    <t>13122</t>
  </si>
  <si>
    <t>21184</t>
  </si>
  <si>
    <t>26150</t>
  </si>
  <si>
    <t>24151</t>
  </si>
  <si>
    <t>23962</t>
  </si>
  <si>
    <t>17793</t>
  </si>
  <si>
    <t>14926</t>
  </si>
  <si>
    <t>16163</t>
  </si>
  <si>
    <t>21365</t>
  </si>
  <si>
    <t>27771</t>
  </si>
  <si>
    <t>26167</t>
  </si>
  <si>
    <t>25792</t>
  </si>
  <si>
    <t>11555</t>
  </si>
  <si>
    <t>22381</t>
  </si>
  <si>
    <t>17882</t>
  </si>
  <si>
    <t>22174</t>
  </si>
  <si>
    <t>22439</t>
  </si>
  <si>
    <t>18012</t>
  </si>
  <si>
    <t>27582</t>
  </si>
  <si>
    <t>12744</t>
  </si>
  <si>
    <t>22821</t>
  </si>
  <si>
    <t>20171</t>
  </si>
  <si>
    <t>11116</t>
  </si>
  <si>
    <t>20053</t>
  </si>
  <si>
    <t>25266</t>
  </si>
  <si>
    <t>17960</t>
  </si>
  <si>
    <t>13961</t>
  </si>
  <si>
    <t>11897</t>
  </si>
  <si>
    <t>11139</t>
  </si>
  <si>
    <t>11576</t>
  </si>
  <si>
    <t>19255</t>
  </si>
  <si>
    <t>18153</t>
  </si>
  <si>
    <t>14547</t>
  </si>
  <si>
    <t>24901</t>
  </si>
  <si>
    <t>27169</t>
  </si>
  <si>
    <t>14805</t>
  </si>
  <si>
    <t>15822</t>
  </si>
  <si>
    <t>19389</t>
  </si>
  <si>
    <t>17048</t>
  </si>
  <si>
    <t>22204</t>
  </si>
  <si>
    <t>12718</t>
  </si>
  <si>
    <t>15019</t>
  </si>
  <si>
    <t>28488</t>
  </si>
  <si>
    <t>21891</t>
  </si>
  <si>
    <t>27814</t>
  </si>
  <si>
    <t>22175</t>
  </si>
  <si>
    <t>29447</t>
  </si>
  <si>
    <t>19784</t>
  </si>
  <si>
    <t>27824</t>
  </si>
  <si>
    <t>24093</t>
  </si>
  <si>
    <t>19618</t>
  </si>
  <si>
    <t>21561</t>
  </si>
  <si>
    <t>11061</t>
  </si>
  <si>
    <t>26651</t>
  </si>
  <si>
    <t>21108</t>
  </si>
  <si>
    <t>12731</t>
  </si>
  <si>
    <t>25307</t>
  </si>
  <si>
    <t>14278</t>
  </si>
  <si>
    <t>20711</t>
  </si>
  <si>
    <t>11383</t>
  </si>
  <si>
    <t>12497</t>
  </si>
  <si>
    <t>16559</t>
  </si>
  <si>
    <t>11585</t>
  </si>
  <si>
    <t>20277</t>
  </si>
  <si>
    <t>26765</t>
  </si>
  <si>
    <t>12389</t>
  </si>
  <si>
    <t>13585</t>
  </si>
  <si>
    <t>26385</t>
  </si>
  <si>
    <t>12236</t>
  </si>
  <si>
    <t>21560</t>
  </si>
  <si>
    <t>21554</t>
  </si>
  <si>
    <t>13662</t>
  </si>
  <si>
    <t>13089</t>
  </si>
  <si>
    <t>14791</t>
  </si>
  <si>
    <t>19331</t>
  </si>
  <si>
    <t>17754</t>
  </si>
  <si>
    <t>11149</t>
  </si>
  <si>
    <t>16549</t>
  </si>
  <si>
    <t>24305</t>
  </si>
  <si>
    <t>18253</t>
  </si>
  <si>
    <t>20147</t>
  </si>
  <si>
    <t>15612</t>
  </si>
  <si>
    <t>28323</t>
  </si>
  <si>
    <t>22634</t>
  </si>
  <si>
    <t>15665</t>
  </si>
  <si>
    <t>27585</t>
  </si>
  <si>
    <t>19748</t>
  </si>
  <si>
    <t>21974</t>
  </si>
  <si>
    <t>14032</t>
  </si>
  <si>
    <t>22610</t>
  </si>
  <si>
    <t>26984</t>
  </si>
  <si>
    <t>18294</t>
  </si>
  <si>
    <t>28564</t>
  </si>
  <si>
    <t>28521</t>
  </si>
  <si>
    <t>15450</t>
  </si>
  <si>
    <t>25681</t>
  </si>
  <si>
    <t>19491</t>
  </si>
  <si>
    <t>26415</t>
  </si>
  <si>
    <t>12821</t>
  </si>
  <si>
    <t>15629</t>
  </si>
  <si>
    <t>27835</t>
  </si>
  <si>
    <t>11738</t>
  </si>
  <si>
    <t>25065</t>
  </si>
  <si>
    <t>26238</t>
  </si>
  <si>
    <t>23707</t>
  </si>
  <si>
    <t>27650</t>
  </si>
  <si>
    <t>24981</t>
  </si>
  <si>
    <t>20678</t>
  </si>
  <si>
    <t>15302</t>
  </si>
  <si>
    <t>26012</t>
  </si>
  <si>
    <t>26575</t>
  </si>
  <si>
    <t>15559</t>
  </si>
  <si>
    <t>19235</t>
  </si>
  <si>
    <t>15275</t>
  </si>
  <si>
    <t>20339</t>
  </si>
  <si>
    <t>25405</t>
  </si>
  <si>
    <t>15940</t>
  </si>
  <si>
    <t>25074</t>
  </si>
  <si>
    <t>24738</t>
  </si>
  <si>
    <t>16337</t>
  </si>
  <si>
    <t>24357</t>
  </si>
  <si>
    <t>18613</t>
  </si>
  <si>
    <t>12207</t>
  </si>
  <si>
    <t>18052</t>
  </si>
  <si>
    <t>13353</t>
  </si>
  <si>
    <t>19399</t>
  </si>
  <si>
    <t>16154</t>
  </si>
  <si>
    <t>22219</t>
  </si>
  <si>
    <t>17269</t>
  </si>
  <si>
    <t>23586</t>
  </si>
  <si>
    <t>15740</t>
  </si>
  <si>
    <t>27638</t>
  </si>
  <si>
    <t>18976</t>
  </si>
  <si>
    <t>19413</t>
  </si>
  <si>
    <t>13283</t>
  </si>
  <si>
    <t>17471</t>
  </si>
  <si>
    <t>16791</t>
  </si>
  <si>
    <t>15382</t>
  </si>
  <si>
    <t>11641</t>
  </si>
  <si>
    <t>11935</t>
  </si>
  <si>
    <t>13233</t>
  </si>
  <si>
    <t>25909</t>
  </si>
  <si>
    <t>14092</t>
  </si>
  <si>
    <t>29143</t>
  </si>
  <si>
    <t>24941</t>
  </si>
  <si>
    <t>24637</t>
  </si>
  <si>
    <t>23893</t>
  </si>
  <si>
    <t>13907</t>
  </si>
  <si>
    <t>14900</t>
  </si>
  <si>
    <t>11262</t>
  </si>
  <si>
    <t>22294</t>
  </si>
  <si>
    <t>12195</t>
  </si>
  <si>
    <t>25375</t>
  </si>
  <si>
    <t>11143</t>
  </si>
  <si>
    <t>25898</t>
  </si>
  <si>
    <t>24397</t>
  </si>
  <si>
    <t>19758</t>
  </si>
  <si>
    <t>15529</t>
  </si>
  <si>
    <t>19884</t>
  </si>
  <si>
    <t>18674</t>
  </si>
  <si>
    <t>13453</t>
  </si>
  <si>
    <t>14063</t>
  </si>
  <si>
    <t>27393</t>
  </si>
  <si>
    <t>14417</t>
  </si>
  <si>
    <t>17533</t>
  </si>
  <si>
    <t>18580</t>
  </si>
  <si>
    <t>17025</t>
  </si>
  <si>
    <t>25293</t>
  </si>
  <si>
    <t>24725</t>
  </si>
  <si>
    <t>23200</t>
  </si>
  <si>
    <t>15895</t>
  </si>
  <si>
    <t>18577</t>
  </si>
  <si>
    <t>27218</t>
  </si>
  <si>
    <t>18560</t>
  </si>
  <si>
    <t>25006</t>
  </si>
  <si>
    <t>17369</t>
  </si>
  <si>
    <t>14495</t>
  </si>
  <si>
    <t>18847</t>
  </si>
  <si>
    <t>14754</t>
  </si>
  <si>
    <t>23378</t>
  </si>
  <si>
    <t>26452</t>
  </si>
  <si>
    <t>20370</t>
  </si>
  <si>
    <t>20528</t>
  </si>
  <si>
    <t>23549</t>
  </si>
  <si>
    <t>21751</t>
  </si>
  <si>
    <t>21266</t>
  </si>
  <si>
    <t>13388</t>
  </si>
  <si>
    <t>18752</t>
  </si>
  <si>
    <t>16917</t>
  </si>
  <si>
    <t>15313</t>
  </si>
  <si>
    <t>25329</t>
  </si>
  <si>
    <t>20380</t>
  </si>
  <si>
    <t>23089</t>
  </si>
  <si>
    <t>13749</t>
  </si>
  <si>
    <t>24943</t>
  </si>
  <si>
    <t>28667</t>
  </si>
  <si>
    <t>15194</t>
  </si>
  <si>
    <t>17436</t>
  </si>
  <si>
    <t>18935</t>
  </si>
  <si>
    <t>16871</t>
  </si>
  <si>
    <t>12100</t>
  </si>
  <si>
    <t>23158</t>
  </si>
  <si>
    <t>18545</t>
  </si>
  <si>
    <t>18391</t>
  </si>
  <si>
    <t>19812</t>
  </si>
  <si>
    <t>27660</t>
  </si>
  <si>
    <t>18058</t>
  </si>
  <si>
    <t>20343</t>
  </si>
  <si>
    <t>28997</t>
  </si>
  <si>
    <t>24398</t>
  </si>
  <si>
    <t>19002</t>
  </si>
  <si>
    <t>28609</t>
  </si>
  <si>
    <t>29231</t>
  </si>
  <si>
    <t>18858</t>
  </si>
  <si>
    <t>20000</t>
  </si>
  <si>
    <t>25261</t>
  </si>
  <si>
    <t>17458</t>
  </si>
  <si>
    <t>11644</t>
  </si>
  <si>
    <t>16145</t>
  </si>
  <si>
    <t>16890</t>
  </si>
  <si>
    <t>25983</t>
  </si>
  <si>
    <t>14633</t>
  </si>
  <si>
    <t>22994</t>
  </si>
  <si>
    <t>22983</t>
  </si>
  <si>
    <t>25184</t>
  </si>
  <si>
    <t>14469</t>
  </si>
  <si>
    <t>11538</t>
  </si>
  <si>
    <t>16245</t>
  </si>
  <si>
    <t>17858</t>
  </si>
  <si>
    <t>25347</t>
  </si>
  <si>
    <t>15814</t>
  </si>
  <si>
    <t>11259</t>
  </si>
  <si>
    <t>11200</t>
  </si>
  <si>
    <t>25101</t>
  </si>
  <si>
    <t>21801</t>
  </si>
  <si>
    <t>25943</t>
  </si>
  <si>
    <t>22127</t>
  </si>
  <si>
    <t>20414</t>
  </si>
  <si>
    <t>23672</t>
  </si>
  <si>
    <t>29255</t>
  </si>
  <si>
    <t>28815</t>
  </si>
  <si>
    <t>27753</t>
  </si>
  <si>
    <t>27643</t>
  </si>
  <si>
    <t>13754</t>
  </si>
  <si>
    <t>22088</t>
  </si>
  <si>
    <t>27388</t>
  </si>
  <si>
    <t>24745</t>
  </si>
  <si>
    <t>29237</t>
  </si>
  <si>
    <t>15272</t>
  </si>
  <si>
    <t>18949</t>
  </si>
  <si>
    <t>14507</t>
  </si>
  <si>
    <t>25886</t>
  </si>
  <si>
    <t>21441</t>
  </si>
  <si>
    <t>21741</t>
  </si>
  <si>
    <t>14572</t>
  </si>
  <si>
    <t>23368</t>
  </si>
  <si>
    <t>16217</t>
  </si>
  <si>
    <t>16247</t>
  </si>
  <si>
    <t>22010</t>
  </si>
  <si>
    <t>25872</t>
  </si>
  <si>
    <t>19164</t>
  </si>
  <si>
    <t>18435</t>
  </si>
  <si>
    <t>14284</t>
  </si>
  <si>
    <t>11287</t>
  </si>
  <si>
    <t>13066</t>
  </si>
  <si>
    <t>29106</t>
  </si>
  <si>
    <t>26236</t>
  </si>
  <si>
    <t>17531</t>
  </si>
  <si>
    <t>12964</t>
  </si>
  <si>
    <t>19133</t>
  </si>
  <si>
    <t>24643</t>
  </si>
  <si>
    <t>21599</t>
  </si>
  <si>
    <t>22976</t>
  </si>
  <si>
    <t>27637</t>
  </si>
  <si>
    <t>11890</t>
  </si>
  <si>
    <t>28580</t>
  </si>
  <si>
    <t>14443</t>
  </si>
  <si>
    <t>17864</t>
  </si>
  <si>
    <t>20505</t>
  </si>
  <si>
    <t>14592</t>
  </si>
  <si>
    <t>22227</t>
  </si>
  <si>
    <t>21471</t>
  </si>
  <si>
    <t>22252</t>
  </si>
  <si>
    <t>21260</t>
  </si>
  <si>
    <t>11817</t>
  </si>
  <si>
    <t>19223</t>
  </si>
  <si>
    <t>18517</t>
  </si>
  <si>
    <t>21717</t>
  </si>
  <si>
    <t>13760</t>
  </si>
  <si>
    <t>18145</t>
  </si>
  <si>
    <t>21770</t>
  </si>
  <si>
    <t>11165</t>
  </si>
  <si>
    <t>16377</t>
  </si>
  <si>
    <t>26248</t>
  </si>
  <si>
    <t>23461</t>
  </si>
  <si>
    <t>29133</t>
  </si>
  <si>
    <t>27673</t>
  </si>
  <si>
    <t>12774</t>
  </si>
  <si>
    <t>18910</t>
  </si>
  <si>
    <t>11699</t>
  </si>
  <si>
    <t>16725</t>
  </si>
  <si>
    <t>28269</t>
  </si>
  <si>
    <t>23144</t>
  </si>
  <si>
    <t>23376</t>
  </si>
  <si>
    <t>25970</t>
  </si>
  <si>
    <t>28068</t>
  </si>
  <si>
    <t>18390</t>
  </si>
  <si>
    <t>29112</t>
  </si>
  <si>
    <t>14090</t>
  </si>
  <si>
    <t>27040</t>
  </si>
  <si>
    <t>23479</t>
  </si>
  <si>
    <t>16795</t>
  </si>
  <si>
    <t>22014</t>
  </si>
  <si>
    <t>13314</t>
  </si>
  <si>
    <t>11619</t>
  </si>
  <si>
    <t>29132</t>
  </si>
  <si>
    <t>11199</t>
  </si>
  <si>
    <t>20296</t>
  </si>
  <si>
    <t>17546</t>
  </si>
  <si>
    <t>18069</t>
  </si>
  <si>
    <t>23712</t>
  </si>
  <si>
    <t>23358</t>
  </si>
  <si>
    <t>20518</t>
  </si>
  <si>
    <t>28026</t>
  </si>
  <si>
    <t>11669</t>
  </si>
  <si>
    <t>16020</t>
  </si>
  <si>
    <t>27090</t>
  </si>
  <si>
    <t>27198</t>
  </si>
  <si>
    <t>19661</t>
  </si>
  <si>
    <t>26327</t>
  </si>
  <si>
    <t>26341</t>
  </si>
  <si>
    <t>24958</t>
  </si>
  <si>
    <t>13287</t>
  </si>
  <si>
    <t>14493</t>
  </si>
  <si>
    <t>26678</t>
  </si>
  <si>
    <t>23275</t>
  </si>
  <si>
    <t>11270</t>
  </si>
  <si>
    <t>20084</t>
  </si>
  <si>
    <t>16144</t>
  </si>
  <si>
    <t>27731</t>
  </si>
  <si>
    <t>11886</t>
  </si>
  <si>
    <t>24324</t>
  </si>
  <si>
    <t>22220</t>
  </si>
  <si>
    <t>26625</t>
  </si>
  <si>
    <t>23027</t>
  </si>
  <si>
    <t>16867</t>
  </si>
  <si>
    <t>14514</t>
  </si>
  <si>
    <t>19634</t>
  </si>
  <si>
    <t>18504</t>
  </si>
  <si>
    <t>28799</t>
  </si>
  <si>
    <t>11225</t>
  </si>
  <si>
    <t>17657</t>
  </si>
  <si>
    <t>14913</t>
  </si>
  <si>
    <t>14077</t>
  </si>
  <si>
    <t>13296</t>
  </si>
  <si>
    <t>20535</t>
  </si>
  <si>
    <t>12452</t>
  </si>
  <si>
    <t>28043</t>
  </si>
  <si>
    <t>12957</t>
  </si>
  <si>
    <t>15412</t>
  </si>
  <si>
    <t>20514</t>
  </si>
  <si>
    <t>20758</t>
  </si>
  <si>
    <t>11801</t>
  </si>
  <si>
    <t>22211</t>
  </si>
  <si>
    <t>28087</t>
  </si>
  <si>
    <t>23668</t>
  </si>
  <si>
    <t>27441</t>
  </si>
  <si>
    <t>27261</t>
  </si>
  <si>
    <t>18649</t>
  </si>
  <si>
    <t>21714</t>
  </si>
  <si>
    <t>23217</t>
  </si>
  <si>
    <t>23797</t>
  </si>
  <si>
    <t>13216</t>
  </si>
  <si>
    <t>20657</t>
  </si>
  <si>
    <t>12882</t>
  </si>
  <si>
    <t>25908</t>
  </si>
  <si>
    <t>16753</t>
  </si>
  <si>
    <t>14608</t>
  </si>
  <si>
    <t>24979</t>
  </si>
  <si>
    <t>13313</t>
  </si>
  <si>
    <t>18952</t>
  </si>
  <si>
    <t>17699</t>
  </si>
  <si>
    <t>14657</t>
  </si>
  <si>
    <t>11540</t>
  </si>
  <si>
    <t>11783</t>
  </si>
  <si>
    <t>14602</t>
  </si>
  <si>
    <t>29030</t>
  </si>
  <si>
    <t>26490</t>
  </si>
  <si>
    <t>13151</t>
  </si>
  <si>
    <t>17260</t>
  </si>
  <si>
    <t>15372</t>
  </si>
  <si>
    <t>18105</t>
  </si>
  <si>
    <t>19660</t>
  </si>
  <si>
    <t>16112</t>
  </si>
  <si>
    <t>20698</t>
  </si>
  <si>
    <t>20076</t>
  </si>
  <si>
    <t>24496</t>
  </si>
  <si>
    <t>15468</t>
  </si>
  <si>
    <t>28031</t>
  </si>
  <si>
    <t>26270</t>
  </si>
  <si>
    <t>22221</t>
  </si>
  <si>
    <t>28228</t>
  </si>
  <si>
    <t>18363</t>
  </si>
  <si>
    <t>23256</t>
  </si>
  <si>
    <t>12768</t>
  </si>
  <si>
    <t>20361</t>
  </si>
  <si>
    <t>21306</t>
  </si>
  <si>
    <t>13382</t>
  </si>
  <si>
    <t>20310</t>
  </si>
  <si>
    <t>22971</t>
  </si>
  <si>
    <t>15287</t>
  </si>
  <si>
    <t>15532</t>
  </si>
  <si>
    <t>11255</t>
  </si>
  <si>
    <t>28090</t>
  </si>
  <si>
    <t>15255</t>
  </si>
  <si>
    <t>13154</t>
  </si>
  <si>
    <t>26778</t>
  </si>
  <si>
    <t>23248</t>
  </si>
  <si>
    <t>21417</t>
  </si>
  <si>
    <t>17668</t>
  </si>
  <si>
    <t>27994</t>
  </si>
  <si>
    <t>20376</t>
  </si>
  <si>
    <t>25954</t>
  </si>
  <si>
    <t>15749</t>
  </si>
  <si>
    <t>25899</t>
  </si>
  <si>
    <t>13351</t>
  </si>
  <si>
    <t>23333</t>
  </si>
  <si>
    <t>21660</t>
  </si>
  <si>
    <t>17012</t>
  </si>
  <si>
    <t>24514</t>
  </si>
  <si>
    <t>27505</t>
  </si>
  <si>
    <t>29243</t>
  </si>
  <si>
    <t>26582</t>
  </si>
  <si>
    <t>14271</t>
  </si>
  <si>
    <t>23041</t>
  </si>
  <si>
    <t>29048</t>
  </si>
  <si>
    <t>24433</t>
  </si>
  <si>
    <t>15501</t>
  </si>
  <si>
    <t>13911</t>
  </si>
  <si>
    <t>20421</t>
  </si>
  <si>
    <t>16009</t>
  </si>
  <si>
    <t>18411</t>
  </si>
  <si>
    <t>19163</t>
  </si>
  <si>
    <t>18572</t>
  </si>
  <si>
    <t>27540</t>
  </si>
  <si>
    <t>19889</t>
  </si>
  <si>
    <t>12922</t>
  </si>
  <si>
    <t>18891</t>
  </si>
  <si>
    <t>16773</t>
  </si>
  <si>
    <t>19143</t>
  </si>
  <si>
    <t>23882</t>
  </si>
  <si>
    <t>11233</t>
  </si>
  <si>
    <t>12056</t>
  </si>
  <si>
    <t>15555</t>
  </si>
  <si>
    <t>18423</t>
  </si>
  <si>
    <t>22743</t>
  </si>
  <si>
    <t>25343</t>
  </si>
  <si>
    <t>13390</t>
  </si>
  <si>
    <t>17482</t>
  </si>
  <si>
    <t>13176</t>
  </si>
  <si>
    <t>20504</t>
  </si>
  <si>
    <t>12205</t>
  </si>
  <si>
    <t>16751</t>
  </si>
  <si>
    <t>21613</t>
  </si>
  <si>
    <t>24801</t>
  </si>
  <si>
    <t>17519</t>
  </si>
  <si>
    <t>18347</t>
  </si>
  <si>
    <t>29052</t>
  </si>
  <si>
    <t>11745</t>
  </si>
  <si>
    <t>19147</t>
  </si>
  <si>
    <t>19217</t>
  </si>
  <si>
    <t>15839</t>
  </si>
  <si>
    <t>13714</t>
  </si>
  <si>
    <t>22330</t>
  </si>
  <si>
    <t>18783</t>
  </si>
  <si>
    <t>25041</t>
  </si>
  <si>
    <t>22046</t>
  </si>
  <si>
    <t>28052</t>
  </si>
  <si>
    <t>26693</t>
  </si>
  <si>
    <t>24955</t>
  </si>
  <si>
    <t>26065</t>
  </si>
  <si>
    <t>13942</t>
  </si>
  <si>
    <t>11219</t>
  </si>
  <si>
    <t>22118</t>
  </si>
  <si>
    <t>23197</t>
  </si>
  <si>
    <t>14883</t>
  </si>
  <si>
    <t>27279</t>
  </si>
  <si>
    <t>18322</t>
  </si>
  <si>
    <t>15879</t>
  </si>
  <si>
    <t>28278</t>
  </si>
  <si>
    <t>24416</t>
  </si>
  <si>
    <t>28066</t>
  </si>
  <si>
    <t>11275</t>
  </si>
  <si>
    <t>14872</t>
  </si>
  <si>
    <t>16151</t>
  </si>
  <si>
    <t>19731</t>
  </si>
  <si>
    <t>23801</t>
  </si>
  <si>
    <t>11807</t>
  </si>
  <si>
    <t>11622</t>
  </si>
  <si>
    <t>26597</t>
  </si>
  <si>
    <t>27074</t>
  </si>
  <si>
    <t>19228</t>
  </si>
  <si>
    <t>13415</t>
  </si>
  <si>
    <t>17000</t>
  </si>
  <si>
    <t>14569</t>
  </si>
  <si>
    <t>13873</t>
  </si>
  <si>
    <t>20401</t>
  </si>
  <si>
    <t>21583</t>
  </si>
  <si>
    <t>12029</t>
  </si>
  <si>
    <t>18066</t>
  </si>
  <si>
    <t>28192</t>
  </si>
  <si>
    <t>16122</t>
  </si>
  <si>
    <t>18607</t>
  </si>
  <si>
    <t>28858</t>
  </si>
  <si>
    <t>14432</t>
  </si>
  <si>
    <t>26305</t>
  </si>
  <si>
    <t>22050</t>
  </si>
  <si>
    <t>25394</t>
  </si>
  <si>
    <t>19747</t>
  </si>
  <si>
    <t>23195</t>
  </si>
  <si>
    <t>21695</t>
  </si>
  <si>
    <t>13934</t>
  </si>
  <si>
    <t>13337</t>
  </si>
  <si>
    <t>27190</t>
  </si>
  <si>
    <t>28657</t>
  </si>
  <si>
    <t>21713</t>
  </si>
  <si>
    <t>21752</t>
  </si>
  <si>
    <t>27273</t>
  </si>
  <si>
    <t>22719</t>
  </si>
  <si>
    <t>22042</t>
  </si>
  <si>
    <t>21451</t>
  </si>
  <si>
    <t>20754</t>
  </si>
  <si>
    <t>12153</t>
  </si>
  <si>
    <t>16895</t>
  </si>
  <si>
    <t>26728</t>
  </si>
  <si>
    <t>11090</t>
  </si>
  <si>
    <t>15862</t>
  </si>
  <si>
    <t>26495</t>
  </si>
  <si>
    <t>11823</t>
  </si>
  <si>
    <t>23449</t>
  </si>
  <si>
    <t>23459</t>
  </si>
  <si>
    <t>19543</t>
  </si>
  <si>
    <t>14914</t>
  </si>
  <si>
    <t>12033</t>
  </si>
  <si>
    <t>11941</t>
  </si>
  <si>
    <t>14389</t>
  </si>
  <si>
    <t>18050</t>
  </si>
  <si>
    <t>19856</t>
  </si>
  <si>
    <t>11663</t>
  </si>
  <si>
    <t>27740</t>
  </si>
  <si>
    <t>23455</t>
  </si>
  <si>
    <t>15292</t>
  </si>
  <si>
    <t>21587</t>
  </si>
  <si>
    <t>23513</t>
  </si>
  <si>
    <t>24322</t>
  </si>
  <si>
    <t>26298</t>
  </si>
  <si>
    <t>25419</t>
  </si>
  <si>
    <t>13343</t>
  </si>
  <si>
    <t>11303</t>
  </si>
  <si>
    <t>21693</t>
  </si>
  <si>
    <t>28056</t>
  </si>
  <si>
    <t>11788</t>
  </si>
  <si>
    <t>22296</t>
  </si>
  <si>
    <t>15319</t>
  </si>
  <si>
    <t>17654</t>
  </si>
  <si>
    <t>14662</t>
  </si>
  <si>
    <t>17541</t>
  </si>
  <si>
    <t>13886</t>
  </si>
  <si>
    <t>13073</t>
  </si>
  <si>
    <t>21940</t>
  </si>
  <si>
    <t>20196</t>
  </si>
  <si>
    <t>23491</t>
  </si>
  <si>
    <t>16651</t>
  </si>
  <si>
    <t>16813</t>
  </si>
  <si>
    <t>16007</t>
  </si>
  <si>
    <t>27434</t>
  </si>
  <si>
    <t>27756</t>
  </si>
  <si>
    <t>23818</t>
  </si>
  <si>
    <t>19012</t>
  </si>
  <si>
    <t>18329</t>
  </si>
  <si>
    <t>29037</t>
  </si>
  <si>
    <t>26576</t>
  </si>
  <si>
    <t>12192</t>
  </si>
  <si>
    <t>14887</t>
  </si>
  <si>
    <t>11734</t>
  </si>
  <si>
    <t>17462</t>
  </si>
  <si>
    <t>20659</t>
  </si>
  <si>
    <t>28004</t>
  </si>
  <si>
    <t>19741</t>
  </si>
  <si>
    <t>17450</t>
  </si>
  <si>
    <t>17337</t>
  </si>
  <si>
    <t>18594</t>
  </si>
  <si>
    <t>15982</t>
  </si>
  <si>
    <t>28625</t>
  </si>
  <si>
    <t>11269</t>
  </si>
  <si>
    <t>25148</t>
  </si>
  <si>
    <t>13920</t>
  </si>
  <si>
    <t>23704</t>
  </si>
  <si>
    <t>28972</t>
  </si>
  <si>
    <t>22730</t>
  </si>
  <si>
    <t>29134</t>
  </si>
  <si>
    <t>14332</t>
  </si>
  <si>
    <t>19117</t>
  </si>
  <si>
    <t>22864</t>
  </si>
  <si>
    <t>11292</t>
  </si>
  <si>
    <t>13466</t>
  </si>
  <si>
    <t>23731</t>
  </si>
  <si>
    <t>28672</t>
  </si>
  <si>
    <t>11809</t>
  </si>
  <si>
    <t>19664</t>
  </si>
  <si>
    <t>12121</t>
  </si>
  <si>
    <t>age group</t>
  </si>
  <si>
    <t>Family size</t>
  </si>
  <si>
    <t>Car owned</t>
  </si>
  <si>
    <t>Financial stability</t>
  </si>
  <si>
    <t>commute distance(numeric)</t>
  </si>
  <si>
    <t>Bikes owned</t>
  </si>
  <si>
    <t>Married</t>
  </si>
  <si>
    <t>Marriedarital SingletatuSingle</t>
  </si>
  <si>
    <t>Single</t>
  </si>
  <si>
    <t>Female</t>
  </si>
  <si>
    <t>Male</t>
  </si>
  <si>
    <t>Income band</t>
  </si>
  <si>
    <t>Income/F.Member</t>
  </si>
  <si>
    <t>Job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</si>
</sst>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6" fontId="0" fillId="0" borderId="0" xfId="0" applyNumberFormat="1"/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66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numFmt numFmtId="2" formatCode="0.00"/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ont>
        <color rgb="FF9C0006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006100"/>
      </font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30" formatCode="@"/>
    </dxf>
    <dxf>
      <numFmt numFmtId="166" formatCode="&quot;₹&quot;\ #,##0.00"/>
    </dxf>
    <dxf>
      <numFmt numFmtId="30" formatCode="@"/>
    </dxf>
    <dxf>
      <numFmt numFmtId="0" formatCode="General"/>
    </dxf>
    <dxf>
      <numFmt numFmtId="30" formatCode="@"/>
    </dxf>
    <dxf>
      <numFmt numFmtId="1" formatCode="0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166" formatCode="&quot;₹&quot;\ 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2" formatCode="0.00"/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numFmt numFmtId="2" formatCode="0.00"/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2" formatCode="0.00"/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2" formatCode="0.00"/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8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2" formatCode="0.00"/>
      <alignment horizontal="right" vertical="bottom" textRotation="0" wrapText="0" indent="0" justifyLastLine="0" shrinkToFit="0" readingOrder="0"/>
    </dxf>
    <dxf>
      <numFmt numFmtId="0" formatCode="General"/>
    </dxf>
    <dxf>
      <numFmt numFmtId="2" formatCode="0.00"/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2" formatCode="0.00"/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theme="9" tint="-0.24994659260841701"/>
        </patternFill>
      </fill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8" tint="0.59999389629810485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gradientFill degree="90">
          <stop position="0">
            <color theme="0"/>
          </stop>
          <stop position="1">
            <color rgb="FFC00000"/>
          </stop>
        </gradientFill>
      </fill>
    </dxf>
    <dxf>
      <fill>
        <gradientFill degree="90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164" formatCode="&quot;$&quot;#,##0.00"/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F2772F-87BB-4755-8A53-D2D98939ED7B}" autoFormatId="16" applyNumberFormats="0" applyBorderFormats="0" applyFontFormats="0" applyPatternFormats="0" applyAlignmentFormats="0" applyWidthHeightFormats="0">
  <queryTableRefresh nextId="26" unboundColumnsRight="8">
    <queryTableFields count="22">
      <queryTableField id="1" name="ID" tableColumnId="1"/>
      <queryTableField id="2" name="Marital Status" tableColumnId="2"/>
      <queryTableField id="3" name="Gender" tableColumnId="3"/>
      <queryTableField id="4" name="Income" tableColumnId="4"/>
      <queryTableField id="5" name="Children" tableColumnId="5"/>
      <queryTableField id="6" name="Education" tableColumnId="6"/>
      <queryTableField id="7" name="Occupation" tableColumnId="7"/>
      <queryTableField id="8" name="Home Owner" tableColumnId="8"/>
      <queryTableField id="9" name="Cars" tableColumnId="9"/>
      <queryTableField id="10" name="Commute Distance" tableColumnId="10"/>
      <queryTableField id="20" dataBound="0" tableColumnId="20"/>
      <queryTableField id="11" name="Region" tableColumnId="11"/>
      <queryTableField id="12" name="Age" tableColumnId="12"/>
      <queryTableField id="13" name="Purchased Bike" tableColumnId="13"/>
      <queryTableField id="21" dataBound="0" tableColumnId="21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22" dataBound="0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CE1883-296F-45F5-84FB-2BD6C36BBFFA}" name="Table1_1" displayName="Table1_1" ref="A1:V1001" tableType="queryTable" totalsRowShown="0">
  <autoFilter ref="A1:V1001" xr:uid="{74CE1883-296F-45F5-84FB-2BD6C36BBFFA}"/>
  <tableColumns count="22">
    <tableColumn id="1" xr3:uid="{D099C3CB-F973-4828-B5FA-4140A6F4DD40}" uniqueName="1" name="ID" queryTableFieldId="1" dataDxfId="45"/>
    <tableColumn id="2" xr3:uid="{B17B3681-EA6E-4CBD-A85F-771A59404070}" uniqueName="2" name="Marriedarital SingletatuSingle" queryTableFieldId="2" dataDxfId="43"/>
    <tableColumn id="3" xr3:uid="{6BBC7CFB-4AEF-4B1A-8356-BA162DA22ED6}" uniqueName="3" name="Gender" queryTableFieldId="3" dataDxfId="44"/>
    <tableColumn id="4" xr3:uid="{BB4D4764-9D16-49FC-B829-E18156097B1E}" uniqueName="4" name="Income" queryTableFieldId="4" dataDxfId="46"/>
    <tableColumn id="5" xr3:uid="{74756959-C0FA-4D1C-85E9-19A0F6E84D0A}" uniqueName="5" name="Children" queryTableFieldId="5"/>
    <tableColumn id="6" xr3:uid="{D79308DA-7881-4E25-910A-D326489180D5}" uniqueName="6" name="Education" queryTableFieldId="6" dataDxfId="47"/>
    <tableColumn id="7" xr3:uid="{822C8830-36A8-4B7C-A543-EE2EF9D2A4A4}" uniqueName="7" name="Occupation" queryTableFieldId="7" dataDxfId="48"/>
    <tableColumn id="8" xr3:uid="{BD7D0367-84B8-48D2-9544-133C5E6FABEB}" uniqueName="8" name="Home Owner" queryTableFieldId="8" dataDxfId="49"/>
    <tableColumn id="9" xr3:uid="{CEEF32E7-ABE9-472E-97C1-5150295CD9D2}" uniqueName="9" name="Cars" queryTableFieldId="9"/>
    <tableColumn id="10" xr3:uid="{9784A074-4D91-447F-B24A-20ADE23D63C2}" uniqueName="10" name="Commute Distance" queryTableFieldId="10" dataDxfId="53"/>
    <tableColumn id="20" xr3:uid="{A89B1A6D-D47F-4D50-9AC6-E36E1348FCDD}" uniqueName="20" name="commute distance(numeric)" queryTableFieldId="20" dataDxfId="52"/>
    <tableColumn id="11" xr3:uid="{5640E207-2B5E-4E1C-A1CE-065098A186EE}" uniqueName="11" name="Region" queryTableFieldId="11" dataDxfId="50"/>
    <tableColumn id="12" xr3:uid="{E054AF99-54C4-4D19-83DC-44B65C232A0C}" uniqueName="12" name="Age" queryTableFieldId="12" dataDxfId="51"/>
    <tableColumn id="13" xr3:uid="{F3DD3702-7F91-4F5B-9399-0A189702D8AA}" uniqueName="13" name="Purchased Bike" queryTableFieldId="13" dataDxfId="190"/>
    <tableColumn id="21" xr3:uid="{7EB1202B-A3AA-46CC-AD7C-EF0652DC4BA6}" uniqueName="21" name="Bikes owned" queryTableFieldId="21" dataDxfId="189">
      <calculatedColumnFormula>IF(Table1_1[[#This Row],[Purchased Bike]]="yes","1","0")</calculatedColumnFormula>
    </tableColumn>
    <tableColumn id="14" xr3:uid="{613F98D5-FD27-488B-B008-C0003AEFBD4E}" uniqueName="14" name="Income band" queryTableFieldId="14" dataDxfId="42">
      <calculatedColumnFormula>IF(Table1_1[[#This Row],[Income]]&lt;=30000,"Low ",IF(Table1_1[[#This Row],[Income]]&lt;=70000,"Middle","High"))</calculatedColumnFormula>
    </tableColumn>
    <tableColumn id="15" xr3:uid="{D60FC1F2-9ED5-402A-A85B-EE64AD12DFA9}" uniqueName="15" name="age group" queryTableFieldId="15" dataDxfId="40">
      <calculatedColumnFormula>IF(Table1_1[[#This Row],[Age]]&lt;30,"Young",IF(Table1_1[[#This Row],[Age]]&lt;50,"Middle aged","Senior citizen"))</calculatedColumnFormula>
    </tableColumn>
    <tableColumn id="16" xr3:uid="{4130DBDF-A531-4EFB-BA35-7774F32F3B9E}" uniqueName="16" name="Family size" queryTableFieldId="16" dataDxfId="41">
      <calculatedColumnFormula>IF(Table1_1[[#This Row],[Marriedarital SingletatuSingle]]="M",Table1_1[[#This Row],[Children]]+2,Table1_1[[#This Row],[Children]]+1)</calculatedColumnFormula>
    </tableColumn>
    <tableColumn id="17" xr3:uid="{5EABD6E1-CAE6-411D-8E48-65C497D3B964}" uniqueName="17" name="Car owned" queryTableFieldId="17" dataDxfId="39">
      <calculatedColumnFormula>IF(Table1_1[[#This Row],[Cars]]=0,"No","Yes")</calculatedColumnFormula>
    </tableColumn>
    <tableColumn id="18" xr3:uid="{2912DF90-D2C2-4797-842B-7683BBE0F498}" uniqueName="18" name="Financial stability" queryTableFieldId="18" dataDxfId="38">
      <calculatedColumnFormula>IF(AND(Table1_1[[#This Row],[Income]]&gt;50000,Table1_1[[#This Row],[Home Owner]]="Yes"),"High stability","Low stability")</calculatedColumnFormula>
    </tableColumn>
    <tableColumn id="22" xr3:uid="{18556584-3003-4C74-AA43-53C461234DB7}" uniqueName="22" name="Income/F.Member" queryTableFieldId="22" dataDxfId="37">
      <calculatedColumnFormula>Table1_1[[#This Row],[Income]]/Table1_1[[#This Row],[Family size]]</calculatedColumnFormula>
    </tableColumn>
    <tableColumn id="23" xr3:uid="{481F05FB-2EAB-4F8C-8044-756C9707BCB4}" uniqueName="23" name="Job status" queryTableFieldId="23" dataDxfId="36">
      <calculatedColumnFormula>IF(Table1_1[[#This Row],[Occupation]]="Skilled manual","Blue collar",IF(Table1_1[[#This Row],[Occupation]]="Manual","Blue collar","White collar"))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EA737-C501-4F26-94BE-A9D66A5F5A19}" name="Table1" displayName="Table1" ref="A1:M1027" totalsRowShown="0">
  <autoFilter ref="A1:M1027" xr:uid="{985EA737-C501-4F26-94BE-A9D66A5F5A19}"/>
  <tableColumns count="13">
    <tableColumn id="1" xr3:uid="{11CE2C4E-57FC-4780-818A-2DB6AB366567}" name="ID"/>
    <tableColumn id="2" xr3:uid="{B963FE74-822A-4AB7-9E51-E57C234B2E3C}" name="Marital Status"/>
    <tableColumn id="3" xr3:uid="{6B6D26B1-37B9-488B-9684-B9F5CF693AEB}" name="Gender"/>
    <tableColumn id="4" xr3:uid="{5D44F558-1F8A-4179-9797-06CEE462C850}" name="Income" dataDxfId="965"/>
    <tableColumn id="5" xr3:uid="{B9F5824E-D747-48C4-9562-B67DFB116C44}" name="Children"/>
    <tableColumn id="6" xr3:uid="{10CFF52B-C9C9-4F42-8B22-0130C6DB2A21}" name="Education"/>
    <tableColumn id="7" xr3:uid="{4500D454-85C6-4D90-A49B-DD125C2F65A1}" name="Occupation"/>
    <tableColumn id="8" xr3:uid="{37083452-C7AA-48F1-82D1-2CA2774F8091}" name="Home Owner"/>
    <tableColumn id="9" xr3:uid="{EC1A435A-8145-4916-B878-7A412511E0D3}" name="Cars"/>
    <tableColumn id="10" xr3:uid="{348F8274-425B-45B1-8370-984AFD32C16F}" name="Commute Distance"/>
    <tableColumn id="11" xr3:uid="{B77AE03B-F794-4F16-A13B-A99D26231F06}" name="Region"/>
    <tableColumn id="12" xr3:uid="{A0A43550-5260-4714-B299-09DAC9D5373A}" name="Age"/>
    <tableColumn id="13" xr3:uid="{8407E2ED-9DA8-4BF6-8C19-D04BA7827CBA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EDA1-A2F6-442A-B901-32BF7152FE85}">
  <dimension ref="A1:V1001"/>
  <sheetViews>
    <sheetView tabSelected="1" zoomScale="80" workbookViewId="0">
      <selection activeCell="M1" sqref="M1:M1048576"/>
    </sheetView>
  </sheetViews>
  <sheetFormatPr defaultRowHeight="14.4" x14ac:dyDescent="0.3"/>
  <cols>
    <col min="1" max="1" width="6" bestFit="1" customWidth="1"/>
    <col min="2" max="2" width="14.88671875" style="6" bestFit="1" customWidth="1"/>
    <col min="3" max="3" width="9.33203125" style="6" bestFit="1" customWidth="1"/>
    <col min="4" max="4" width="11.88671875" bestFit="1" customWidth="1"/>
    <col min="5" max="5" width="10.21875" bestFit="1" customWidth="1"/>
    <col min="6" max="6" width="16.21875" style="6" bestFit="1" customWidth="1"/>
    <col min="7" max="7" width="12.88671875" style="6" bestFit="1" customWidth="1"/>
    <col min="8" max="8" width="14.21875" style="6" bestFit="1" customWidth="1"/>
    <col min="9" max="9" width="6.77734375" bestFit="1" customWidth="1"/>
    <col min="10" max="10" width="19.21875" bestFit="1" customWidth="1"/>
    <col min="12" max="12" width="25.21875" style="6" customWidth="1"/>
    <col min="13" max="13" width="12.88671875" bestFit="1" customWidth="1"/>
    <col min="14" max="14" width="10.77734375" style="7" bestFit="1" customWidth="1"/>
    <col min="15" max="15" width="16.109375" bestFit="1" customWidth="1"/>
    <col min="16" max="16" width="16.109375" style="9" customWidth="1"/>
    <col min="17" max="17" width="14.88671875" style="6" bestFit="1" customWidth="1"/>
    <col min="18" max="18" width="11.6640625" bestFit="1" customWidth="1"/>
    <col min="19" max="19" width="12.109375" style="7" bestFit="1" customWidth="1"/>
    <col min="20" max="20" width="12.21875" style="6" bestFit="1" customWidth="1"/>
    <col min="21" max="21" width="17.6640625" bestFit="1" customWidth="1"/>
    <col min="22" max="22" width="19.109375" style="6" bestFit="1" customWidth="1"/>
    <col min="23" max="23" width="20.88671875" bestFit="1" customWidth="1"/>
  </cols>
  <sheetData>
    <row r="1" spans="1:22" x14ac:dyDescent="0.3">
      <c r="A1" t="s">
        <v>0</v>
      </c>
      <c r="B1" s="6" t="s">
        <v>1043</v>
      </c>
      <c r="C1" s="6" t="s">
        <v>2</v>
      </c>
      <c r="D1" t="s">
        <v>3</v>
      </c>
      <c r="E1" t="s">
        <v>4</v>
      </c>
      <c r="F1" s="6" t="s">
        <v>5</v>
      </c>
      <c r="G1" s="6" t="s">
        <v>6</v>
      </c>
      <c r="H1" s="6" t="s">
        <v>7</v>
      </c>
      <c r="I1" t="s">
        <v>8</v>
      </c>
      <c r="J1" t="s">
        <v>9</v>
      </c>
      <c r="K1" s="5" t="s">
        <v>1040</v>
      </c>
      <c r="L1" s="6" t="s">
        <v>10</v>
      </c>
      <c r="M1" s="7" t="s">
        <v>11</v>
      </c>
      <c r="N1" t="s">
        <v>12</v>
      </c>
      <c r="O1" s="8" t="s">
        <v>1041</v>
      </c>
      <c r="P1" t="s">
        <v>1047</v>
      </c>
      <c r="Q1" s="6" t="s">
        <v>1036</v>
      </c>
      <c r="R1" s="7" t="s">
        <v>1037</v>
      </c>
      <c r="S1" t="s">
        <v>1038</v>
      </c>
      <c r="T1" s="6" t="s">
        <v>1039</v>
      </c>
      <c r="U1" s="3" t="s">
        <v>1048</v>
      </c>
      <c r="V1" s="6" t="s">
        <v>1049</v>
      </c>
    </row>
    <row r="2" spans="1:22" x14ac:dyDescent="0.3">
      <c r="A2" t="s">
        <v>36</v>
      </c>
      <c r="B2" s="6" t="s">
        <v>1042</v>
      </c>
      <c r="C2" s="6" t="s">
        <v>1045</v>
      </c>
      <c r="D2" s="3">
        <v>40000</v>
      </c>
      <c r="E2">
        <v>1</v>
      </c>
      <c r="F2" s="6" t="s">
        <v>13</v>
      </c>
      <c r="G2" s="6" t="s">
        <v>14</v>
      </c>
      <c r="H2" s="6" t="s">
        <v>15</v>
      </c>
      <c r="I2">
        <v>0</v>
      </c>
      <c r="J2" t="s">
        <v>16</v>
      </c>
      <c r="K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" s="6" t="s">
        <v>17</v>
      </c>
      <c r="M2" s="7">
        <v>42</v>
      </c>
      <c r="N2" t="s">
        <v>18</v>
      </c>
      <c r="O2" s="9" t="str">
        <f>IF(Table1_1[[#This Row],[Purchased Bike]]="yes","1","0")</f>
        <v>0</v>
      </c>
      <c r="P2" s="4" t="str">
        <f>IF(Table1_1[[#This Row],[Income]]&lt;=30000,"Low ",IF(Table1_1[[#This Row],[Income]]&lt;=70000,"Middle","High"))</f>
        <v>Middle</v>
      </c>
      <c r="Q2" s="6" t="str">
        <f>IF(Table1_1[[#This Row],[Age]]&lt;30,"Young",IF(Table1_1[[#This Row],[Age]]&lt;50,"Middle aged","Senior citizen"))</f>
        <v>Middle aged</v>
      </c>
      <c r="R2" s="7">
        <f>IF(Table1_1[[#This Row],[Marriedarital SingletatuSingle]]="M",Table1_1[[#This Row],[Children]]+2,Table1_1[[#This Row],[Children]]+1)</f>
        <v>2</v>
      </c>
      <c r="S2" s="4" t="str">
        <f>IF(Table1_1[[#This Row],[Cars]]=0,"No","Yes")</f>
        <v>No</v>
      </c>
      <c r="T2" s="6" t="str">
        <f>IF(AND(Table1_1[[#This Row],[Income]]&gt;50000,Table1_1[[#This Row],[Home Owner]]="Yes"),"High stability","Low stability")</f>
        <v>Low stability</v>
      </c>
      <c r="U2" s="3">
        <f>Table1_1[[#This Row],[Income]]/Table1_1[[#This Row],[Family size]]</f>
        <v>20000</v>
      </c>
      <c r="V2" s="6" t="str">
        <f>IF(Table1_1[[#This Row],[Occupation]]="Skilled manual","Blue collar",IF(Table1_1[[#This Row],[Occupation]]="Manual","Blue collar","White collar"))</f>
        <v>Blue collar</v>
      </c>
    </row>
    <row r="3" spans="1:22" x14ac:dyDescent="0.3">
      <c r="A3" t="s">
        <v>37</v>
      </c>
      <c r="B3" s="6" t="s">
        <v>1042</v>
      </c>
      <c r="C3" s="6" t="s">
        <v>1046</v>
      </c>
      <c r="D3" s="3">
        <v>30000</v>
      </c>
      <c r="E3">
        <v>3</v>
      </c>
      <c r="F3" s="6" t="s">
        <v>19</v>
      </c>
      <c r="G3" s="6" t="s">
        <v>20</v>
      </c>
      <c r="H3" s="6" t="s">
        <v>15</v>
      </c>
      <c r="I3">
        <v>1</v>
      </c>
      <c r="J3" t="s">
        <v>16</v>
      </c>
      <c r="K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" s="6" t="s">
        <v>17</v>
      </c>
      <c r="M3" s="7">
        <v>43</v>
      </c>
      <c r="N3" t="s">
        <v>18</v>
      </c>
      <c r="O3" s="9" t="str">
        <f>IF(Table1_1[[#This Row],[Purchased Bike]]="yes","1","0")</f>
        <v>0</v>
      </c>
      <c r="P3" s="4" t="str">
        <f>IF(Table1_1[[#This Row],[Income]]&lt;=30000,"Low ",IF(Table1_1[[#This Row],[Income]]&lt;=70000,"Middle","High"))</f>
        <v xml:space="preserve">Low </v>
      </c>
      <c r="Q3" s="6" t="str">
        <f>IF(Table1_1[[#This Row],[Age]]&lt;30,"Young",IF(Table1_1[[#This Row],[Age]]&lt;50,"Middle aged","Senior citizen"))</f>
        <v>Middle aged</v>
      </c>
      <c r="R3" s="7">
        <f>IF(Table1_1[[#This Row],[Marriedarital SingletatuSingle]]="M",Table1_1[[#This Row],[Children]]+2,Table1_1[[#This Row],[Children]]+1)</f>
        <v>4</v>
      </c>
      <c r="S3" s="4" t="str">
        <f>IF(Table1_1[[#This Row],[Cars]]=0,"No","Yes")</f>
        <v>Yes</v>
      </c>
      <c r="T3" s="6" t="str">
        <f>IF(AND(Table1_1[[#This Row],[Income]]&gt;50000,Table1_1[[#This Row],[Home Owner]]="Yes"),"High stability","Low stability")</f>
        <v>Low stability</v>
      </c>
      <c r="U3" s="3">
        <f>Table1_1[[#This Row],[Income]]/Table1_1[[#This Row],[Family size]]</f>
        <v>7500</v>
      </c>
      <c r="V3" s="6" t="str">
        <f>IF(Table1_1[[#This Row],[Occupation]]="Skilled manual","Blue collar",IF(Table1_1[[#This Row],[Occupation]]="Manual","Blue collar","White collar"))</f>
        <v>White collar</v>
      </c>
    </row>
    <row r="4" spans="1:22" x14ac:dyDescent="0.3">
      <c r="A4" t="s">
        <v>38</v>
      </c>
      <c r="B4" s="6" t="s">
        <v>1042</v>
      </c>
      <c r="C4" s="6" t="s">
        <v>1046</v>
      </c>
      <c r="D4" s="3">
        <v>80000</v>
      </c>
      <c r="E4">
        <v>5</v>
      </c>
      <c r="F4" s="6" t="s">
        <v>19</v>
      </c>
      <c r="G4" s="6" t="s">
        <v>21</v>
      </c>
      <c r="H4" s="6" t="s">
        <v>18</v>
      </c>
      <c r="I4">
        <v>2</v>
      </c>
      <c r="J4" t="s">
        <v>22</v>
      </c>
      <c r="K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" s="6" t="s">
        <v>17</v>
      </c>
      <c r="M4" s="7">
        <v>60</v>
      </c>
      <c r="N4" t="s">
        <v>18</v>
      </c>
      <c r="O4" s="9" t="str">
        <f>IF(Table1_1[[#This Row],[Purchased Bike]]="yes","1","0")</f>
        <v>0</v>
      </c>
      <c r="P4" s="4" t="str">
        <f>IF(Table1_1[[#This Row],[Income]]&lt;=30000,"Low ",IF(Table1_1[[#This Row],[Income]]&lt;=70000,"Middle","High"))</f>
        <v>High</v>
      </c>
      <c r="Q4" s="6" t="str">
        <f>IF(Table1_1[[#This Row],[Age]]&lt;30,"Young",IF(Table1_1[[#This Row],[Age]]&lt;50,"Middle aged","Senior citizen"))</f>
        <v>Senior citizen</v>
      </c>
      <c r="R4" s="7">
        <f>IF(Table1_1[[#This Row],[Marriedarital SingletatuSingle]]="M",Table1_1[[#This Row],[Children]]+2,Table1_1[[#This Row],[Children]]+1)</f>
        <v>6</v>
      </c>
      <c r="S4" s="4" t="str">
        <f>IF(Table1_1[[#This Row],[Cars]]=0,"No","Yes")</f>
        <v>Yes</v>
      </c>
      <c r="T4" s="6" t="str">
        <f>IF(AND(Table1_1[[#This Row],[Income]]&gt;50000,Table1_1[[#This Row],[Home Owner]]="Yes"),"High stability","Low stability")</f>
        <v>Low stability</v>
      </c>
      <c r="U4" s="3">
        <f>Table1_1[[#This Row],[Income]]/Table1_1[[#This Row],[Family size]]</f>
        <v>13333.333333333334</v>
      </c>
      <c r="V4" s="6" t="str">
        <f>IF(Table1_1[[#This Row],[Occupation]]="Skilled manual","Blue collar",IF(Table1_1[[#This Row],[Occupation]]="Manual","Blue collar","White collar"))</f>
        <v>White collar</v>
      </c>
    </row>
    <row r="5" spans="1:22" x14ac:dyDescent="0.3">
      <c r="A5" t="s">
        <v>39</v>
      </c>
      <c r="B5" s="6" t="s">
        <v>1044</v>
      </c>
      <c r="C5" s="6" t="s">
        <v>1046</v>
      </c>
      <c r="D5" s="3">
        <v>70000</v>
      </c>
      <c r="E5">
        <v>0</v>
      </c>
      <c r="F5" s="6" t="s">
        <v>13</v>
      </c>
      <c r="G5" s="6" t="s">
        <v>21</v>
      </c>
      <c r="H5" s="6" t="s">
        <v>15</v>
      </c>
      <c r="I5">
        <v>1</v>
      </c>
      <c r="J5" t="s">
        <v>23</v>
      </c>
      <c r="K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" s="6" t="s">
        <v>24</v>
      </c>
      <c r="M5" s="7">
        <v>41</v>
      </c>
      <c r="N5" t="s">
        <v>15</v>
      </c>
      <c r="O5" s="9" t="str">
        <f>IF(Table1_1[[#This Row],[Purchased Bike]]="yes","1","0")</f>
        <v>1</v>
      </c>
      <c r="P5" s="4" t="str">
        <f>IF(Table1_1[[#This Row],[Income]]&lt;=30000,"Low ",IF(Table1_1[[#This Row],[Income]]&lt;=70000,"Middle","High"))</f>
        <v>Middle</v>
      </c>
      <c r="Q5" s="6" t="str">
        <f>IF(Table1_1[[#This Row],[Age]]&lt;30,"Young",IF(Table1_1[[#This Row],[Age]]&lt;50,"Middle aged","Senior citizen"))</f>
        <v>Middle aged</v>
      </c>
      <c r="R5" s="7">
        <f>IF(Table1_1[[#This Row],[Marriedarital SingletatuSingle]]="M",Table1_1[[#This Row],[Children]]+2,Table1_1[[#This Row],[Children]]+1)</f>
        <v>1</v>
      </c>
      <c r="S5" s="4" t="str">
        <f>IF(Table1_1[[#This Row],[Cars]]=0,"No","Yes")</f>
        <v>Yes</v>
      </c>
      <c r="T5" s="6" t="str">
        <f>IF(AND(Table1_1[[#This Row],[Income]]&gt;50000,Table1_1[[#This Row],[Home Owner]]="Yes"),"High stability","Low stability")</f>
        <v>High stability</v>
      </c>
      <c r="U5" s="3">
        <f>Table1_1[[#This Row],[Income]]/Table1_1[[#This Row],[Family size]]</f>
        <v>70000</v>
      </c>
      <c r="V5" s="6" t="str">
        <f>IF(Table1_1[[#This Row],[Occupation]]="Skilled manual","Blue collar",IF(Table1_1[[#This Row],[Occupation]]="Manual","Blue collar","White collar"))</f>
        <v>White collar</v>
      </c>
    </row>
    <row r="6" spans="1:22" x14ac:dyDescent="0.3">
      <c r="A6" t="s">
        <v>40</v>
      </c>
      <c r="B6" s="6" t="s">
        <v>1044</v>
      </c>
      <c r="C6" s="6" t="s">
        <v>1046</v>
      </c>
      <c r="D6" s="3">
        <v>30000</v>
      </c>
      <c r="E6">
        <v>0</v>
      </c>
      <c r="F6" s="6" t="s">
        <v>13</v>
      </c>
      <c r="G6" s="6" t="s">
        <v>20</v>
      </c>
      <c r="H6" s="6" t="s">
        <v>18</v>
      </c>
      <c r="I6">
        <v>0</v>
      </c>
      <c r="J6" t="s">
        <v>16</v>
      </c>
      <c r="K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" s="6" t="s">
        <v>17</v>
      </c>
      <c r="M6" s="7">
        <v>36</v>
      </c>
      <c r="N6" t="s">
        <v>15</v>
      </c>
      <c r="O6" s="9" t="str">
        <f>IF(Table1_1[[#This Row],[Purchased Bike]]="yes","1","0")</f>
        <v>1</v>
      </c>
      <c r="P6" s="4" t="str">
        <f>IF(Table1_1[[#This Row],[Income]]&lt;=30000,"Low ",IF(Table1_1[[#This Row],[Income]]&lt;=70000,"Middle","High"))</f>
        <v xml:space="preserve">Low </v>
      </c>
      <c r="Q6" s="6" t="str">
        <f>IF(Table1_1[[#This Row],[Age]]&lt;30,"Young",IF(Table1_1[[#This Row],[Age]]&lt;50,"Middle aged","Senior citizen"))</f>
        <v>Middle aged</v>
      </c>
      <c r="R6" s="7">
        <f>IF(Table1_1[[#This Row],[Marriedarital SingletatuSingle]]="M",Table1_1[[#This Row],[Children]]+2,Table1_1[[#This Row],[Children]]+1)</f>
        <v>1</v>
      </c>
      <c r="S6" s="4" t="str">
        <f>IF(Table1_1[[#This Row],[Cars]]=0,"No","Yes")</f>
        <v>No</v>
      </c>
      <c r="T6" s="6" t="str">
        <f>IF(AND(Table1_1[[#This Row],[Income]]&gt;50000,Table1_1[[#This Row],[Home Owner]]="Yes"),"High stability","Low stability")</f>
        <v>Low stability</v>
      </c>
      <c r="U6" s="3">
        <f>Table1_1[[#This Row],[Income]]/Table1_1[[#This Row],[Family size]]</f>
        <v>30000</v>
      </c>
      <c r="V6" s="6" t="str">
        <f>IF(Table1_1[[#This Row],[Occupation]]="Skilled manual","Blue collar",IF(Table1_1[[#This Row],[Occupation]]="Manual","Blue collar","White collar"))</f>
        <v>White collar</v>
      </c>
    </row>
    <row r="7" spans="1:22" x14ac:dyDescent="0.3">
      <c r="A7" t="s">
        <v>41</v>
      </c>
      <c r="B7" s="6" t="s">
        <v>1042</v>
      </c>
      <c r="C7" s="6" t="s">
        <v>1045</v>
      </c>
      <c r="D7" s="3">
        <v>10000</v>
      </c>
      <c r="E7">
        <v>2</v>
      </c>
      <c r="F7" s="6" t="s">
        <v>19</v>
      </c>
      <c r="G7" s="6" t="s">
        <v>25</v>
      </c>
      <c r="H7" s="6" t="s">
        <v>15</v>
      </c>
      <c r="I7">
        <v>0</v>
      </c>
      <c r="J7" t="s">
        <v>26</v>
      </c>
      <c r="K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" s="6" t="s">
        <v>17</v>
      </c>
      <c r="M7" s="7">
        <v>50</v>
      </c>
      <c r="N7" t="s">
        <v>18</v>
      </c>
      <c r="O7" s="9" t="str">
        <f>IF(Table1_1[[#This Row],[Purchased Bike]]="yes","1","0")</f>
        <v>0</v>
      </c>
      <c r="P7" s="4" t="str">
        <f>IF(Table1_1[[#This Row],[Income]]&lt;=30000,"Low ",IF(Table1_1[[#This Row],[Income]]&lt;=70000,"Middle","High"))</f>
        <v xml:space="preserve">Low </v>
      </c>
      <c r="Q7" s="6" t="str">
        <f>IF(Table1_1[[#This Row],[Age]]&lt;30,"Young",IF(Table1_1[[#This Row],[Age]]&lt;50,"Middle aged","Senior citizen"))</f>
        <v>Senior citizen</v>
      </c>
      <c r="R7" s="7">
        <f>IF(Table1_1[[#This Row],[Marriedarital SingletatuSingle]]="M",Table1_1[[#This Row],[Children]]+2,Table1_1[[#This Row],[Children]]+1)</f>
        <v>3</v>
      </c>
      <c r="S7" s="4" t="str">
        <f>IF(Table1_1[[#This Row],[Cars]]=0,"No","Yes")</f>
        <v>No</v>
      </c>
      <c r="T7" s="6" t="str">
        <f>IF(AND(Table1_1[[#This Row],[Income]]&gt;50000,Table1_1[[#This Row],[Home Owner]]="Yes"),"High stability","Low stability")</f>
        <v>Low stability</v>
      </c>
      <c r="U7" s="3">
        <f>Table1_1[[#This Row],[Income]]/Table1_1[[#This Row],[Family size]]</f>
        <v>3333.3333333333335</v>
      </c>
      <c r="V7" s="6" t="str">
        <f>IF(Table1_1[[#This Row],[Occupation]]="Skilled manual","Blue collar",IF(Table1_1[[#This Row],[Occupation]]="Manual","Blue collar","White collar"))</f>
        <v>Blue collar</v>
      </c>
    </row>
    <row r="8" spans="1:22" x14ac:dyDescent="0.3">
      <c r="A8" t="s">
        <v>42</v>
      </c>
      <c r="B8" s="6" t="s">
        <v>1044</v>
      </c>
      <c r="C8" s="6" t="s">
        <v>1046</v>
      </c>
      <c r="D8" s="3">
        <v>160000</v>
      </c>
      <c r="E8">
        <v>2</v>
      </c>
      <c r="F8" s="6" t="s">
        <v>27</v>
      </c>
      <c r="G8" s="6" t="s">
        <v>28</v>
      </c>
      <c r="H8" s="6" t="s">
        <v>15</v>
      </c>
      <c r="I8">
        <v>4</v>
      </c>
      <c r="J8" t="s">
        <v>16</v>
      </c>
      <c r="K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" s="6" t="s">
        <v>24</v>
      </c>
      <c r="M8" s="7">
        <v>33</v>
      </c>
      <c r="N8" t="s">
        <v>15</v>
      </c>
      <c r="O8" s="9" t="str">
        <f>IF(Table1_1[[#This Row],[Purchased Bike]]="yes","1","0")</f>
        <v>1</v>
      </c>
      <c r="P8" s="4" t="str">
        <f>IF(Table1_1[[#This Row],[Income]]&lt;=30000,"Low ",IF(Table1_1[[#This Row],[Income]]&lt;=70000,"Middle","High"))</f>
        <v>High</v>
      </c>
      <c r="Q8" s="6" t="str">
        <f>IF(Table1_1[[#This Row],[Age]]&lt;30,"Young",IF(Table1_1[[#This Row],[Age]]&lt;50,"Middle aged","Senior citizen"))</f>
        <v>Middle aged</v>
      </c>
      <c r="R8" s="7">
        <f>IF(Table1_1[[#This Row],[Marriedarital SingletatuSingle]]="M",Table1_1[[#This Row],[Children]]+2,Table1_1[[#This Row],[Children]]+1)</f>
        <v>3</v>
      </c>
      <c r="S8" s="4" t="str">
        <f>IF(Table1_1[[#This Row],[Cars]]=0,"No","Yes")</f>
        <v>Yes</v>
      </c>
      <c r="T8" s="6" t="str">
        <f>IF(AND(Table1_1[[#This Row],[Income]]&gt;50000,Table1_1[[#This Row],[Home Owner]]="Yes"),"High stability","Low stability")</f>
        <v>High stability</v>
      </c>
      <c r="U8" s="3">
        <f>Table1_1[[#This Row],[Income]]/Table1_1[[#This Row],[Family size]]</f>
        <v>53333.333333333336</v>
      </c>
      <c r="V8" s="6" t="str">
        <f>IF(Table1_1[[#This Row],[Occupation]]="Skilled manual","Blue collar",IF(Table1_1[[#This Row],[Occupation]]="Manual","Blue collar","White collar"))</f>
        <v>White collar</v>
      </c>
    </row>
    <row r="9" spans="1:22" x14ac:dyDescent="0.3">
      <c r="A9" t="s">
        <v>43</v>
      </c>
      <c r="B9" s="6" t="s">
        <v>1042</v>
      </c>
      <c r="C9" s="6" t="s">
        <v>1046</v>
      </c>
      <c r="D9" s="3">
        <v>40000</v>
      </c>
      <c r="E9">
        <v>1</v>
      </c>
      <c r="F9" s="6" t="s">
        <v>13</v>
      </c>
      <c r="G9" s="6" t="s">
        <v>14</v>
      </c>
      <c r="H9" s="6" t="s">
        <v>15</v>
      </c>
      <c r="I9">
        <v>0</v>
      </c>
      <c r="J9" t="s">
        <v>16</v>
      </c>
      <c r="K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" s="6" t="s">
        <v>17</v>
      </c>
      <c r="M9" s="7">
        <v>43</v>
      </c>
      <c r="N9" t="s">
        <v>15</v>
      </c>
      <c r="O9" s="9" t="str">
        <f>IF(Table1_1[[#This Row],[Purchased Bike]]="yes","1","0")</f>
        <v>1</v>
      </c>
      <c r="P9" s="4" t="str">
        <f>IF(Table1_1[[#This Row],[Income]]&lt;=30000,"Low ",IF(Table1_1[[#This Row],[Income]]&lt;=70000,"Middle","High"))</f>
        <v>Middle</v>
      </c>
      <c r="Q9" s="6" t="str">
        <f>IF(Table1_1[[#This Row],[Age]]&lt;30,"Young",IF(Table1_1[[#This Row],[Age]]&lt;50,"Middle aged","Senior citizen"))</f>
        <v>Middle aged</v>
      </c>
      <c r="R9" s="7">
        <f>IF(Table1_1[[#This Row],[Marriedarital SingletatuSingle]]="M",Table1_1[[#This Row],[Children]]+2,Table1_1[[#This Row],[Children]]+1)</f>
        <v>2</v>
      </c>
      <c r="S9" s="4" t="str">
        <f>IF(Table1_1[[#This Row],[Cars]]=0,"No","Yes")</f>
        <v>No</v>
      </c>
      <c r="T9" s="6" t="str">
        <f>IF(AND(Table1_1[[#This Row],[Income]]&gt;50000,Table1_1[[#This Row],[Home Owner]]="Yes"),"High stability","Low stability")</f>
        <v>Low stability</v>
      </c>
      <c r="U9" s="3">
        <f>Table1_1[[#This Row],[Income]]/Table1_1[[#This Row],[Family size]]</f>
        <v>20000</v>
      </c>
      <c r="V9" s="6" t="str">
        <f>IF(Table1_1[[#This Row],[Occupation]]="Skilled manual","Blue collar",IF(Table1_1[[#This Row],[Occupation]]="Manual","Blue collar","White collar"))</f>
        <v>Blue collar</v>
      </c>
    </row>
    <row r="10" spans="1:22" x14ac:dyDescent="0.3">
      <c r="A10" t="s">
        <v>44</v>
      </c>
      <c r="B10" s="6" t="s">
        <v>1042</v>
      </c>
      <c r="C10" s="6" t="s">
        <v>1046</v>
      </c>
      <c r="D10" s="3">
        <v>20000</v>
      </c>
      <c r="E10">
        <v>2</v>
      </c>
      <c r="F10" s="6" t="s">
        <v>29</v>
      </c>
      <c r="G10" s="6" t="s">
        <v>20</v>
      </c>
      <c r="H10" s="6" t="s">
        <v>15</v>
      </c>
      <c r="I10">
        <v>2</v>
      </c>
      <c r="J10" t="s">
        <v>23</v>
      </c>
      <c r="K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0" s="6" t="s">
        <v>24</v>
      </c>
      <c r="M10" s="7">
        <v>58</v>
      </c>
      <c r="N10" t="s">
        <v>18</v>
      </c>
      <c r="O10" s="9" t="str">
        <f>IF(Table1_1[[#This Row],[Purchased Bike]]="yes","1","0")</f>
        <v>0</v>
      </c>
      <c r="P10" s="4" t="str">
        <f>IF(Table1_1[[#This Row],[Income]]&lt;=30000,"Low ",IF(Table1_1[[#This Row],[Income]]&lt;=70000,"Middle","High"))</f>
        <v xml:space="preserve">Low </v>
      </c>
      <c r="Q10" s="6" t="str">
        <f>IF(Table1_1[[#This Row],[Age]]&lt;30,"Young",IF(Table1_1[[#This Row],[Age]]&lt;50,"Middle aged","Senior citizen"))</f>
        <v>Senior citizen</v>
      </c>
      <c r="R10" s="7">
        <f>IF(Table1_1[[#This Row],[Marriedarital SingletatuSingle]]="M",Table1_1[[#This Row],[Children]]+2,Table1_1[[#This Row],[Children]]+1)</f>
        <v>3</v>
      </c>
      <c r="S10" s="4" t="str">
        <f>IF(Table1_1[[#This Row],[Cars]]=0,"No","Yes")</f>
        <v>Yes</v>
      </c>
      <c r="T10" s="6" t="str">
        <f>IF(AND(Table1_1[[#This Row],[Income]]&gt;50000,Table1_1[[#This Row],[Home Owner]]="Yes"),"High stability","Low stability")</f>
        <v>Low stability</v>
      </c>
      <c r="U10" s="3">
        <f>Table1_1[[#This Row],[Income]]/Table1_1[[#This Row],[Family size]]</f>
        <v>6666.666666666667</v>
      </c>
      <c r="V10" s="6" t="str">
        <f>IF(Table1_1[[#This Row],[Occupation]]="Skilled manual","Blue collar",IF(Table1_1[[#This Row],[Occupation]]="Manual","Blue collar","White collar"))</f>
        <v>White collar</v>
      </c>
    </row>
    <row r="11" spans="1:22" x14ac:dyDescent="0.3">
      <c r="A11" t="s">
        <v>45</v>
      </c>
      <c r="B11" s="6" t="s">
        <v>1042</v>
      </c>
      <c r="C11" s="6" t="s">
        <v>1046</v>
      </c>
      <c r="D11" s="3">
        <v>120000</v>
      </c>
      <c r="E11">
        <v>2</v>
      </c>
      <c r="F11" s="6" t="s">
        <v>19</v>
      </c>
      <c r="G11" s="6" t="s">
        <v>25</v>
      </c>
      <c r="H11" s="6" t="s">
        <v>15</v>
      </c>
      <c r="I11">
        <v>1</v>
      </c>
      <c r="J11" t="s">
        <v>16</v>
      </c>
      <c r="K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1" s="6" t="s">
        <v>17</v>
      </c>
      <c r="M11" s="7">
        <v>40</v>
      </c>
      <c r="N11" t="s">
        <v>15</v>
      </c>
      <c r="O11" s="9" t="str">
        <f>IF(Table1_1[[#This Row],[Purchased Bike]]="yes","1","0")</f>
        <v>1</v>
      </c>
      <c r="P11" s="4" t="str">
        <f>IF(Table1_1[[#This Row],[Income]]&lt;=30000,"Low ",IF(Table1_1[[#This Row],[Income]]&lt;=70000,"Middle","High"))</f>
        <v>High</v>
      </c>
      <c r="Q11" s="6" t="str">
        <f>IF(Table1_1[[#This Row],[Age]]&lt;30,"Young",IF(Table1_1[[#This Row],[Age]]&lt;50,"Middle aged","Senior citizen"))</f>
        <v>Middle aged</v>
      </c>
      <c r="R11" s="7">
        <f>IF(Table1_1[[#This Row],[Marriedarital SingletatuSingle]]="M",Table1_1[[#This Row],[Children]]+2,Table1_1[[#This Row],[Children]]+1)</f>
        <v>3</v>
      </c>
      <c r="S11" s="4" t="str">
        <f>IF(Table1_1[[#This Row],[Cars]]=0,"No","Yes")</f>
        <v>Yes</v>
      </c>
      <c r="T11" s="6" t="str">
        <f>IF(AND(Table1_1[[#This Row],[Income]]&gt;50000,Table1_1[[#This Row],[Home Owner]]="Yes"),"High stability","Low stability")</f>
        <v>High stability</v>
      </c>
      <c r="U11" s="3">
        <f>Table1_1[[#This Row],[Income]]/Table1_1[[#This Row],[Family size]]</f>
        <v>40000</v>
      </c>
      <c r="V11" s="6" t="str">
        <f>IF(Table1_1[[#This Row],[Occupation]]="Skilled manual","Blue collar",IF(Table1_1[[#This Row],[Occupation]]="Manual","Blue collar","White collar"))</f>
        <v>Blue collar</v>
      </c>
    </row>
    <row r="12" spans="1:22" x14ac:dyDescent="0.3">
      <c r="A12" t="s">
        <v>46</v>
      </c>
      <c r="B12" s="6" t="s">
        <v>1042</v>
      </c>
      <c r="C12" s="6" t="s">
        <v>1045</v>
      </c>
      <c r="D12" s="3">
        <v>30000</v>
      </c>
      <c r="E12">
        <v>3</v>
      </c>
      <c r="F12" s="6" t="s">
        <v>27</v>
      </c>
      <c r="G12" s="6" t="s">
        <v>14</v>
      </c>
      <c r="H12" s="6" t="s">
        <v>18</v>
      </c>
      <c r="I12">
        <v>2</v>
      </c>
      <c r="J12" t="s">
        <v>26</v>
      </c>
      <c r="K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2" s="6" t="s">
        <v>24</v>
      </c>
      <c r="M12" s="7">
        <v>54</v>
      </c>
      <c r="N12" t="s">
        <v>15</v>
      </c>
      <c r="O12" s="9" t="str">
        <f>IF(Table1_1[[#This Row],[Purchased Bike]]="yes","1","0")</f>
        <v>1</v>
      </c>
      <c r="P12" s="4" t="str">
        <f>IF(Table1_1[[#This Row],[Income]]&lt;=30000,"Low ",IF(Table1_1[[#This Row],[Income]]&lt;=70000,"Middle","High"))</f>
        <v xml:space="preserve">Low </v>
      </c>
      <c r="Q12" s="6" t="str">
        <f>IF(Table1_1[[#This Row],[Age]]&lt;30,"Young",IF(Table1_1[[#This Row],[Age]]&lt;50,"Middle aged","Senior citizen"))</f>
        <v>Senior citizen</v>
      </c>
      <c r="R12" s="7">
        <f>IF(Table1_1[[#This Row],[Marriedarital SingletatuSingle]]="M",Table1_1[[#This Row],[Children]]+2,Table1_1[[#This Row],[Children]]+1)</f>
        <v>4</v>
      </c>
      <c r="S12" s="4" t="str">
        <f>IF(Table1_1[[#This Row],[Cars]]=0,"No","Yes")</f>
        <v>Yes</v>
      </c>
      <c r="T12" s="6" t="str">
        <f>IF(AND(Table1_1[[#This Row],[Income]]&gt;50000,Table1_1[[#This Row],[Home Owner]]="Yes"),"High stability","Low stability")</f>
        <v>Low stability</v>
      </c>
      <c r="U12" s="3">
        <f>Table1_1[[#This Row],[Income]]/Table1_1[[#This Row],[Family size]]</f>
        <v>7500</v>
      </c>
      <c r="V12" s="6" t="str">
        <f>IF(Table1_1[[#This Row],[Occupation]]="Skilled manual","Blue collar",IF(Table1_1[[#This Row],[Occupation]]="Manual","Blue collar","White collar"))</f>
        <v>Blue collar</v>
      </c>
    </row>
    <row r="13" spans="1:22" x14ac:dyDescent="0.3">
      <c r="A13" t="s">
        <v>47</v>
      </c>
      <c r="B13" s="6" t="s">
        <v>1044</v>
      </c>
      <c r="C13" s="6" t="s">
        <v>1045</v>
      </c>
      <c r="D13" s="3">
        <v>90000</v>
      </c>
      <c r="E13">
        <v>0</v>
      </c>
      <c r="F13" s="6" t="s">
        <v>13</v>
      </c>
      <c r="G13" s="6" t="s">
        <v>21</v>
      </c>
      <c r="H13" s="6" t="s">
        <v>18</v>
      </c>
      <c r="I13">
        <v>4</v>
      </c>
      <c r="J13" t="s">
        <v>30</v>
      </c>
      <c r="K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3" s="6" t="s">
        <v>24</v>
      </c>
      <c r="M13" s="7">
        <v>36</v>
      </c>
      <c r="N13" t="s">
        <v>18</v>
      </c>
      <c r="O13" s="9" t="str">
        <f>IF(Table1_1[[#This Row],[Purchased Bike]]="yes","1","0")</f>
        <v>0</v>
      </c>
      <c r="P13" s="4" t="str">
        <f>IF(Table1_1[[#This Row],[Income]]&lt;=30000,"Low ",IF(Table1_1[[#This Row],[Income]]&lt;=70000,"Middle","High"))</f>
        <v>High</v>
      </c>
      <c r="Q13" s="6" t="str">
        <f>IF(Table1_1[[#This Row],[Age]]&lt;30,"Young",IF(Table1_1[[#This Row],[Age]]&lt;50,"Middle aged","Senior citizen"))</f>
        <v>Middle aged</v>
      </c>
      <c r="R13" s="7">
        <f>IF(Table1_1[[#This Row],[Marriedarital SingletatuSingle]]="M",Table1_1[[#This Row],[Children]]+2,Table1_1[[#This Row],[Children]]+1)</f>
        <v>1</v>
      </c>
      <c r="S13" s="4" t="str">
        <f>IF(Table1_1[[#This Row],[Cars]]=0,"No","Yes")</f>
        <v>Yes</v>
      </c>
      <c r="T13" s="6" t="str">
        <f>IF(AND(Table1_1[[#This Row],[Income]]&gt;50000,Table1_1[[#This Row],[Home Owner]]="Yes"),"High stability","Low stability")</f>
        <v>Low stability</v>
      </c>
      <c r="U13" s="3">
        <f>Table1_1[[#This Row],[Income]]/Table1_1[[#This Row],[Family size]]</f>
        <v>90000</v>
      </c>
      <c r="V13" s="6" t="str">
        <f>IF(Table1_1[[#This Row],[Occupation]]="Skilled manual","Blue collar",IF(Table1_1[[#This Row],[Occupation]]="Manual","Blue collar","White collar"))</f>
        <v>White collar</v>
      </c>
    </row>
    <row r="14" spans="1:22" x14ac:dyDescent="0.3">
      <c r="A14" t="s">
        <v>48</v>
      </c>
      <c r="B14" s="6" t="s">
        <v>1042</v>
      </c>
      <c r="C14" s="6" t="s">
        <v>1046</v>
      </c>
      <c r="D14" s="3">
        <v>170000</v>
      </c>
      <c r="E14">
        <v>5</v>
      </c>
      <c r="F14" s="6" t="s">
        <v>19</v>
      </c>
      <c r="G14" s="6" t="s">
        <v>21</v>
      </c>
      <c r="H14" s="6" t="s">
        <v>15</v>
      </c>
      <c r="I14">
        <v>0</v>
      </c>
      <c r="J14" t="s">
        <v>16</v>
      </c>
      <c r="K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4" s="6" t="s">
        <v>17</v>
      </c>
      <c r="M14" s="7">
        <v>55</v>
      </c>
      <c r="N14" t="s">
        <v>18</v>
      </c>
      <c r="O14" s="9" t="str">
        <f>IF(Table1_1[[#This Row],[Purchased Bike]]="yes","1","0")</f>
        <v>0</v>
      </c>
      <c r="P14" s="4" t="str">
        <f>IF(Table1_1[[#This Row],[Income]]&lt;=30000,"Low ",IF(Table1_1[[#This Row],[Income]]&lt;=70000,"Middle","High"))</f>
        <v>High</v>
      </c>
      <c r="Q14" s="6" t="str">
        <f>IF(Table1_1[[#This Row],[Age]]&lt;30,"Young",IF(Table1_1[[#This Row],[Age]]&lt;50,"Middle aged","Senior citizen"))</f>
        <v>Senior citizen</v>
      </c>
      <c r="R14" s="7">
        <f>IF(Table1_1[[#This Row],[Marriedarital SingletatuSingle]]="M",Table1_1[[#This Row],[Children]]+2,Table1_1[[#This Row],[Children]]+1)</f>
        <v>6</v>
      </c>
      <c r="S14" s="4" t="str">
        <f>IF(Table1_1[[#This Row],[Cars]]=0,"No","Yes")</f>
        <v>No</v>
      </c>
      <c r="T14" s="6" t="str">
        <f>IF(AND(Table1_1[[#This Row],[Income]]&gt;50000,Table1_1[[#This Row],[Home Owner]]="Yes"),"High stability","Low stability")</f>
        <v>High stability</v>
      </c>
      <c r="U14" s="3">
        <f>Table1_1[[#This Row],[Income]]/Table1_1[[#This Row],[Family size]]</f>
        <v>28333.333333333332</v>
      </c>
      <c r="V14" s="6" t="str">
        <f>IF(Table1_1[[#This Row],[Occupation]]="Skilled manual","Blue collar",IF(Table1_1[[#This Row],[Occupation]]="Manual","Blue collar","White collar"))</f>
        <v>White collar</v>
      </c>
    </row>
    <row r="15" spans="1:22" x14ac:dyDescent="0.3">
      <c r="A15" t="s">
        <v>49</v>
      </c>
      <c r="B15" s="6" t="s">
        <v>1042</v>
      </c>
      <c r="C15" s="6" t="s">
        <v>1046</v>
      </c>
      <c r="D15" s="3">
        <v>40000</v>
      </c>
      <c r="E15">
        <v>2</v>
      </c>
      <c r="F15" s="6" t="s">
        <v>19</v>
      </c>
      <c r="G15" s="6" t="s">
        <v>20</v>
      </c>
      <c r="H15" s="6" t="s">
        <v>15</v>
      </c>
      <c r="I15">
        <v>1</v>
      </c>
      <c r="J15" t="s">
        <v>26</v>
      </c>
      <c r="K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5" s="6" t="s">
        <v>17</v>
      </c>
      <c r="M15" s="7">
        <v>35</v>
      </c>
      <c r="N15" t="s">
        <v>15</v>
      </c>
      <c r="O15" s="9" t="str">
        <f>IF(Table1_1[[#This Row],[Purchased Bike]]="yes","1","0")</f>
        <v>1</v>
      </c>
      <c r="P15" s="4" t="str">
        <f>IF(Table1_1[[#This Row],[Income]]&lt;=30000,"Low ",IF(Table1_1[[#This Row],[Income]]&lt;=70000,"Middle","High"))</f>
        <v>Middle</v>
      </c>
      <c r="Q15" s="6" t="str">
        <f>IF(Table1_1[[#This Row],[Age]]&lt;30,"Young",IF(Table1_1[[#This Row],[Age]]&lt;50,"Middle aged","Senior citizen"))</f>
        <v>Middle aged</v>
      </c>
      <c r="R15" s="7">
        <f>IF(Table1_1[[#This Row],[Marriedarital SingletatuSingle]]="M",Table1_1[[#This Row],[Children]]+2,Table1_1[[#This Row],[Children]]+1)</f>
        <v>3</v>
      </c>
      <c r="S15" s="4" t="str">
        <f>IF(Table1_1[[#This Row],[Cars]]=0,"No","Yes")</f>
        <v>Yes</v>
      </c>
      <c r="T15" s="6" t="str">
        <f>IF(AND(Table1_1[[#This Row],[Income]]&gt;50000,Table1_1[[#This Row],[Home Owner]]="Yes"),"High stability","Low stability")</f>
        <v>Low stability</v>
      </c>
      <c r="U15" s="3">
        <f>Table1_1[[#This Row],[Income]]/Table1_1[[#This Row],[Family size]]</f>
        <v>13333.333333333334</v>
      </c>
      <c r="V15" s="6" t="str">
        <f>IF(Table1_1[[#This Row],[Occupation]]="Skilled manual","Blue collar",IF(Table1_1[[#This Row],[Occupation]]="Manual","Blue collar","White collar"))</f>
        <v>White collar</v>
      </c>
    </row>
    <row r="16" spans="1:22" x14ac:dyDescent="0.3">
      <c r="A16" t="s">
        <v>50</v>
      </c>
      <c r="B16" s="6" t="s">
        <v>1044</v>
      </c>
      <c r="C16" s="6" t="s">
        <v>1046</v>
      </c>
      <c r="D16" s="3">
        <v>60000</v>
      </c>
      <c r="E16">
        <v>1</v>
      </c>
      <c r="F16" s="6" t="s">
        <v>19</v>
      </c>
      <c r="G16" s="6" t="s">
        <v>14</v>
      </c>
      <c r="H16" s="6" t="s">
        <v>18</v>
      </c>
      <c r="I16">
        <v>1</v>
      </c>
      <c r="J16" t="s">
        <v>16</v>
      </c>
      <c r="K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6" s="6" t="s">
        <v>24</v>
      </c>
      <c r="M16" s="7">
        <v>45</v>
      </c>
      <c r="N16" t="s">
        <v>15</v>
      </c>
      <c r="O16" s="9" t="str">
        <f>IF(Table1_1[[#This Row],[Purchased Bike]]="yes","1","0")</f>
        <v>1</v>
      </c>
      <c r="P16" s="4" t="str">
        <f>IF(Table1_1[[#This Row],[Income]]&lt;=30000,"Low ",IF(Table1_1[[#This Row],[Income]]&lt;=70000,"Middle","High"))</f>
        <v>Middle</v>
      </c>
      <c r="Q16" s="6" t="str">
        <f>IF(Table1_1[[#This Row],[Age]]&lt;30,"Young",IF(Table1_1[[#This Row],[Age]]&lt;50,"Middle aged","Senior citizen"))</f>
        <v>Middle aged</v>
      </c>
      <c r="R16" s="7">
        <f>IF(Table1_1[[#This Row],[Marriedarital SingletatuSingle]]="M",Table1_1[[#This Row],[Children]]+2,Table1_1[[#This Row],[Children]]+1)</f>
        <v>2</v>
      </c>
      <c r="S16" s="4" t="str">
        <f>IF(Table1_1[[#This Row],[Cars]]=0,"No","Yes")</f>
        <v>Yes</v>
      </c>
      <c r="T16" s="6" t="str">
        <f>IF(AND(Table1_1[[#This Row],[Income]]&gt;50000,Table1_1[[#This Row],[Home Owner]]="Yes"),"High stability","Low stability")</f>
        <v>Low stability</v>
      </c>
      <c r="U16" s="3">
        <f>Table1_1[[#This Row],[Income]]/Table1_1[[#This Row],[Family size]]</f>
        <v>30000</v>
      </c>
      <c r="V16" s="6" t="str">
        <f>IF(Table1_1[[#This Row],[Occupation]]="Skilled manual","Blue collar",IF(Table1_1[[#This Row],[Occupation]]="Manual","Blue collar","White collar"))</f>
        <v>Blue collar</v>
      </c>
    </row>
    <row r="17" spans="1:22" x14ac:dyDescent="0.3">
      <c r="A17" t="s">
        <v>51</v>
      </c>
      <c r="B17" s="6" t="s">
        <v>1044</v>
      </c>
      <c r="C17" s="6" t="s">
        <v>1045</v>
      </c>
      <c r="D17" s="3">
        <v>10000</v>
      </c>
      <c r="E17">
        <v>2</v>
      </c>
      <c r="F17" s="6" t="s">
        <v>27</v>
      </c>
      <c r="G17" s="6" t="s">
        <v>25</v>
      </c>
      <c r="H17" s="6" t="s">
        <v>15</v>
      </c>
      <c r="I17">
        <v>1</v>
      </c>
      <c r="J17" t="s">
        <v>16</v>
      </c>
      <c r="K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7" s="6" t="s">
        <v>17</v>
      </c>
      <c r="M17" s="7">
        <v>38</v>
      </c>
      <c r="N17" t="s">
        <v>15</v>
      </c>
      <c r="O17" s="9" t="str">
        <f>IF(Table1_1[[#This Row],[Purchased Bike]]="yes","1","0")</f>
        <v>1</v>
      </c>
      <c r="P17" s="4" t="str">
        <f>IF(Table1_1[[#This Row],[Income]]&lt;=30000,"Low ",IF(Table1_1[[#This Row],[Income]]&lt;=70000,"Middle","High"))</f>
        <v xml:space="preserve">Low </v>
      </c>
      <c r="Q17" s="6" t="str">
        <f>IF(Table1_1[[#This Row],[Age]]&lt;30,"Young",IF(Table1_1[[#This Row],[Age]]&lt;50,"Middle aged","Senior citizen"))</f>
        <v>Middle aged</v>
      </c>
      <c r="R17" s="7">
        <f>IF(Table1_1[[#This Row],[Marriedarital SingletatuSingle]]="M",Table1_1[[#This Row],[Children]]+2,Table1_1[[#This Row],[Children]]+1)</f>
        <v>3</v>
      </c>
      <c r="S17" s="4" t="str">
        <f>IF(Table1_1[[#This Row],[Cars]]=0,"No","Yes")</f>
        <v>Yes</v>
      </c>
      <c r="T17" s="6" t="str">
        <f>IF(AND(Table1_1[[#This Row],[Income]]&gt;50000,Table1_1[[#This Row],[Home Owner]]="Yes"),"High stability","Low stability")</f>
        <v>Low stability</v>
      </c>
      <c r="U17" s="3">
        <f>Table1_1[[#This Row],[Income]]/Table1_1[[#This Row],[Family size]]</f>
        <v>3333.3333333333335</v>
      </c>
      <c r="V17" s="6" t="str">
        <f>IF(Table1_1[[#This Row],[Occupation]]="Skilled manual","Blue collar",IF(Table1_1[[#This Row],[Occupation]]="Manual","Blue collar","White collar"))</f>
        <v>Blue collar</v>
      </c>
    </row>
    <row r="18" spans="1:22" x14ac:dyDescent="0.3">
      <c r="A18" t="s">
        <v>52</v>
      </c>
      <c r="B18" s="6" t="s">
        <v>1044</v>
      </c>
      <c r="C18" s="6" t="s">
        <v>1046</v>
      </c>
      <c r="D18" s="3">
        <v>30000</v>
      </c>
      <c r="E18">
        <v>3</v>
      </c>
      <c r="F18" s="6" t="s">
        <v>19</v>
      </c>
      <c r="G18" s="6" t="s">
        <v>20</v>
      </c>
      <c r="H18" s="6" t="s">
        <v>18</v>
      </c>
      <c r="I18">
        <v>2</v>
      </c>
      <c r="J18" t="s">
        <v>26</v>
      </c>
      <c r="K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8" s="6" t="s">
        <v>24</v>
      </c>
      <c r="M18" s="7">
        <v>59</v>
      </c>
      <c r="N18" t="s">
        <v>15</v>
      </c>
      <c r="O18" s="9" t="str">
        <f>IF(Table1_1[[#This Row],[Purchased Bike]]="yes","1","0")</f>
        <v>1</v>
      </c>
      <c r="P18" s="4" t="str">
        <f>IF(Table1_1[[#This Row],[Income]]&lt;=30000,"Low ",IF(Table1_1[[#This Row],[Income]]&lt;=70000,"Middle","High"))</f>
        <v xml:space="preserve">Low </v>
      </c>
      <c r="Q18" s="6" t="str">
        <f>IF(Table1_1[[#This Row],[Age]]&lt;30,"Young",IF(Table1_1[[#This Row],[Age]]&lt;50,"Middle aged","Senior citizen"))</f>
        <v>Senior citizen</v>
      </c>
      <c r="R18" s="7">
        <f>IF(Table1_1[[#This Row],[Marriedarital SingletatuSingle]]="M",Table1_1[[#This Row],[Children]]+2,Table1_1[[#This Row],[Children]]+1)</f>
        <v>4</v>
      </c>
      <c r="S18" s="4" t="str">
        <f>IF(Table1_1[[#This Row],[Cars]]=0,"No","Yes")</f>
        <v>Yes</v>
      </c>
      <c r="T18" s="6" t="str">
        <f>IF(AND(Table1_1[[#This Row],[Income]]&gt;50000,Table1_1[[#This Row],[Home Owner]]="Yes"),"High stability","Low stability")</f>
        <v>Low stability</v>
      </c>
      <c r="U18" s="3">
        <f>Table1_1[[#This Row],[Income]]/Table1_1[[#This Row],[Family size]]</f>
        <v>7500</v>
      </c>
      <c r="V18" s="6" t="str">
        <f>IF(Table1_1[[#This Row],[Occupation]]="Skilled manual","Blue collar",IF(Table1_1[[#This Row],[Occupation]]="Manual","Blue collar","White collar"))</f>
        <v>White collar</v>
      </c>
    </row>
    <row r="19" spans="1:22" x14ac:dyDescent="0.3">
      <c r="A19" t="s">
        <v>53</v>
      </c>
      <c r="B19" s="6" t="s">
        <v>1042</v>
      </c>
      <c r="C19" s="6" t="s">
        <v>1045</v>
      </c>
      <c r="D19" s="3">
        <v>30000</v>
      </c>
      <c r="E19">
        <v>1</v>
      </c>
      <c r="F19" s="6" t="s">
        <v>13</v>
      </c>
      <c r="G19" s="6" t="s">
        <v>20</v>
      </c>
      <c r="H19" s="6" t="s">
        <v>15</v>
      </c>
      <c r="I19">
        <v>0</v>
      </c>
      <c r="J19" t="s">
        <v>16</v>
      </c>
      <c r="K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9" s="6" t="s">
        <v>17</v>
      </c>
      <c r="M19" s="7">
        <v>47</v>
      </c>
      <c r="N19" t="s">
        <v>18</v>
      </c>
      <c r="O19" s="9" t="str">
        <f>IF(Table1_1[[#This Row],[Purchased Bike]]="yes","1","0")</f>
        <v>0</v>
      </c>
      <c r="P19" s="4" t="str">
        <f>IF(Table1_1[[#This Row],[Income]]&lt;=30000,"Low ",IF(Table1_1[[#This Row],[Income]]&lt;=70000,"Middle","High"))</f>
        <v xml:space="preserve">Low </v>
      </c>
      <c r="Q19" s="6" t="str">
        <f>IF(Table1_1[[#This Row],[Age]]&lt;30,"Young",IF(Table1_1[[#This Row],[Age]]&lt;50,"Middle aged","Senior citizen"))</f>
        <v>Middle aged</v>
      </c>
      <c r="R19" s="7">
        <f>IF(Table1_1[[#This Row],[Marriedarital SingletatuSingle]]="M",Table1_1[[#This Row],[Children]]+2,Table1_1[[#This Row],[Children]]+1)</f>
        <v>2</v>
      </c>
      <c r="S19" s="4" t="str">
        <f>IF(Table1_1[[#This Row],[Cars]]=0,"No","Yes")</f>
        <v>No</v>
      </c>
      <c r="T19" s="6" t="str">
        <f>IF(AND(Table1_1[[#This Row],[Income]]&gt;50000,Table1_1[[#This Row],[Home Owner]]="Yes"),"High stability","Low stability")</f>
        <v>Low stability</v>
      </c>
      <c r="U19" s="3">
        <f>Table1_1[[#This Row],[Income]]/Table1_1[[#This Row],[Family size]]</f>
        <v>15000</v>
      </c>
      <c r="V19" s="6" t="str">
        <f>IF(Table1_1[[#This Row],[Occupation]]="Skilled manual","Blue collar",IF(Table1_1[[#This Row],[Occupation]]="Manual","Blue collar","White collar"))</f>
        <v>White collar</v>
      </c>
    </row>
    <row r="20" spans="1:22" x14ac:dyDescent="0.3">
      <c r="A20" t="s">
        <v>54</v>
      </c>
      <c r="B20" s="6" t="s">
        <v>1044</v>
      </c>
      <c r="C20" s="6" t="s">
        <v>1046</v>
      </c>
      <c r="D20" s="3">
        <v>40000</v>
      </c>
      <c r="E20">
        <v>2</v>
      </c>
      <c r="F20" s="6" t="s">
        <v>19</v>
      </c>
      <c r="G20" s="6" t="s">
        <v>20</v>
      </c>
      <c r="H20" s="6" t="s">
        <v>15</v>
      </c>
      <c r="I20">
        <v>1</v>
      </c>
      <c r="J20" t="s">
        <v>26</v>
      </c>
      <c r="K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0" s="6" t="s">
        <v>17</v>
      </c>
      <c r="M20" s="7">
        <v>35</v>
      </c>
      <c r="N20" t="s">
        <v>15</v>
      </c>
      <c r="O20" s="9" t="str">
        <f>IF(Table1_1[[#This Row],[Purchased Bike]]="yes","1","0")</f>
        <v>1</v>
      </c>
      <c r="P20" s="4" t="str">
        <f>IF(Table1_1[[#This Row],[Income]]&lt;=30000,"Low ",IF(Table1_1[[#This Row],[Income]]&lt;=70000,"Middle","High"))</f>
        <v>Middle</v>
      </c>
      <c r="Q20" s="6" t="str">
        <f>IF(Table1_1[[#This Row],[Age]]&lt;30,"Young",IF(Table1_1[[#This Row],[Age]]&lt;50,"Middle aged","Senior citizen"))</f>
        <v>Middle aged</v>
      </c>
      <c r="R20" s="7">
        <f>IF(Table1_1[[#This Row],[Marriedarital SingletatuSingle]]="M",Table1_1[[#This Row],[Children]]+2,Table1_1[[#This Row],[Children]]+1)</f>
        <v>3</v>
      </c>
      <c r="S20" s="4" t="str">
        <f>IF(Table1_1[[#This Row],[Cars]]=0,"No","Yes")</f>
        <v>Yes</v>
      </c>
      <c r="T20" s="6" t="str">
        <f>IF(AND(Table1_1[[#This Row],[Income]]&gt;50000,Table1_1[[#This Row],[Home Owner]]="Yes"),"High stability","Low stability")</f>
        <v>Low stability</v>
      </c>
      <c r="U20" s="3">
        <f>Table1_1[[#This Row],[Income]]/Table1_1[[#This Row],[Family size]]</f>
        <v>13333.333333333334</v>
      </c>
      <c r="V20" s="6" t="str">
        <f>IF(Table1_1[[#This Row],[Occupation]]="Skilled manual","Blue collar",IF(Table1_1[[#This Row],[Occupation]]="Manual","Blue collar","White collar"))</f>
        <v>White collar</v>
      </c>
    </row>
    <row r="21" spans="1:22" x14ac:dyDescent="0.3">
      <c r="A21" t="s">
        <v>55</v>
      </c>
      <c r="B21" s="6" t="s">
        <v>1044</v>
      </c>
      <c r="C21" s="6" t="s">
        <v>1046</v>
      </c>
      <c r="D21" s="3">
        <v>20000</v>
      </c>
      <c r="E21">
        <v>2</v>
      </c>
      <c r="F21" s="6" t="s">
        <v>29</v>
      </c>
      <c r="G21" s="6" t="s">
        <v>20</v>
      </c>
      <c r="H21" s="6" t="s">
        <v>15</v>
      </c>
      <c r="I21">
        <v>2</v>
      </c>
      <c r="J21" t="s">
        <v>23</v>
      </c>
      <c r="K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1" s="6" t="s">
        <v>24</v>
      </c>
      <c r="M21" s="7">
        <v>55</v>
      </c>
      <c r="N21" t="s">
        <v>15</v>
      </c>
      <c r="O21" s="9" t="str">
        <f>IF(Table1_1[[#This Row],[Purchased Bike]]="yes","1","0")</f>
        <v>1</v>
      </c>
      <c r="P21" s="4" t="str">
        <f>IF(Table1_1[[#This Row],[Income]]&lt;=30000,"Low ",IF(Table1_1[[#This Row],[Income]]&lt;=70000,"Middle","High"))</f>
        <v xml:space="preserve">Low </v>
      </c>
      <c r="Q21" s="6" t="str">
        <f>IF(Table1_1[[#This Row],[Age]]&lt;30,"Young",IF(Table1_1[[#This Row],[Age]]&lt;50,"Middle aged","Senior citizen"))</f>
        <v>Senior citizen</v>
      </c>
      <c r="R21" s="7">
        <f>IF(Table1_1[[#This Row],[Marriedarital SingletatuSingle]]="M",Table1_1[[#This Row],[Children]]+2,Table1_1[[#This Row],[Children]]+1)</f>
        <v>3</v>
      </c>
      <c r="S21" s="4" t="str">
        <f>IF(Table1_1[[#This Row],[Cars]]=0,"No","Yes")</f>
        <v>Yes</v>
      </c>
      <c r="T21" s="6" t="str">
        <f>IF(AND(Table1_1[[#This Row],[Income]]&gt;50000,Table1_1[[#This Row],[Home Owner]]="Yes"),"High stability","Low stability")</f>
        <v>Low stability</v>
      </c>
      <c r="U21" s="3">
        <f>Table1_1[[#This Row],[Income]]/Table1_1[[#This Row],[Family size]]</f>
        <v>6666.666666666667</v>
      </c>
      <c r="V21" s="6" t="str">
        <f>IF(Table1_1[[#This Row],[Occupation]]="Skilled manual","Blue collar",IF(Table1_1[[#This Row],[Occupation]]="Manual","Blue collar","White collar"))</f>
        <v>White collar</v>
      </c>
    </row>
    <row r="22" spans="1:22" x14ac:dyDescent="0.3">
      <c r="A22" t="s">
        <v>56</v>
      </c>
      <c r="B22" s="6" t="s">
        <v>1042</v>
      </c>
      <c r="C22" s="6" t="s">
        <v>1045</v>
      </c>
      <c r="D22" s="3">
        <v>40000</v>
      </c>
      <c r="E22">
        <v>0</v>
      </c>
      <c r="F22" s="6" t="s">
        <v>31</v>
      </c>
      <c r="G22" s="6" t="s">
        <v>20</v>
      </c>
      <c r="H22" s="6" t="s">
        <v>15</v>
      </c>
      <c r="I22">
        <v>0</v>
      </c>
      <c r="J22" t="s">
        <v>16</v>
      </c>
      <c r="K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2" s="6" t="s">
        <v>17</v>
      </c>
      <c r="M22" s="7">
        <v>36</v>
      </c>
      <c r="N22" t="s">
        <v>15</v>
      </c>
      <c r="O22" s="9" t="str">
        <f>IF(Table1_1[[#This Row],[Purchased Bike]]="yes","1","0")</f>
        <v>1</v>
      </c>
      <c r="P22" s="4" t="str">
        <f>IF(Table1_1[[#This Row],[Income]]&lt;=30000,"Low ",IF(Table1_1[[#This Row],[Income]]&lt;=70000,"Middle","High"))</f>
        <v>Middle</v>
      </c>
      <c r="Q22" s="6" t="str">
        <f>IF(Table1_1[[#This Row],[Age]]&lt;30,"Young",IF(Table1_1[[#This Row],[Age]]&lt;50,"Middle aged","Senior citizen"))</f>
        <v>Middle aged</v>
      </c>
      <c r="R22" s="7">
        <f>IF(Table1_1[[#This Row],[Marriedarital SingletatuSingle]]="M",Table1_1[[#This Row],[Children]]+2,Table1_1[[#This Row],[Children]]+1)</f>
        <v>1</v>
      </c>
      <c r="S22" s="4" t="str">
        <f>IF(Table1_1[[#This Row],[Cars]]=0,"No","Yes")</f>
        <v>No</v>
      </c>
      <c r="T22" s="6" t="str">
        <f>IF(AND(Table1_1[[#This Row],[Income]]&gt;50000,Table1_1[[#This Row],[Home Owner]]="Yes"),"High stability","Low stability")</f>
        <v>Low stability</v>
      </c>
      <c r="U22" s="3">
        <f>Table1_1[[#This Row],[Income]]/Table1_1[[#This Row],[Family size]]</f>
        <v>40000</v>
      </c>
      <c r="V22" s="6" t="str">
        <f>IF(Table1_1[[#This Row],[Occupation]]="Skilled manual","Blue collar",IF(Table1_1[[#This Row],[Occupation]]="Manual","Blue collar","White collar"))</f>
        <v>White collar</v>
      </c>
    </row>
    <row r="23" spans="1:22" x14ac:dyDescent="0.3">
      <c r="A23" t="s">
        <v>57</v>
      </c>
      <c r="B23" s="6" t="s">
        <v>1044</v>
      </c>
      <c r="C23" s="6" t="s">
        <v>1045</v>
      </c>
      <c r="D23" s="3">
        <v>80000</v>
      </c>
      <c r="E23">
        <v>0</v>
      </c>
      <c r="F23" s="6" t="s">
        <v>13</v>
      </c>
      <c r="G23" s="6" t="s">
        <v>21</v>
      </c>
      <c r="H23" s="6" t="s">
        <v>15</v>
      </c>
      <c r="I23">
        <v>4</v>
      </c>
      <c r="J23" t="s">
        <v>30</v>
      </c>
      <c r="K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3" s="6" t="s">
        <v>24</v>
      </c>
      <c r="M23" s="7">
        <v>35</v>
      </c>
      <c r="N23" t="s">
        <v>18</v>
      </c>
      <c r="O23" s="9" t="str">
        <f>IF(Table1_1[[#This Row],[Purchased Bike]]="yes","1","0")</f>
        <v>0</v>
      </c>
      <c r="P23" s="4" t="str">
        <f>IF(Table1_1[[#This Row],[Income]]&lt;=30000,"Low ",IF(Table1_1[[#This Row],[Income]]&lt;=70000,"Middle","High"))</f>
        <v>High</v>
      </c>
      <c r="Q23" s="6" t="str">
        <f>IF(Table1_1[[#This Row],[Age]]&lt;30,"Young",IF(Table1_1[[#This Row],[Age]]&lt;50,"Middle aged","Senior citizen"))</f>
        <v>Middle aged</v>
      </c>
      <c r="R23" s="7">
        <f>IF(Table1_1[[#This Row],[Marriedarital SingletatuSingle]]="M",Table1_1[[#This Row],[Children]]+2,Table1_1[[#This Row],[Children]]+1)</f>
        <v>1</v>
      </c>
      <c r="S23" s="4" t="str">
        <f>IF(Table1_1[[#This Row],[Cars]]=0,"No","Yes")</f>
        <v>Yes</v>
      </c>
      <c r="T23" s="6" t="str">
        <f>IF(AND(Table1_1[[#This Row],[Income]]&gt;50000,Table1_1[[#This Row],[Home Owner]]="Yes"),"High stability","Low stability")</f>
        <v>High stability</v>
      </c>
      <c r="U23" s="3">
        <f>Table1_1[[#This Row],[Income]]/Table1_1[[#This Row],[Family size]]</f>
        <v>80000</v>
      </c>
      <c r="V23" s="6" t="str">
        <f>IF(Table1_1[[#This Row],[Occupation]]="Skilled manual","Blue collar",IF(Table1_1[[#This Row],[Occupation]]="Manual","Blue collar","White collar"))</f>
        <v>White collar</v>
      </c>
    </row>
    <row r="24" spans="1:22" x14ac:dyDescent="0.3">
      <c r="A24" t="s">
        <v>58</v>
      </c>
      <c r="B24" s="6" t="s">
        <v>1044</v>
      </c>
      <c r="C24" s="6" t="s">
        <v>1046</v>
      </c>
      <c r="D24" s="3">
        <v>40000</v>
      </c>
      <c r="E24">
        <v>2</v>
      </c>
      <c r="F24" s="6" t="s">
        <v>19</v>
      </c>
      <c r="G24" s="6" t="s">
        <v>20</v>
      </c>
      <c r="H24" s="6" t="s">
        <v>15</v>
      </c>
      <c r="I24">
        <v>0</v>
      </c>
      <c r="J24" t="s">
        <v>26</v>
      </c>
      <c r="K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4" s="6" t="s">
        <v>17</v>
      </c>
      <c r="M24" s="7">
        <v>35</v>
      </c>
      <c r="N24" t="s">
        <v>15</v>
      </c>
      <c r="O24" s="9" t="str">
        <f>IF(Table1_1[[#This Row],[Purchased Bike]]="yes","1","0")</f>
        <v>1</v>
      </c>
      <c r="P24" s="4" t="str">
        <f>IF(Table1_1[[#This Row],[Income]]&lt;=30000,"Low ",IF(Table1_1[[#This Row],[Income]]&lt;=70000,"Middle","High"))</f>
        <v>Middle</v>
      </c>
      <c r="Q24" s="6" t="str">
        <f>IF(Table1_1[[#This Row],[Age]]&lt;30,"Young",IF(Table1_1[[#This Row],[Age]]&lt;50,"Middle aged","Senior citizen"))</f>
        <v>Middle aged</v>
      </c>
      <c r="R24" s="7">
        <f>IF(Table1_1[[#This Row],[Marriedarital SingletatuSingle]]="M",Table1_1[[#This Row],[Children]]+2,Table1_1[[#This Row],[Children]]+1)</f>
        <v>3</v>
      </c>
      <c r="S24" s="4" t="str">
        <f>IF(Table1_1[[#This Row],[Cars]]=0,"No","Yes")</f>
        <v>No</v>
      </c>
      <c r="T24" s="6" t="str">
        <f>IF(AND(Table1_1[[#This Row],[Income]]&gt;50000,Table1_1[[#This Row],[Home Owner]]="Yes"),"High stability","Low stability")</f>
        <v>Low stability</v>
      </c>
      <c r="U24" s="3">
        <f>Table1_1[[#This Row],[Income]]/Table1_1[[#This Row],[Family size]]</f>
        <v>13333.333333333334</v>
      </c>
      <c r="V24" s="6" t="str">
        <f>IF(Table1_1[[#This Row],[Occupation]]="Skilled manual","Blue collar",IF(Table1_1[[#This Row],[Occupation]]="Manual","Blue collar","White collar"))</f>
        <v>White collar</v>
      </c>
    </row>
    <row r="25" spans="1:22" x14ac:dyDescent="0.3">
      <c r="A25" t="s">
        <v>59</v>
      </c>
      <c r="B25" s="6" t="s">
        <v>1042</v>
      </c>
      <c r="C25" s="6" t="s">
        <v>1045</v>
      </c>
      <c r="D25" s="3">
        <v>80000</v>
      </c>
      <c r="E25">
        <v>5</v>
      </c>
      <c r="F25" s="6" t="s">
        <v>27</v>
      </c>
      <c r="G25" s="6" t="s">
        <v>28</v>
      </c>
      <c r="H25" s="6" t="s">
        <v>18</v>
      </c>
      <c r="I25">
        <v>3</v>
      </c>
      <c r="J25" t="s">
        <v>23</v>
      </c>
      <c r="K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5" s="6" t="s">
        <v>17</v>
      </c>
      <c r="M25" s="7">
        <v>56</v>
      </c>
      <c r="N25" t="s">
        <v>18</v>
      </c>
      <c r="O25" s="9" t="str">
        <f>IF(Table1_1[[#This Row],[Purchased Bike]]="yes","1","0")</f>
        <v>0</v>
      </c>
      <c r="P25" s="4" t="str">
        <f>IF(Table1_1[[#This Row],[Income]]&lt;=30000,"Low ",IF(Table1_1[[#This Row],[Income]]&lt;=70000,"Middle","High"))</f>
        <v>High</v>
      </c>
      <c r="Q25" s="6" t="str">
        <f>IF(Table1_1[[#This Row],[Age]]&lt;30,"Young",IF(Table1_1[[#This Row],[Age]]&lt;50,"Middle aged","Senior citizen"))</f>
        <v>Senior citizen</v>
      </c>
      <c r="R25" s="7">
        <f>IF(Table1_1[[#This Row],[Marriedarital SingletatuSingle]]="M",Table1_1[[#This Row],[Children]]+2,Table1_1[[#This Row],[Children]]+1)</f>
        <v>6</v>
      </c>
      <c r="S25" s="4" t="str">
        <f>IF(Table1_1[[#This Row],[Cars]]=0,"No","Yes")</f>
        <v>Yes</v>
      </c>
      <c r="T25" s="6" t="str">
        <f>IF(AND(Table1_1[[#This Row],[Income]]&gt;50000,Table1_1[[#This Row],[Home Owner]]="Yes"),"High stability","Low stability")</f>
        <v>Low stability</v>
      </c>
      <c r="U25" s="3">
        <f>Table1_1[[#This Row],[Income]]/Table1_1[[#This Row],[Family size]]</f>
        <v>13333.333333333334</v>
      </c>
      <c r="V25" s="6" t="str">
        <f>IF(Table1_1[[#This Row],[Occupation]]="Skilled manual","Blue collar",IF(Table1_1[[#This Row],[Occupation]]="Manual","Blue collar","White collar"))</f>
        <v>White collar</v>
      </c>
    </row>
    <row r="26" spans="1:22" x14ac:dyDescent="0.3">
      <c r="A26" t="s">
        <v>60</v>
      </c>
      <c r="B26" s="6" t="s">
        <v>1044</v>
      </c>
      <c r="C26" s="6" t="s">
        <v>1046</v>
      </c>
      <c r="D26" s="3">
        <v>40000</v>
      </c>
      <c r="E26">
        <v>2</v>
      </c>
      <c r="F26" s="6" t="s">
        <v>19</v>
      </c>
      <c r="G26" s="6" t="s">
        <v>20</v>
      </c>
      <c r="H26" s="6" t="s">
        <v>18</v>
      </c>
      <c r="I26">
        <v>1</v>
      </c>
      <c r="J26" t="s">
        <v>16</v>
      </c>
      <c r="K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6" s="6" t="s">
        <v>17</v>
      </c>
      <c r="M26" s="7">
        <v>34</v>
      </c>
      <c r="N26" t="s">
        <v>18</v>
      </c>
      <c r="O26" s="9" t="str">
        <f>IF(Table1_1[[#This Row],[Purchased Bike]]="yes","1","0")</f>
        <v>0</v>
      </c>
      <c r="P26" s="4" t="str">
        <f>IF(Table1_1[[#This Row],[Income]]&lt;=30000,"Low ",IF(Table1_1[[#This Row],[Income]]&lt;=70000,"Middle","High"))</f>
        <v>Middle</v>
      </c>
      <c r="Q26" s="6" t="str">
        <f>IF(Table1_1[[#This Row],[Age]]&lt;30,"Young",IF(Table1_1[[#This Row],[Age]]&lt;50,"Middle aged","Senior citizen"))</f>
        <v>Middle aged</v>
      </c>
      <c r="R26" s="7">
        <f>IF(Table1_1[[#This Row],[Marriedarital SingletatuSingle]]="M",Table1_1[[#This Row],[Children]]+2,Table1_1[[#This Row],[Children]]+1)</f>
        <v>3</v>
      </c>
      <c r="S26" s="4" t="str">
        <f>IF(Table1_1[[#This Row],[Cars]]=0,"No","Yes")</f>
        <v>Yes</v>
      </c>
      <c r="T26" s="6" t="str">
        <f>IF(AND(Table1_1[[#This Row],[Income]]&gt;50000,Table1_1[[#This Row],[Home Owner]]="Yes"),"High stability","Low stability")</f>
        <v>Low stability</v>
      </c>
      <c r="U26" s="3">
        <f>Table1_1[[#This Row],[Income]]/Table1_1[[#This Row],[Family size]]</f>
        <v>13333.333333333334</v>
      </c>
      <c r="V26" s="6" t="str">
        <f>IF(Table1_1[[#This Row],[Occupation]]="Skilled manual","Blue collar",IF(Table1_1[[#This Row],[Occupation]]="Manual","Blue collar","White collar"))</f>
        <v>White collar</v>
      </c>
    </row>
    <row r="27" spans="1:22" x14ac:dyDescent="0.3">
      <c r="A27" t="s">
        <v>61</v>
      </c>
      <c r="B27" s="6" t="s">
        <v>1044</v>
      </c>
      <c r="C27" s="6" t="s">
        <v>1046</v>
      </c>
      <c r="D27" s="3">
        <v>30000</v>
      </c>
      <c r="E27">
        <v>1</v>
      </c>
      <c r="F27" s="6" t="s">
        <v>13</v>
      </c>
      <c r="G27" s="6" t="s">
        <v>20</v>
      </c>
      <c r="H27" s="6" t="s">
        <v>15</v>
      </c>
      <c r="I27">
        <v>0</v>
      </c>
      <c r="J27" t="s">
        <v>16</v>
      </c>
      <c r="K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7" s="6" t="s">
        <v>17</v>
      </c>
      <c r="M27" s="7">
        <v>63</v>
      </c>
      <c r="N27" t="s">
        <v>18</v>
      </c>
      <c r="O27" s="9" t="str">
        <f>IF(Table1_1[[#This Row],[Purchased Bike]]="yes","1","0")</f>
        <v>0</v>
      </c>
      <c r="P27" s="4" t="str">
        <f>IF(Table1_1[[#This Row],[Income]]&lt;=30000,"Low ",IF(Table1_1[[#This Row],[Income]]&lt;=70000,"Middle","High"))</f>
        <v xml:space="preserve">Low </v>
      </c>
      <c r="Q27" s="6" t="str">
        <f>IF(Table1_1[[#This Row],[Age]]&lt;30,"Young",IF(Table1_1[[#This Row],[Age]]&lt;50,"Middle aged","Senior citizen"))</f>
        <v>Senior citizen</v>
      </c>
      <c r="R27" s="7">
        <f>IF(Table1_1[[#This Row],[Marriedarital SingletatuSingle]]="M",Table1_1[[#This Row],[Children]]+2,Table1_1[[#This Row],[Children]]+1)</f>
        <v>2</v>
      </c>
      <c r="S27" s="4" t="str">
        <f>IF(Table1_1[[#This Row],[Cars]]=0,"No","Yes")</f>
        <v>No</v>
      </c>
      <c r="T27" s="6" t="str">
        <f>IF(AND(Table1_1[[#This Row],[Income]]&gt;50000,Table1_1[[#This Row],[Home Owner]]="Yes"),"High stability","Low stability")</f>
        <v>Low stability</v>
      </c>
      <c r="U27" s="3">
        <f>Table1_1[[#This Row],[Income]]/Table1_1[[#This Row],[Family size]]</f>
        <v>15000</v>
      </c>
      <c r="V27" s="6" t="str">
        <f>IF(Table1_1[[#This Row],[Occupation]]="Skilled manual","Blue collar",IF(Table1_1[[#This Row],[Occupation]]="Manual","Blue collar","White collar"))</f>
        <v>White collar</v>
      </c>
    </row>
    <row r="28" spans="1:22" x14ac:dyDescent="0.3">
      <c r="A28" t="s">
        <v>62</v>
      </c>
      <c r="B28" s="6" t="s">
        <v>1044</v>
      </c>
      <c r="C28" s="6" t="s">
        <v>1046</v>
      </c>
      <c r="D28" s="3">
        <v>30000</v>
      </c>
      <c r="E28">
        <v>0</v>
      </c>
      <c r="F28" s="6" t="s">
        <v>19</v>
      </c>
      <c r="G28" s="6" t="s">
        <v>20</v>
      </c>
      <c r="H28" s="6" t="s">
        <v>18</v>
      </c>
      <c r="I28">
        <v>1</v>
      </c>
      <c r="J28" t="s">
        <v>16</v>
      </c>
      <c r="K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8" s="6" t="s">
        <v>17</v>
      </c>
      <c r="M28" s="7">
        <v>29</v>
      </c>
      <c r="N28" t="s">
        <v>15</v>
      </c>
      <c r="O28" s="9" t="str">
        <f>IF(Table1_1[[#This Row],[Purchased Bike]]="yes","1","0")</f>
        <v>1</v>
      </c>
      <c r="P28" s="4" t="str">
        <f>IF(Table1_1[[#This Row],[Income]]&lt;=30000,"Low ",IF(Table1_1[[#This Row],[Income]]&lt;=70000,"Middle","High"))</f>
        <v xml:space="preserve">Low </v>
      </c>
      <c r="Q28" s="6" t="str">
        <f>IF(Table1_1[[#This Row],[Age]]&lt;30,"Young",IF(Table1_1[[#This Row],[Age]]&lt;50,"Middle aged","Senior citizen"))</f>
        <v>Young</v>
      </c>
      <c r="R28" s="7">
        <f>IF(Table1_1[[#This Row],[Marriedarital SingletatuSingle]]="M",Table1_1[[#This Row],[Children]]+2,Table1_1[[#This Row],[Children]]+1)</f>
        <v>1</v>
      </c>
      <c r="S28" s="4" t="str">
        <f>IF(Table1_1[[#This Row],[Cars]]=0,"No","Yes")</f>
        <v>Yes</v>
      </c>
      <c r="T28" s="6" t="str">
        <f>IF(AND(Table1_1[[#This Row],[Income]]&gt;50000,Table1_1[[#This Row],[Home Owner]]="Yes"),"High stability","Low stability")</f>
        <v>Low stability</v>
      </c>
      <c r="U28" s="3">
        <f>Table1_1[[#This Row],[Income]]/Table1_1[[#This Row],[Family size]]</f>
        <v>30000</v>
      </c>
      <c r="V28" s="6" t="str">
        <f>IF(Table1_1[[#This Row],[Occupation]]="Skilled manual","Blue collar",IF(Table1_1[[#This Row],[Occupation]]="Manual","Blue collar","White collar"))</f>
        <v>White collar</v>
      </c>
    </row>
    <row r="29" spans="1:22" x14ac:dyDescent="0.3">
      <c r="A29" t="s">
        <v>63</v>
      </c>
      <c r="B29" s="6" t="s">
        <v>1044</v>
      </c>
      <c r="C29" s="6" t="s">
        <v>1045</v>
      </c>
      <c r="D29" s="3">
        <v>100000</v>
      </c>
      <c r="E29">
        <v>0</v>
      </c>
      <c r="F29" s="6" t="s">
        <v>13</v>
      </c>
      <c r="G29" s="6" t="s">
        <v>21</v>
      </c>
      <c r="H29" s="6" t="s">
        <v>18</v>
      </c>
      <c r="I29">
        <v>1</v>
      </c>
      <c r="J29" t="s">
        <v>23</v>
      </c>
      <c r="K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9" s="6" t="s">
        <v>24</v>
      </c>
      <c r="M29" s="7">
        <v>40</v>
      </c>
      <c r="N29" t="s">
        <v>18</v>
      </c>
      <c r="O29" s="9" t="str">
        <f>IF(Table1_1[[#This Row],[Purchased Bike]]="yes","1","0")</f>
        <v>0</v>
      </c>
      <c r="P29" s="4" t="str">
        <f>IF(Table1_1[[#This Row],[Income]]&lt;=30000,"Low ",IF(Table1_1[[#This Row],[Income]]&lt;=70000,"Middle","High"))</f>
        <v>High</v>
      </c>
      <c r="Q29" s="6" t="str">
        <f>IF(Table1_1[[#This Row],[Age]]&lt;30,"Young",IF(Table1_1[[#This Row],[Age]]&lt;50,"Middle aged","Senior citizen"))</f>
        <v>Middle aged</v>
      </c>
      <c r="R29" s="7">
        <f>IF(Table1_1[[#This Row],[Marriedarital SingletatuSingle]]="M",Table1_1[[#This Row],[Children]]+2,Table1_1[[#This Row],[Children]]+1)</f>
        <v>1</v>
      </c>
      <c r="S29" s="4" t="str">
        <f>IF(Table1_1[[#This Row],[Cars]]=0,"No","Yes")</f>
        <v>Yes</v>
      </c>
      <c r="T29" s="6" t="str">
        <f>IF(AND(Table1_1[[#This Row],[Income]]&gt;50000,Table1_1[[#This Row],[Home Owner]]="Yes"),"High stability","Low stability")</f>
        <v>Low stability</v>
      </c>
      <c r="U29" s="3">
        <f>Table1_1[[#This Row],[Income]]/Table1_1[[#This Row],[Family size]]</f>
        <v>100000</v>
      </c>
      <c r="V29" s="6" t="str">
        <f>IF(Table1_1[[#This Row],[Occupation]]="Skilled manual","Blue collar",IF(Table1_1[[#This Row],[Occupation]]="Manual","Blue collar","White collar"))</f>
        <v>White collar</v>
      </c>
    </row>
    <row r="30" spans="1:22" x14ac:dyDescent="0.3">
      <c r="A30" t="s">
        <v>64</v>
      </c>
      <c r="B30" s="6" t="s">
        <v>1042</v>
      </c>
      <c r="C30" s="6" t="s">
        <v>1046</v>
      </c>
      <c r="D30" s="3">
        <v>70000</v>
      </c>
      <c r="E30">
        <v>5</v>
      </c>
      <c r="F30" s="6" t="s">
        <v>19</v>
      </c>
      <c r="G30" s="6" t="s">
        <v>14</v>
      </c>
      <c r="H30" s="6" t="s">
        <v>15</v>
      </c>
      <c r="I30">
        <v>2</v>
      </c>
      <c r="J30" t="s">
        <v>23</v>
      </c>
      <c r="K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0" s="6" t="s">
        <v>24</v>
      </c>
      <c r="M30" s="7">
        <v>44</v>
      </c>
      <c r="N30" t="s">
        <v>18</v>
      </c>
      <c r="O30" s="9" t="str">
        <f>IF(Table1_1[[#This Row],[Purchased Bike]]="yes","1","0")</f>
        <v>0</v>
      </c>
      <c r="P30" s="4" t="str">
        <f>IF(Table1_1[[#This Row],[Income]]&lt;=30000,"Low ",IF(Table1_1[[#This Row],[Income]]&lt;=70000,"Middle","High"))</f>
        <v>Middle</v>
      </c>
      <c r="Q30" s="6" t="str">
        <f>IF(Table1_1[[#This Row],[Age]]&lt;30,"Young",IF(Table1_1[[#This Row],[Age]]&lt;50,"Middle aged","Senior citizen"))</f>
        <v>Middle aged</v>
      </c>
      <c r="R30" s="7">
        <f>IF(Table1_1[[#This Row],[Marriedarital SingletatuSingle]]="M",Table1_1[[#This Row],[Children]]+2,Table1_1[[#This Row],[Children]]+1)</f>
        <v>6</v>
      </c>
      <c r="S30" s="4" t="str">
        <f>IF(Table1_1[[#This Row],[Cars]]=0,"No","Yes")</f>
        <v>Yes</v>
      </c>
      <c r="T30" s="6" t="str">
        <f>IF(AND(Table1_1[[#This Row],[Income]]&gt;50000,Table1_1[[#This Row],[Home Owner]]="Yes"),"High stability","Low stability")</f>
        <v>High stability</v>
      </c>
      <c r="U30" s="3">
        <f>Table1_1[[#This Row],[Income]]/Table1_1[[#This Row],[Family size]]</f>
        <v>11666.666666666666</v>
      </c>
      <c r="V30" s="6" t="str">
        <f>IF(Table1_1[[#This Row],[Occupation]]="Skilled manual","Blue collar",IF(Table1_1[[#This Row],[Occupation]]="Manual","Blue collar","White collar"))</f>
        <v>Blue collar</v>
      </c>
    </row>
    <row r="31" spans="1:22" x14ac:dyDescent="0.3">
      <c r="A31" t="s">
        <v>65</v>
      </c>
      <c r="B31" s="6" t="s">
        <v>1044</v>
      </c>
      <c r="C31" s="6" t="s">
        <v>1045</v>
      </c>
      <c r="D31" s="3">
        <v>20000</v>
      </c>
      <c r="E31">
        <v>0</v>
      </c>
      <c r="F31" s="6" t="s">
        <v>29</v>
      </c>
      <c r="G31" s="6" t="s">
        <v>25</v>
      </c>
      <c r="H31" s="6" t="s">
        <v>18</v>
      </c>
      <c r="I31">
        <v>2</v>
      </c>
      <c r="J31" t="s">
        <v>16</v>
      </c>
      <c r="K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1" s="6" t="s">
        <v>17</v>
      </c>
      <c r="M31" s="7">
        <v>32</v>
      </c>
      <c r="N31" t="s">
        <v>15</v>
      </c>
      <c r="O31" s="9" t="str">
        <f>IF(Table1_1[[#This Row],[Purchased Bike]]="yes","1","0")</f>
        <v>1</v>
      </c>
      <c r="P31" s="4" t="str">
        <f>IF(Table1_1[[#This Row],[Income]]&lt;=30000,"Low ",IF(Table1_1[[#This Row],[Income]]&lt;=70000,"Middle","High"))</f>
        <v xml:space="preserve">Low </v>
      </c>
      <c r="Q31" s="6" t="str">
        <f>IF(Table1_1[[#This Row],[Age]]&lt;30,"Young",IF(Table1_1[[#This Row],[Age]]&lt;50,"Middle aged","Senior citizen"))</f>
        <v>Middle aged</v>
      </c>
      <c r="R31" s="7">
        <f>IF(Table1_1[[#This Row],[Marriedarital SingletatuSingle]]="M",Table1_1[[#This Row],[Children]]+2,Table1_1[[#This Row],[Children]]+1)</f>
        <v>1</v>
      </c>
      <c r="S31" s="4" t="str">
        <f>IF(Table1_1[[#This Row],[Cars]]=0,"No","Yes")</f>
        <v>Yes</v>
      </c>
      <c r="T31" s="6" t="str">
        <f>IF(AND(Table1_1[[#This Row],[Income]]&gt;50000,Table1_1[[#This Row],[Home Owner]]="Yes"),"High stability","Low stability")</f>
        <v>Low stability</v>
      </c>
      <c r="U31" s="3">
        <f>Table1_1[[#This Row],[Income]]/Table1_1[[#This Row],[Family size]]</f>
        <v>20000</v>
      </c>
      <c r="V31" s="6" t="str">
        <f>IF(Table1_1[[#This Row],[Occupation]]="Skilled manual","Blue collar",IF(Table1_1[[#This Row],[Occupation]]="Manual","Blue collar","White collar"))</f>
        <v>Blue collar</v>
      </c>
    </row>
    <row r="32" spans="1:22" x14ac:dyDescent="0.3">
      <c r="A32" t="s">
        <v>66</v>
      </c>
      <c r="B32" s="6" t="s">
        <v>1042</v>
      </c>
      <c r="C32" s="6" t="s">
        <v>1045</v>
      </c>
      <c r="D32" s="3">
        <v>20000</v>
      </c>
      <c r="E32">
        <v>2</v>
      </c>
      <c r="F32" s="6" t="s">
        <v>19</v>
      </c>
      <c r="G32" s="6" t="s">
        <v>25</v>
      </c>
      <c r="H32" s="6" t="s">
        <v>15</v>
      </c>
      <c r="I32">
        <v>0</v>
      </c>
      <c r="J32" t="s">
        <v>16</v>
      </c>
      <c r="K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2" s="6" t="s">
        <v>17</v>
      </c>
      <c r="M32" s="7">
        <v>63</v>
      </c>
      <c r="N32" t="s">
        <v>18</v>
      </c>
      <c r="O32" s="9" t="str">
        <f>IF(Table1_1[[#This Row],[Purchased Bike]]="yes","1","0")</f>
        <v>0</v>
      </c>
      <c r="P32" s="4" t="str">
        <f>IF(Table1_1[[#This Row],[Income]]&lt;=30000,"Low ",IF(Table1_1[[#This Row],[Income]]&lt;=70000,"Middle","High"))</f>
        <v xml:space="preserve">Low </v>
      </c>
      <c r="Q32" s="6" t="str">
        <f>IF(Table1_1[[#This Row],[Age]]&lt;30,"Young",IF(Table1_1[[#This Row],[Age]]&lt;50,"Middle aged","Senior citizen"))</f>
        <v>Senior citizen</v>
      </c>
      <c r="R32" s="7">
        <f>IF(Table1_1[[#This Row],[Marriedarital SingletatuSingle]]="M",Table1_1[[#This Row],[Children]]+2,Table1_1[[#This Row],[Children]]+1)</f>
        <v>3</v>
      </c>
      <c r="S32" s="4" t="str">
        <f>IF(Table1_1[[#This Row],[Cars]]=0,"No","Yes")</f>
        <v>No</v>
      </c>
      <c r="T32" s="6" t="str">
        <f>IF(AND(Table1_1[[#This Row],[Income]]&gt;50000,Table1_1[[#This Row],[Home Owner]]="Yes"),"High stability","Low stability")</f>
        <v>Low stability</v>
      </c>
      <c r="U32" s="3">
        <f>Table1_1[[#This Row],[Income]]/Table1_1[[#This Row],[Family size]]</f>
        <v>6666.666666666667</v>
      </c>
      <c r="V32" s="6" t="str">
        <f>IF(Table1_1[[#This Row],[Occupation]]="Skilled manual","Blue collar",IF(Table1_1[[#This Row],[Occupation]]="Manual","Blue collar","White collar"))</f>
        <v>Blue collar</v>
      </c>
    </row>
    <row r="33" spans="1:22" x14ac:dyDescent="0.3">
      <c r="A33" t="s">
        <v>67</v>
      </c>
      <c r="B33" s="6" t="s">
        <v>1042</v>
      </c>
      <c r="C33" s="6" t="s">
        <v>1046</v>
      </c>
      <c r="D33" s="3">
        <v>10000</v>
      </c>
      <c r="E33">
        <v>0</v>
      </c>
      <c r="F33" s="6" t="s">
        <v>19</v>
      </c>
      <c r="G33" s="6" t="s">
        <v>25</v>
      </c>
      <c r="H33" s="6" t="s">
        <v>18</v>
      </c>
      <c r="I33">
        <v>1</v>
      </c>
      <c r="J33" t="s">
        <v>16</v>
      </c>
      <c r="K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3" s="6" t="s">
        <v>24</v>
      </c>
      <c r="M33" s="7">
        <v>26</v>
      </c>
      <c r="N33" t="s">
        <v>15</v>
      </c>
      <c r="O33" s="9" t="str">
        <f>IF(Table1_1[[#This Row],[Purchased Bike]]="yes","1","0")</f>
        <v>1</v>
      </c>
      <c r="P33" s="4" t="str">
        <f>IF(Table1_1[[#This Row],[Income]]&lt;=30000,"Low ",IF(Table1_1[[#This Row],[Income]]&lt;=70000,"Middle","High"))</f>
        <v xml:space="preserve">Low </v>
      </c>
      <c r="Q33" s="6" t="str">
        <f>IF(Table1_1[[#This Row],[Age]]&lt;30,"Young",IF(Table1_1[[#This Row],[Age]]&lt;50,"Middle aged","Senior citizen"))</f>
        <v>Young</v>
      </c>
      <c r="R33" s="7">
        <f>IF(Table1_1[[#This Row],[Marriedarital SingletatuSingle]]="M",Table1_1[[#This Row],[Children]]+2,Table1_1[[#This Row],[Children]]+1)</f>
        <v>1</v>
      </c>
      <c r="S33" s="4" t="str">
        <f>IF(Table1_1[[#This Row],[Cars]]=0,"No","Yes")</f>
        <v>Yes</v>
      </c>
      <c r="T33" s="6" t="str">
        <f>IF(AND(Table1_1[[#This Row],[Income]]&gt;50000,Table1_1[[#This Row],[Home Owner]]="Yes"),"High stability","Low stability")</f>
        <v>Low stability</v>
      </c>
      <c r="U33" s="3">
        <f>Table1_1[[#This Row],[Income]]/Table1_1[[#This Row],[Family size]]</f>
        <v>10000</v>
      </c>
      <c r="V33" s="6" t="str">
        <f>IF(Table1_1[[#This Row],[Occupation]]="Skilled manual","Blue collar",IF(Table1_1[[#This Row],[Occupation]]="Manual","Blue collar","White collar"))</f>
        <v>Blue collar</v>
      </c>
    </row>
    <row r="34" spans="1:22" x14ac:dyDescent="0.3">
      <c r="A34" t="s">
        <v>68</v>
      </c>
      <c r="B34" s="6" t="s">
        <v>1044</v>
      </c>
      <c r="C34" s="6" t="s">
        <v>1045</v>
      </c>
      <c r="D34" s="3">
        <v>20000</v>
      </c>
      <c r="E34">
        <v>0</v>
      </c>
      <c r="F34" s="6" t="s">
        <v>27</v>
      </c>
      <c r="G34" s="6" t="s">
        <v>25</v>
      </c>
      <c r="H34" s="6" t="s">
        <v>18</v>
      </c>
      <c r="I34">
        <v>1</v>
      </c>
      <c r="J34" t="s">
        <v>23</v>
      </c>
      <c r="K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4" s="6" t="s">
        <v>17</v>
      </c>
      <c r="M34" s="7">
        <v>31</v>
      </c>
      <c r="N34" t="s">
        <v>18</v>
      </c>
      <c r="O34" s="9" t="str">
        <f>IF(Table1_1[[#This Row],[Purchased Bike]]="yes","1","0")</f>
        <v>0</v>
      </c>
      <c r="P34" s="4" t="str">
        <f>IF(Table1_1[[#This Row],[Income]]&lt;=30000,"Low ",IF(Table1_1[[#This Row],[Income]]&lt;=70000,"Middle","High"))</f>
        <v xml:space="preserve">Low </v>
      </c>
      <c r="Q34" s="6" t="str">
        <f>IF(Table1_1[[#This Row],[Age]]&lt;30,"Young",IF(Table1_1[[#This Row],[Age]]&lt;50,"Middle aged","Senior citizen"))</f>
        <v>Middle aged</v>
      </c>
      <c r="R34" s="7">
        <f>IF(Table1_1[[#This Row],[Marriedarital SingletatuSingle]]="M",Table1_1[[#This Row],[Children]]+2,Table1_1[[#This Row],[Children]]+1)</f>
        <v>1</v>
      </c>
      <c r="S34" s="4" t="str">
        <f>IF(Table1_1[[#This Row],[Cars]]=0,"No","Yes")</f>
        <v>Yes</v>
      </c>
      <c r="T34" s="6" t="str">
        <f>IF(AND(Table1_1[[#This Row],[Income]]&gt;50000,Table1_1[[#This Row],[Home Owner]]="Yes"),"High stability","Low stability")</f>
        <v>Low stability</v>
      </c>
      <c r="U34" s="3">
        <f>Table1_1[[#This Row],[Income]]/Table1_1[[#This Row],[Family size]]</f>
        <v>20000</v>
      </c>
      <c r="V34" s="6" t="str">
        <f>IF(Table1_1[[#This Row],[Occupation]]="Skilled manual","Blue collar",IF(Table1_1[[#This Row],[Occupation]]="Manual","Blue collar","White collar"))</f>
        <v>Blue collar</v>
      </c>
    </row>
    <row r="35" spans="1:22" x14ac:dyDescent="0.3">
      <c r="A35" t="s">
        <v>69</v>
      </c>
      <c r="B35" s="6" t="s">
        <v>1044</v>
      </c>
      <c r="C35" s="6" t="s">
        <v>1046</v>
      </c>
      <c r="D35" s="3">
        <v>80000</v>
      </c>
      <c r="E35">
        <v>2</v>
      </c>
      <c r="F35" s="6" t="s">
        <v>27</v>
      </c>
      <c r="G35" s="6" t="s">
        <v>14</v>
      </c>
      <c r="H35" s="6" t="s">
        <v>18</v>
      </c>
      <c r="I35">
        <v>2</v>
      </c>
      <c r="J35" t="s">
        <v>26</v>
      </c>
      <c r="K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5" s="6" t="s">
        <v>24</v>
      </c>
      <c r="M35" s="7">
        <v>50</v>
      </c>
      <c r="N35" t="s">
        <v>15</v>
      </c>
      <c r="O35" s="9" t="str">
        <f>IF(Table1_1[[#This Row],[Purchased Bike]]="yes","1","0")</f>
        <v>1</v>
      </c>
      <c r="P35" s="4" t="str">
        <f>IF(Table1_1[[#This Row],[Income]]&lt;=30000,"Low ",IF(Table1_1[[#This Row],[Income]]&lt;=70000,"Middle","High"))</f>
        <v>High</v>
      </c>
      <c r="Q35" s="6" t="str">
        <f>IF(Table1_1[[#This Row],[Age]]&lt;30,"Young",IF(Table1_1[[#This Row],[Age]]&lt;50,"Middle aged","Senior citizen"))</f>
        <v>Senior citizen</v>
      </c>
      <c r="R35" s="7">
        <f>IF(Table1_1[[#This Row],[Marriedarital SingletatuSingle]]="M",Table1_1[[#This Row],[Children]]+2,Table1_1[[#This Row],[Children]]+1)</f>
        <v>3</v>
      </c>
      <c r="S35" s="4" t="str">
        <f>IF(Table1_1[[#This Row],[Cars]]=0,"No","Yes")</f>
        <v>Yes</v>
      </c>
      <c r="T35" s="6" t="str">
        <f>IF(AND(Table1_1[[#This Row],[Income]]&gt;50000,Table1_1[[#This Row],[Home Owner]]="Yes"),"High stability","Low stability")</f>
        <v>Low stability</v>
      </c>
      <c r="U35" s="3">
        <f>Table1_1[[#This Row],[Income]]/Table1_1[[#This Row],[Family size]]</f>
        <v>26666.666666666668</v>
      </c>
      <c r="V35" s="6" t="str">
        <f>IF(Table1_1[[#This Row],[Occupation]]="Skilled manual","Blue collar",IF(Table1_1[[#This Row],[Occupation]]="Manual","Blue collar","White collar"))</f>
        <v>Blue collar</v>
      </c>
    </row>
    <row r="36" spans="1:22" x14ac:dyDescent="0.3">
      <c r="A36" t="s">
        <v>70</v>
      </c>
      <c r="B36" s="6" t="s">
        <v>1044</v>
      </c>
      <c r="C36" s="6" t="s">
        <v>1046</v>
      </c>
      <c r="D36" s="3">
        <v>90000</v>
      </c>
      <c r="E36">
        <v>5</v>
      </c>
      <c r="F36" s="6" t="s">
        <v>19</v>
      </c>
      <c r="G36" s="6" t="s">
        <v>21</v>
      </c>
      <c r="H36" s="6" t="s">
        <v>18</v>
      </c>
      <c r="I36">
        <v>2</v>
      </c>
      <c r="J36" t="s">
        <v>22</v>
      </c>
      <c r="K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6" s="6" t="s">
        <v>17</v>
      </c>
      <c r="M36" s="7">
        <v>62</v>
      </c>
      <c r="N36" t="s">
        <v>15</v>
      </c>
      <c r="O36" s="9" t="str">
        <f>IF(Table1_1[[#This Row],[Purchased Bike]]="yes","1","0")</f>
        <v>1</v>
      </c>
      <c r="P36" s="4" t="str">
        <f>IF(Table1_1[[#This Row],[Income]]&lt;=30000,"Low ",IF(Table1_1[[#This Row],[Income]]&lt;=70000,"Middle","High"))</f>
        <v>High</v>
      </c>
      <c r="Q36" s="6" t="str">
        <f>IF(Table1_1[[#This Row],[Age]]&lt;30,"Young",IF(Table1_1[[#This Row],[Age]]&lt;50,"Middle aged","Senior citizen"))</f>
        <v>Senior citizen</v>
      </c>
      <c r="R36" s="7">
        <f>IF(Table1_1[[#This Row],[Marriedarital SingletatuSingle]]="M",Table1_1[[#This Row],[Children]]+2,Table1_1[[#This Row],[Children]]+1)</f>
        <v>6</v>
      </c>
      <c r="S36" s="4" t="str">
        <f>IF(Table1_1[[#This Row],[Cars]]=0,"No","Yes")</f>
        <v>Yes</v>
      </c>
      <c r="T36" s="6" t="str">
        <f>IF(AND(Table1_1[[#This Row],[Income]]&gt;50000,Table1_1[[#This Row],[Home Owner]]="Yes"),"High stability","Low stability")</f>
        <v>Low stability</v>
      </c>
      <c r="U36" s="3">
        <f>Table1_1[[#This Row],[Income]]/Table1_1[[#This Row],[Family size]]</f>
        <v>15000</v>
      </c>
      <c r="V36" s="6" t="str">
        <f>IF(Table1_1[[#This Row],[Occupation]]="Skilled manual","Blue collar",IF(Table1_1[[#This Row],[Occupation]]="Manual","Blue collar","White collar"))</f>
        <v>White collar</v>
      </c>
    </row>
    <row r="37" spans="1:22" x14ac:dyDescent="0.3">
      <c r="A37" t="s">
        <v>71</v>
      </c>
      <c r="B37" s="6" t="s">
        <v>1044</v>
      </c>
      <c r="C37" s="6" t="s">
        <v>1045</v>
      </c>
      <c r="D37" s="3">
        <v>10000</v>
      </c>
      <c r="E37">
        <v>5</v>
      </c>
      <c r="F37" s="6" t="s">
        <v>29</v>
      </c>
      <c r="G37" s="6" t="s">
        <v>25</v>
      </c>
      <c r="H37" s="6" t="s">
        <v>18</v>
      </c>
      <c r="I37">
        <v>2</v>
      </c>
      <c r="J37" t="s">
        <v>16</v>
      </c>
      <c r="K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7" s="6" t="s">
        <v>17</v>
      </c>
      <c r="M37" s="7">
        <v>41</v>
      </c>
      <c r="N37" t="s">
        <v>18</v>
      </c>
      <c r="O37" s="9" t="str">
        <f>IF(Table1_1[[#This Row],[Purchased Bike]]="yes","1","0")</f>
        <v>0</v>
      </c>
      <c r="P37" s="4" t="str">
        <f>IF(Table1_1[[#This Row],[Income]]&lt;=30000,"Low ",IF(Table1_1[[#This Row],[Income]]&lt;=70000,"Middle","High"))</f>
        <v xml:space="preserve">Low </v>
      </c>
      <c r="Q37" s="6" t="str">
        <f>IF(Table1_1[[#This Row],[Age]]&lt;30,"Young",IF(Table1_1[[#This Row],[Age]]&lt;50,"Middle aged","Senior citizen"))</f>
        <v>Middle aged</v>
      </c>
      <c r="R37" s="7">
        <f>IF(Table1_1[[#This Row],[Marriedarital SingletatuSingle]]="M",Table1_1[[#This Row],[Children]]+2,Table1_1[[#This Row],[Children]]+1)</f>
        <v>6</v>
      </c>
      <c r="S37" s="4" t="str">
        <f>IF(Table1_1[[#This Row],[Cars]]=0,"No","Yes")</f>
        <v>Yes</v>
      </c>
      <c r="T37" s="6" t="str">
        <f>IF(AND(Table1_1[[#This Row],[Income]]&gt;50000,Table1_1[[#This Row],[Home Owner]]="Yes"),"High stability","Low stability")</f>
        <v>Low stability</v>
      </c>
      <c r="U37" s="3">
        <f>Table1_1[[#This Row],[Income]]/Table1_1[[#This Row],[Family size]]</f>
        <v>1666.6666666666667</v>
      </c>
      <c r="V37" s="6" t="str">
        <f>IF(Table1_1[[#This Row],[Occupation]]="Skilled manual","Blue collar",IF(Table1_1[[#This Row],[Occupation]]="Manual","Blue collar","White collar"))</f>
        <v>Blue collar</v>
      </c>
    </row>
    <row r="38" spans="1:22" x14ac:dyDescent="0.3">
      <c r="A38" t="s">
        <v>72</v>
      </c>
      <c r="B38" s="6" t="s">
        <v>1042</v>
      </c>
      <c r="C38" s="6" t="s">
        <v>1045</v>
      </c>
      <c r="D38" s="3">
        <v>10000</v>
      </c>
      <c r="E38">
        <v>2</v>
      </c>
      <c r="F38" s="6" t="s">
        <v>19</v>
      </c>
      <c r="G38" s="6" t="s">
        <v>25</v>
      </c>
      <c r="H38" s="6" t="s">
        <v>15</v>
      </c>
      <c r="I38">
        <v>1</v>
      </c>
      <c r="J38" t="s">
        <v>16</v>
      </c>
      <c r="K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8" s="6" t="s">
        <v>17</v>
      </c>
      <c r="M38" s="7">
        <v>50</v>
      </c>
      <c r="N38" t="s">
        <v>15</v>
      </c>
      <c r="O38" s="9" t="str">
        <f>IF(Table1_1[[#This Row],[Purchased Bike]]="yes","1","0")</f>
        <v>1</v>
      </c>
      <c r="P38" s="4" t="str">
        <f>IF(Table1_1[[#This Row],[Income]]&lt;=30000,"Low ",IF(Table1_1[[#This Row],[Income]]&lt;=70000,"Middle","High"))</f>
        <v xml:space="preserve">Low </v>
      </c>
      <c r="Q38" s="6" t="str">
        <f>IF(Table1_1[[#This Row],[Age]]&lt;30,"Young",IF(Table1_1[[#This Row],[Age]]&lt;50,"Middle aged","Senior citizen"))</f>
        <v>Senior citizen</v>
      </c>
      <c r="R38" s="7">
        <f>IF(Table1_1[[#This Row],[Marriedarital SingletatuSingle]]="M",Table1_1[[#This Row],[Children]]+2,Table1_1[[#This Row],[Children]]+1)</f>
        <v>3</v>
      </c>
      <c r="S38" s="4" t="str">
        <f>IF(Table1_1[[#This Row],[Cars]]=0,"No","Yes")</f>
        <v>Yes</v>
      </c>
      <c r="T38" s="6" t="str">
        <f>IF(AND(Table1_1[[#This Row],[Income]]&gt;50000,Table1_1[[#This Row],[Home Owner]]="Yes"),"High stability","Low stability")</f>
        <v>Low stability</v>
      </c>
      <c r="U38" s="3">
        <f>Table1_1[[#This Row],[Income]]/Table1_1[[#This Row],[Family size]]</f>
        <v>3333.3333333333335</v>
      </c>
      <c r="V38" s="6" t="str">
        <f>IF(Table1_1[[#This Row],[Occupation]]="Skilled manual","Blue collar",IF(Table1_1[[#This Row],[Occupation]]="Manual","Blue collar","White collar"))</f>
        <v>Blue collar</v>
      </c>
    </row>
    <row r="39" spans="1:22" x14ac:dyDescent="0.3">
      <c r="A39" t="s">
        <v>73</v>
      </c>
      <c r="B39" s="6" t="s">
        <v>1044</v>
      </c>
      <c r="C39" s="6" t="s">
        <v>1045</v>
      </c>
      <c r="D39" s="3">
        <v>30000</v>
      </c>
      <c r="E39">
        <v>0</v>
      </c>
      <c r="F39" s="6" t="s">
        <v>19</v>
      </c>
      <c r="G39" s="6" t="s">
        <v>20</v>
      </c>
      <c r="H39" s="6" t="s">
        <v>18</v>
      </c>
      <c r="I39">
        <v>1</v>
      </c>
      <c r="J39" t="s">
        <v>22</v>
      </c>
      <c r="K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9" s="6" t="s">
        <v>17</v>
      </c>
      <c r="M39" s="7">
        <v>30</v>
      </c>
      <c r="N39" t="s">
        <v>18</v>
      </c>
      <c r="O39" s="9" t="str">
        <f>IF(Table1_1[[#This Row],[Purchased Bike]]="yes","1","0")</f>
        <v>0</v>
      </c>
      <c r="P39" s="4" t="str">
        <f>IF(Table1_1[[#This Row],[Income]]&lt;=30000,"Low ",IF(Table1_1[[#This Row],[Income]]&lt;=70000,"Middle","High"))</f>
        <v xml:space="preserve">Low </v>
      </c>
      <c r="Q39" s="6" t="str">
        <f>IF(Table1_1[[#This Row],[Age]]&lt;30,"Young",IF(Table1_1[[#This Row],[Age]]&lt;50,"Middle aged","Senior citizen"))</f>
        <v>Middle aged</v>
      </c>
      <c r="R39" s="7">
        <f>IF(Table1_1[[#This Row],[Marriedarital SingletatuSingle]]="M",Table1_1[[#This Row],[Children]]+2,Table1_1[[#This Row],[Children]]+1)</f>
        <v>1</v>
      </c>
      <c r="S39" s="4" t="str">
        <f>IF(Table1_1[[#This Row],[Cars]]=0,"No","Yes")</f>
        <v>Yes</v>
      </c>
      <c r="T39" s="6" t="str">
        <f>IF(AND(Table1_1[[#This Row],[Income]]&gt;50000,Table1_1[[#This Row],[Home Owner]]="Yes"),"High stability","Low stability")</f>
        <v>Low stability</v>
      </c>
      <c r="U39" s="3">
        <f>Table1_1[[#This Row],[Income]]/Table1_1[[#This Row],[Family size]]</f>
        <v>30000</v>
      </c>
      <c r="V39" s="6" t="str">
        <f>IF(Table1_1[[#This Row],[Occupation]]="Skilled manual","Blue collar",IF(Table1_1[[#This Row],[Occupation]]="Manual","Blue collar","White collar"))</f>
        <v>White collar</v>
      </c>
    </row>
    <row r="40" spans="1:22" x14ac:dyDescent="0.3">
      <c r="A40" t="s">
        <v>74</v>
      </c>
      <c r="B40" s="6" t="s">
        <v>1044</v>
      </c>
      <c r="C40" s="6" t="s">
        <v>1046</v>
      </c>
      <c r="D40" s="3">
        <v>20000</v>
      </c>
      <c r="E40">
        <v>0</v>
      </c>
      <c r="F40" s="6" t="s">
        <v>27</v>
      </c>
      <c r="G40" s="6" t="s">
        <v>25</v>
      </c>
      <c r="H40" s="6" t="s">
        <v>18</v>
      </c>
      <c r="I40">
        <v>1</v>
      </c>
      <c r="J40" t="s">
        <v>22</v>
      </c>
      <c r="K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0" s="6" t="s">
        <v>17</v>
      </c>
      <c r="M40" s="7">
        <v>28</v>
      </c>
      <c r="N40" t="s">
        <v>18</v>
      </c>
      <c r="O40" s="9" t="str">
        <f>IF(Table1_1[[#This Row],[Purchased Bike]]="yes","1","0")</f>
        <v>0</v>
      </c>
      <c r="P40" s="4" t="str">
        <f>IF(Table1_1[[#This Row],[Income]]&lt;=30000,"Low ",IF(Table1_1[[#This Row],[Income]]&lt;=70000,"Middle","High"))</f>
        <v xml:space="preserve">Low </v>
      </c>
      <c r="Q40" s="6" t="str">
        <f>IF(Table1_1[[#This Row],[Age]]&lt;30,"Young",IF(Table1_1[[#This Row],[Age]]&lt;50,"Middle aged","Senior citizen"))</f>
        <v>Young</v>
      </c>
      <c r="R40" s="7">
        <f>IF(Table1_1[[#This Row],[Marriedarital SingletatuSingle]]="M",Table1_1[[#This Row],[Children]]+2,Table1_1[[#This Row],[Children]]+1)</f>
        <v>1</v>
      </c>
      <c r="S40" s="4" t="str">
        <f>IF(Table1_1[[#This Row],[Cars]]=0,"No","Yes")</f>
        <v>Yes</v>
      </c>
      <c r="T40" s="6" t="str">
        <f>IF(AND(Table1_1[[#This Row],[Income]]&gt;50000,Table1_1[[#This Row],[Home Owner]]="Yes"),"High stability","Low stability")</f>
        <v>Low stability</v>
      </c>
      <c r="U40" s="3">
        <f>Table1_1[[#This Row],[Income]]/Table1_1[[#This Row],[Family size]]</f>
        <v>20000</v>
      </c>
      <c r="V40" s="6" t="str">
        <f>IF(Table1_1[[#This Row],[Occupation]]="Skilled manual","Blue collar",IF(Table1_1[[#This Row],[Occupation]]="Manual","Blue collar","White collar"))</f>
        <v>Blue collar</v>
      </c>
    </row>
    <row r="41" spans="1:22" x14ac:dyDescent="0.3">
      <c r="A41" t="s">
        <v>75</v>
      </c>
      <c r="B41" s="6" t="s">
        <v>1044</v>
      </c>
      <c r="C41" s="6" t="s">
        <v>1045</v>
      </c>
      <c r="D41" s="3">
        <v>10000</v>
      </c>
      <c r="E41">
        <v>4</v>
      </c>
      <c r="F41" s="6" t="s">
        <v>29</v>
      </c>
      <c r="G41" s="6" t="s">
        <v>25</v>
      </c>
      <c r="H41" s="6" t="s">
        <v>15</v>
      </c>
      <c r="I41">
        <v>2</v>
      </c>
      <c r="J41" t="s">
        <v>16</v>
      </c>
      <c r="K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1" s="6" t="s">
        <v>17</v>
      </c>
      <c r="M41" s="7">
        <v>40</v>
      </c>
      <c r="N41" t="s">
        <v>15</v>
      </c>
      <c r="O41" s="9" t="str">
        <f>IF(Table1_1[[#This Row],[Purchased Bike]]="yes","1","0")</f>
        <v>1</v>
      </c>
      <c r="P41" s="4" t="str">
        <f>IF(Table1_1[[#This Row],[Income]]&lt;=30000,"Low ",IF(Table1_1[[#This Row],[Income]]&lt;=70000,"Middle","High"))</f>
        <v xml:space="preserve">Low </v>
      </c>
      <c r="Q41" s="6" t="str">
        <f>IF(Table1_1[[#This Row],[Age]]&lt;30,"Young",IF(Table1_1[[#This Row],[Age]]&lt;50,"Middle aged","Senior citizen"))</f>
        <v>Middle aged</v>
      </c>
      <c r="R41" s="7">
        <f>IF(Table1_1[[#This Row],[Marriedarital SingletatuSingle]]="M",Table1_1[[#This Row],[Children]]+2,Table1_1[[#This Row],[Children]]+1)</f>
        <v>5</v>
      </c>
      <c r="S41" s="4" t="str">
        <f>IF(Table1_1[[#This Row],[Cars]]=0,"No","Yes")</f>
        <v>Yes</v>
      </c>
      <c r="T41" s="6" t="str">
        <f>IF(AND(Table1_1[[#This Row],[Income]]&gt;50000,Table1_1[[#This Row],[Home Owner]]="Yes"),"High stability","Low stability")</f>
        <v>Low stability</v>
      </c>
      <c r="U41" s="3">
        <f>Table1_1[[#This Row],[Income]]/Table1_1[[#This Row],[Family size]]</f>
        <v>2000</v>
      </c>
      <c r="V41" s="6" t="str">
        <f>IF(Table1_1[[#This Row],[Occupation]]="Skilled manual","Blue collar",IF(Table1_1[[#This Row],[Occupation]]="Manual","Blue collar","White collar"))</f>
        <v>Blue collar</v>
      </c>
    </row>
    <row r="42" spans="1:22" x14ac:dyDescent="0.3">
      <c r="A42" t="s">
        <v>76</v>
      </c>
      <c r="B42" s="6" t="s">
        <v>1044</v>
      </c>
      <c r="C42" s="6" t="s">
        <v>1045</v>
      </c>
      <c r="D42" s="3">
        <v>30000</v>
      </c>
      <c r="E42">
        <v>2</v>
      </c>
      <c r="F42" s="6" t="s">
        <v>19</v>
      </c>
      <c r="G42" s="6" t="s">
        <v>20</v>
      </c>
      <c r="H42" s="6" t="s">
        <v>18</v>
      </c>
      <c r="I42">
        <v>0</v>
      </c>
      <c r="J42" t="s">
        <v>16</v>
      </c>
      <c r="K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2" s="6" t="s">
        <v>17</v>
      </c>
      <c r="M42" s="7">
        <v>43</v>
      </c>
      <c r="N42" t="s">
        <v>18</v>
      </c>
      <c r="O42" s="9" t="str">
        <f>IF(Table1_1[[#This Row],[Purchased Bike]]="yes","1","0")</f>
        <v>0</v>
      </c>
      <c r="P42" s="4" t="str">
        <f>IF(Table1_1[[#This Row],[Income]]&lt;=30000,"Low ",IF(Table1_1[[#This Row],[Income]]&lt;=70000,"Middle","High"))</f>
        <v xml:space="preserve">Low </v>
      </c>
      <c r="Q42" s="6" t="str">
        <f>IF(Table1_1[[#This Row],[Age]]&lt;30,"Young",IF(Table1_1[[#This Row],[Age]]&lt;50,"Middle aged","Senior citizen"))</f>
        <v>Middle aged</v>
      </c>
      <c r="R42" s="7">
        <f>IF(Table1_1[[#This Row],[Marriedarital SingletatuSingle]]="M",Table1_1[[#This Row],[Children]]+2,Table1_1[[#This Row],[Children]]+1)</f>
        <v>3</v>
      </c>
      <c r="S42" s="4" t="str">
        <f>IF(Table1_1[[#This Row],[Cars]]=0,"No","Yes")</f>
        <v>No</v>
      </c>
      <c r="T42" s="6" t="str">
        <f>IF(AND(Table1_1[[#This Row],[Income]]&gt;50000,Table1_1[[#This Row],[Home Owner]]="Yes"),"High stability","Low stability")</f>
        <v>Low stability</v>
      </c>
      <c r="U42" s="3">
        <f>Table1_1[[#This Row],[Income]]/Table1_1[[#This Row],[Family size]]</f>
        <v>10000</v>
      </c>
      <c r="V42" s="6" t="str">
        <f>IF(Table1_1[[#This Row],[Occupation]]="Skilled manual","Blue collar",IF(Table1_1[[#This Row],[Occupation]]="Manual","Blue collar","White collar"))</f>
        <v>White collar</v>
      </c>
    </row>
    <row r="43" spans="1:22" x14ac:dyDescent="0.3">
      <c r="A43" t="s">
        <v>77</v>
      </c>
      <c r="B43" s="6" t="s">
        <v>1044</v>
      </c>
      <c r="C43" s="6" t="s">
        <v>1045</v>
      </c>
      <c r="D43" s="3">
        <v>40000</v>
      </c>
      <c r="E43">
        <v>2</v>
      </c>
      <c r="F43" s="6" t="s">
        <v>13</v>
      </c>
      <c r="G43" s="6" t="s">
        <v>28</v>
      </c>
      <c r="H43" s="6" t="s">
        <v>15</v>
      </c>
      <c r="I43">
        <v>2</v>
      </c>
      <c r="J43" t="s">
        <v>23</v>
      </c>
      <c r="K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3" s="6" t="s">
        <v>24</v>
      </c>
      <c r="M43" s="7">
        <v>65</v>
      </c>
      <c r="N43" t="s">
        <v>15</v>
      </c>
      <c r="O43" s="9" t="str">
        <f>IF(Table1_1[[#This Row],[Purchased Bike]]="yes","1","0")</f>
        <v>1</v>
      </c>
      <c r="P43" s="4" t="str">
        <f>IF(Table1_1[[#This Row],[Income]]&lt;=30000,"Low ",IF(Table1_1[[#This Row],[Income]]&lt;=70000,"Middle","High"))</f>
        <v>Middle</v>
      </c>
      <c r="Q43" s="6" t="str">
        <f>IF(Table1_1[[#This Row],[Age]]&lt;30,"Young",IF(Table1_1[[#This Row],[Age]]&lt;50,"Middle aged","Senior citizen"))</f>
        <v>Senior citizen</v>
      </c>
      <c r="R43" s="7">
        <f>IF(Table1_1[[#This Row],[Marriedarital SingletatuSingle]]="M",Table1_1[[#This Row],[Children]]+2,Table1_1[[#This Row],[Children]]+1)</f>
        <v>3</v>
      </c>
      <c r="S43" s="4" t="str">
        <f>IF(Table1_1[[#This Row],[Cars]]=0,"No","Yes")</f>
        <v>Yes</v>
      </c>
      <c r="T43" s="6" t="str">
        <f>IF(AND(Table1_1[[#This Row],[Income]]&gt;50000,Table1_1[[#This Row],[Home Owner]]="Yes"),"High stability","Low stability")</f>
        <v>Low stability</v>
      </c>
      <c r="U43" s="3">
        <f>Table1_1[[#This Row],[Income]]/Table1_1[[#This Row],[Family size]]</f>
        <v>13333.333333333334</v>
      </c>
      <c r="V43" s="6" t="str">
        <f>IF(Table1_1[[#This Row],[Occupation]]="Skilled manual","Blue collar",IF(Table1_1[[#This Row],[Occupation]]="Manual","Blue collar","White collar"))</f>
        <v>White collar</v>
      </c>
    </row>
    <row r="44" spans="1:22" x14ac:dyDescent="0.3">
      <c r="A44" t="s">
        <v>78</v>
      </c>
      <c r="B44" s="6" t="s">
        <v>1042</v>
      </c>
      <c r="C44" s="6" t="s">
        <v>1045</v>
      </c>
      <c r="D44" s="3">
        <v>10000</v>
      </c>
      <c r="E44">
        <v>1</v>
      </c>
      <c r="F44" s="6" t="s">
        <v>31</v>
      </c>
      <c r="G44" s="6" t="s">
        <v>25</v>
      </c>
      <c r="H44" s="6" t="s">
        <v>15</v>
      </c>
      <c r="I44">
        <v>0</v>
      </c>
      <c r="J44" t="s">
        <v>16</v>
      </c>
      <c r="K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4" s="6" t="s">
        <v>17</v>
      </c>
      <c r="M44" s="7">
        <v>40</v>
      </c>
      <c r="N44" t="s">
        <v>18</v>
      </c>
      <c r="O44" s="9" t="str">
        <f>IF(Table1_1[[#This Row],[Purchased Bike]]="yes","1","0")</f>
        <v>0</v>
      </c>
      <c r="P44" s="4" t="str">
        <f>IF(Table1_1[[#This Row],[Income]]&lt;=30000,"Low ",IF(Table1_1[[#This Row],[Income]]&lt;=70000,"Middle","High"))</f>
        <v xml:space="preserve">Low </v>
      </c>
      <c r="Q44" s="6" t="str">
        <f>IF(Table1_1[[#This Row],[Age]]&lt;30,"Young",IF(Table1_1[[#This Row],[Age]]&lt;50,"Middle aged","Senior citizen"))</f>
        <v>Middle aged</v>
      </c>
      <c r="R44" s="7">
        <f>IF(Table1_1[[#This Row],[Marriedarital SingletatuSingle]]="M",Table1_1[[#This Row],[Children]]+2,Table1_1[[#This Row],[Children]]+1)</f>
        <v>2</v>
      </c>
      <c r="S44" s="4" t="str">
        <f>IF(Table1_1[[#This Row],[Cars]]=0,"No","Yes")</f>
        <v>No</v>
      </c>
      <c r="T44" s="6" t="str">
        <f>IF(AND(Table1_1[[#This Row],[Income]]&gt;50000,Table1_1[[#This Row],[Home Owner]]="Yes"),"High stability","Low stability")</f>
        <v>Low stability</v>
      </c>
      <c r="U44" s="3">
        <f>Table1_1[[#This Row],[Income]]/Table1_1[[#This Row],[Family size]]</f>
        <v>5000</v>
      </c>
      <c r="V44" s="6" t="str">
        <f>IF(Table1_1[[#This Row],[Occupation]]="Skilled manual","Blue collar",IF(Table1_1[[#This Row],[Occupation]]="Manual","Blue collar","White collar"))</f>
        <v>Blue collar</v>
      </c>
    </row>
    <row r="45" spans="1:22" x14ac:dyDescent="0.3">
      <c r="A45" t="s">
        <v>79</v>
      </c>
      <c r="B45" s="6" t="s">
        <v>1042</v>
      </c>
      <c r="C45" s="6" t="s">
        <v>1045</v>
      </c>
      <c r="D45" s="3">
        <v>170000</v>
      </c>
      <c r="E45">
        <v>4</v>
      </c>
      <c r="F45" s="6" t="s">
        <v>19</v>
      </c>
      <c r="G45" s="6" t="s">
        <v>21</v>
      </c>
      <c r="H45" s="6" t="s">
        <v>18</v>
      </c>
      <c r="I45">
        <v>3</v>
      </c>
      <c r="J45" t="s">
        <v>23</v>
      </c>
      <c r="K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5" s="6" t="s">
        <v>17</v>
      </c>
      <c r="M45" s="7">
        <v>48</v>
      </c>
      <c r="N45" t="s">
        <v>15</v>
      </c>
      <c r="O45" s="9" t="str">
        <f>IF(Table1_1[[#This Row],[Purchased Bike]]="yes","1","0")</f>
        <v>1</v>
      </c>
      <c r="P45" s="4" t="str">
        <f>IF(Table1_1[[#This Row],[Income]]&lt;=30000,"Low ",IF(Table1_1[[#This Row],[Income]]&lt;=70000,"Middle","High"))</f>
        <v>High</v>
      </c>
      <c r="Q45" s="6" t="str">
        <f>IF(Table1_1[[#This Row],[Age]]&lt;30,"Young",IF(Table1_1[[#This Row],[Age]]&lt;50,"Middle aged","Senior citizen"))</f>
        <v>Middle aged</v>
      </c>
      <c r="R45" s="7">
        <f>IF(Table1_1[[#This Row],[Marriedarital SingletatuSingle]]="M",Table1_1[[#This Row],[Children]]+2,Table1_1[[#This Row],[Children]]+1)</f>
        <v>5</v>
      </c>
      <c r="S45" s="4" t="str">
        <f>IF(Table1_1[[#This Row],[Cars]]=0,"No","Yes")</f>
        <v>Yes</v>
      </c>
      <c r="T45" s="6" t="str">
        <f>IF(AND(Table1_1[[#This Row],[Income]]&gt;50000,Table1_1[[#This Row],[Home Owner]]="Yes"),"High stability","Low stability")</f>
        <v>Low stability</v>
      </c>
      <c r="U45" s="3">
        <f>Table1_1[[#This Row],[Income]]/Table1_1[[#This Row],[Family size]]</f>
        <v>34000</v>
      </c>
      <c r="V45" s="6" t="str">
        <f>IF(Table1_1[[#This Row],[Occupation]]="Skilled manual","Blue collar",IF(Table1_1[[#This Row],[Occupation]]="Manual","Blue collar","White collar"))</f>
        <v>White collar</v>
      </c>
    </row>
    <row r="46" spans="1:22" x14ac:dyDescent="0.3">
      <c r="A46" t="s">
        <v>80</v>
      </c>
      <c r="B46" s="6" t="s">
        <v>1042</v>
      </c>
      <c r="C46" s="6" t="s">
        <v>1045</v>
      </c>
      <c r="D46" s="3">
        <v>20000</v>
      </c>
      <c r="E46">
        <v>3</v>
      </c>
      <c r="F46" s="6" t="s">
        <v>27</v>
      </c>
      <c r="G46" s="6" t="s">
        <v>25</v>
      </c>
      <c r="H46" s="6" t="s">
        <v>15</v>
      </c>
      <c r="I46">
        <v>0</v>
      </c>
      <c r="J46" t="s">
        <v>16</v>
      </c>
      <c r="K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6" s="6" t="s">
        <v>17</v>
      </c>
      <c r="M46" s="7">
        <v>41</v>
      </c>
      <c r="N46" t="s">
        <v>15</v>
      </c>
      <c r="O46" s="9" t="str">
        <f>IF(Table1_1[[#This Row],[Purchased Bike]]="yes","1","0")</f>
        <v>1</v>
      </c>
      <c r="P46" s="4" t="str">
        <f>IF(Table1_1[[#This Row],[Income]]&lt;=30000,"Low ",IF(Table1_1[[#This Row],[Income]]&lt;=70000,"Middle","High"))</f>
        <v xml:space="preserve">Low </v>
      </c>
      <c r="Q46" s="6" t="str">
        <f>IF(Table1_1[[#This Row],[Age]]&lt;30,"Young",IF(Table1_1[[#This Row],[Age]]&lt;50,"Middle aged","Senior citizen"))</f>
        <v>Middle aged</v>
      </c>
      <c r="R46" s="7">
        <f>IF(Table1_1[[#This Row],[Marriedarital SingletatuSingle]]="M",Table1_1[[#This Row],[Children]]+2,Table1_1[[#This Row],[Children]]+1)</f>
        <v>4</v>
      </c>
      <c r="S46" s="4" t="str">
        <f>IF(Table1_1[[#This Row],[Cars]]=0,"No","Yes")</f>
        <v>No</v>
      </c>
      <c r="T46" s="6" t="str">
        <f>IF(AND(Table1_1[[#This Row],[Income]]&gt;50000,Table1_1[[#This Row],[Home Owner]]="Yes"),"High stability","Low stability")</f>
        <v>Low stability</v>
      </c>
      <c r="U46" s="3">
        <f>Table1_1[[#This Row],[Income]]/Table1_1[[#This Row],[Family size]]</f>
        <v>5000</v>
      </c>
      <c r="V46" s="6" t="str">
        <f>IF(Table1_1[[#This Row],[Occupation]]="Skilled manual","Blue collar",IF(Table1_1[[#This Row],[Occupation]]="Manual","Blue collar","White collar"))</f>
        <v>Blue collar</v>
      </c>
    </row>
    <row r="47" spans="1:22" x14ac:dyDescent="0.3">
      <c r="A47" t="s">
        <v>81</v>
      </c>
      <c r="B47" s="6" t="s">
        <v>1042</v>
      </c>
      <c r="C47" s="6" t="s">
        <v>1045</v>
      </c>
      <c r="D47" s="3">
        <v>20000</v>
      </c>
      <c r="E47">
        <v>1</v>
      </c>
      <c r="F47" s="6" t="s">
        <v>13</v>
      </c>
      <c r="G47" s="6" t="s">
        <v>20</v>
      </c>
      <c r="H47" s="6" t="s">
        <v>15</v>
      </c>
      <c r="I47">
        <v>0</v>
      </c>
      <c r="J47" t="s">
        <v>16</v>
      </c>
      <c r="K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7" s="6" t="s">
        <v>17</v>
      </c>
      <c r="M47" s="7">
        <v>66</v>
      </c>
      <c r="N47" t="s">
        <v>15</v>
      </c>
      <c r="O47" s="9" t="str">
        <f>IF(Table1_1[[#This Row],[Purchased Bike]]="yes","1","0")</f>
        <v>1</v>
      </c>
      <c r="P47" s="4" t="str">
        <f>IF(Table1_1[[#This Row],[Income]]&lt;=30000,"Low ",IF(Table1_1[[#This Row],[Income]]&lt;=70000,"Middle","High"))</f>
        <v xml:space="preserve">Low </v>
      </c>
      <c r="Q47" s="6" t="str">
        <f>IF(Table1_1[[#This Row],[Age]]&lt;30,"Young",IF(Table1_1[[#This Row],[Age]]&lt;50,"Middle aged","Senior citizen"))</f>
        <v>Senior citizen</v>
      </c>
      <c r="R47" s="7">
        <f>IF(Table1_1[[#This Row],[Marriedarital SingletatuSingle]]="M",Table1_1[[#This Row],[Children]]+2,Table1_1[[#This Row],[Children]]+1)</f>
        <v>2</v>
      </c>
      <c r="S47" s="4" t="str">
        <f>IF(Table1_1[[#This Row],[Cars]]=0,"No","Yes")</f>
        <v>No</v>
      </c>
      <c r="T47" s="6" t="str">
        <f>IF(AND(Table1_1[[#This Row],[Income]]&gt;50000,Table1_1[[#This Row],[Home Owner]]="Yes"),"High stability","Low stability")</f>
        <v>Low stability</v>
      </c>
      <c r="U47" s="3">
        <f>Table1_1[[#This Row],[Income]]/Table1_1[[#This Row],[Family size]]</f>
        <v>10000</v>
      </c>
      <c r="V47" s="6" t="str">
        <f>IF(Table1_1[[#This Row],[Occupation]]="Skilled manual","Blue collar",IF(Table1_1[[#This Row],[Occupation]]="Manual","Blue collar","White collar"))</f>
        <v>White collar</v>
      </c>
    </row>
    <row r="48" spans="1:22" x14ac:dyDescent="0.3">
      <c r="A48" t="s">
        <v>82</v>
      </c>
      <c r="B48" s="6" t="s">
        <v>1042</v>
      </c>
      <c r="C48" s="6" t="s">
        <v>1045</v>
      </c>
      <c r="D48" s="3">
        <v>60000</v>
      </c>
      <c r="E48">
        <v>1</v>
      </c>
      <c r="F48" s="6" t="s">
        <v>19</v>
      </c>
      <c r="G48" s="6" t="s">
        <v>14</v>
      </c>
      <c r="H48" s="6" t="s">
        <v>15</v>
      </c>
      <c r="I48">
        <v>1</v>
      </c>
      <c r="J48" t="s">
        <v>23</v>
      </c>
      <c r="K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8" s="6" t="s">
        <v>24</v>
      </c>
      <c r="M48" s="7">
        <v>46</v>
      </c>
      <c r="N48" t="s">
        <v>15</v>
      </c>
      <c r="O48" s="9" t="str">
        <f>IF(Table1_1[[#This Row],[Purchased Bike]]="yes","1","0")</f>
        <v>1</v>
      </c>
      <c r="P48" s="4" t="str">
        <f>IF(Table1_1[[#This Row],[Income]]&lt;=30000,"Low ",IF(Table1_1[[#This Row],[Income]]&lt;=70000,"Middle","High"))</f>
        <v>Middle</v>
      </c>
      <c r="Q48" s="6" t="str">
        <f>IF(Table1_1[[#This Row],[Age]]&lt;30,"Young",IF(Table1_1[[#This Row],[Age]]&lt;50,"Middle aged","Senior citizen"))</f>
        <v>Middle aged</v>
      </c>
      <c r="R48" s="7">
        <f>IF(Table1_1[[#This Row],[Marriedarital SingletatuSingle]]="M",Table1_1[[#This Row],[Children]]+2,Table1_1[[#This Row],[Children]]+1)</f>
        <v>2</v>
      </c>
      <c r="S48" s="4" t="str">
        <f>IF(Table1_1[[#This Row],[Cars]]=0,"No","Yes")</f>
        <v>Yes</v>
      </c>
      <c r="T48" s="6" t="str">
        <f>IF(AND(Table1_1[[#This Row],[Income]]&gt;50000,Table1_1[[#This Row],[Home Owner]]="Yes"),"High stability","Low stability")</f>
        <v>High stability</v>
      </c>
      <c r="U48" s="3">
        <f>Table1_1[[#This Row],[Income]]/Table1_1[[#This Row],[Family size]]</f>
        <v>30000</v>
      </c>
      <c r="V48" s="6" t="str">
        <f>IF(Table1_1[[#This Row],[Occupation]]="Skilled manual","Blue collar",IF(Table1_1[[#This Row],[Occupation]]="Manual","Blue collar","White collar"))</f>
        <v>Blue collar</v>
      </c>
    </row>
    <row r="49" spans="1:22" x14ac:dyDescent="0.3">
      <c r="A49" t="s">
        <v>83</v>
      </c>
      <c r="B49" s="6" t="s">
        <v>1044</v>
      </c>
      <c r="C49" s="6" t="s">
        <v>1045</v>
      </c>
      <c r="D49" s="3">
        <v>40000</v>
      </c>
      <c r="E49">
        <v>2</v>
      </c>
      <c r="F49" s="6" t="s">
        <v>19</v>
      </c>
      <c r="G49" s="6" t="s">
        <v>14</v>
      </c>
      <c r="H49" s="6" t="s">
        <v>15</v>
      </c>
      <c r="I49">
        <v>2</v>
      </c>
      <c r="J49" t="s">
        <v>23</v>
      </c>
      <c r="K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9" s="6" t="s">
        <v>24</v>
      </c>
      <c r="M49" s="7">
        <v>52</v>
      </c>
      <c r="N49" t="s">
        <v>15</v>
      </c>
      <c r="O49" s="9" t="str">
        <f>IF(Table1_1[[#This Row],[Purchased Bike]]="yes","1","0")</f>
        <v>1</v>
      </c>
      <c r="P49" s="4" t="str">
        <f>IF(Table1_1[[#This Row],[Income]]&lt;=30000,"Low ",IF(Table1_1[[#This Row],[Income]]&lt;=70000,"Middle","High"))</f>
        <v>Middle</v>
      </c>
      <c r="Q49" s="6" t="str">
        <f>IF(Table1_1[[#This Row],[Age]]&lt;30,"Young",IF(Table1_1[[#This Row],[Age]]&lt;50,"Middle aged","Senior citizen"))</f>
        <v>Senior citizen</v>
      </c>
      <c r="R49" s="7">
        <f>IF(Table1_1[[#This Row],[Marriedarital SingletatuSingle]]="M",Table1_1[[#This Row],[Children]]+2,Table1_1[[#This Row],[Children]]+1)</f>
        <v>3</v>
      </c>
      <c r="S49" s="4" t="str">
        <f>IF(Table1_1[[#This Row],[Cars]]=0,"No","Yes")</f>
        <v>Yes</v>
      </c>
      <c r="T49" s="6" t="str">
        <f>IF(AND(Table1_1[[#This Row],[Income]]&gt;50000,Table1_1[[#This Row],[Home Owner]]="Yes"),"High stability","Low stability")</f>
        <v>Low stability</v>
      </c>
      <c r="U49" s="3">
        <f>Table1_1[[#This Row],[Income]]/Table1_1[[#This Row],[Family size]]</f>
        <v>13333.333333333334</v>
      </c>
      <c r="V49" s="6" t="str">
        <f>IF(Table1_1[[#This Row],[Occupation]]="Skilled manual","Blue collar",IF(Table1_1[[#This Row],[Occupation]]="Manual","Blue collar","White collar"))</f>
        <v>Blue collar</v>
      </c>
    </row>
    <row r="50" spans="1:22" x14ac:dyDescent="0.3">
      <c r="A50" t="s">
        <v>84</v>
      </c>
      <c r="B50" s="6" t="s">
        <v>1042</v>
      </c>
      <c r="C50" s="6" t="s">
        <v>1046</v>
      </c>
      <c r="D50" s="3">
        <v>30000</v>
      </c>
      <c r="E50">
        <v>2</v>
      </c>
      <c r="F50" s="6" t="s">
        <v>19</v>
      </c>
      <c r="G50" s="6" t="s">
        <v>20</v>
      </c>
      <c r="H50" s="6" t="s">
        <v>18</v>
      </c>
      <c r="I50">
        <v>2</v>
      </c>
      <c r="J50" t="s">
        <v>16</v>
      </c>
      <c r="K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0" s="6" t="s">
        <v>17</v>
      </c>
      <c r="M50" s="7">
        <v>42</v>
      </c>
      <c r="N50" t="s">
        <v>18</v>
      </c>
      <c r="O50" s="9" t="str">
        <f>IF(Table1_1[[#This Row],[Purchased Bike]]="yes","1","0")</f>
        <v>0</v>
      </c>
      <c r="P50" s="4" t="str">
        <f>IF(Table1_1[[#This Row],[Income]]&lt;=30000,"Low ",IF(Table1_1[[#This Row],[Income]]&lt;=70000,"Middle","High"))</f>
        <v xml:space="preserve">Low </v>
      </c>
      <c r="Q50" s="6" t="str">
        <f>IF(Table1_1[[#This Row],[Age]]&lt;30,"Young",IF(Table1_1[[#This Row],[Age]]&lt;50,"Middle aged","Senior citizen"))</f>
        <v>Middle aged</v>
      </c>
      <c r="R50" s="7">
        <f>IF(Table1_1[[#This Row],[Marriedarital SingletatuSingle]]="M",Table1_1[[#This Row],[Children]]+2,Table1_1[[#This Row],[Children]]+1)</f>
        <v>3</v>
      </c>
      <c r="S50" s="4" t="str">
        <f>IF(Table1_1[[#This Row],[Cars]]=0,"No","Yes")</f>
        <v>Yes</v>
      </c>
      <c r="T50" s="6" t="str">
        <f>IF(AND(Table1_1[[#This Row],[Income]]&gt;50000,Table1_1[[#This Row],[Home Owner]]="Yes"),"High stability","Low stability")</f>
        <v>Low stability</v>
      </c>
      <c r="U50" s="3">
        <f>Table1_1[[#This Row],[Income]]/Table1_1[[#This Row],[Family size]]</f>
        <v>10000</v>
      </c>
      <c r="V50" s="6" t="str">
        <f>IF(Table1_1[[#This Row],[Occupation]]="Skilled manual","Blue collar",IF(Table1_1[[#This Row],[Occupation]]="Manual","Blue collar","White collar"))</f>
        <v>White collar</v>
      </c>
    </row>
    <row r="51" spans="1:22" x14ac:dyDescent="0.3">
      <c r="A51" t="s">
        <v>85</v>
      </c>
      <c r="B51" s="6" t="s">
        <v>1044</v>
      </c>
      <c r="C51" s="6" t="s">
        <v>1046</v>
      </c>
      <c r="D51" s="3">
        <v>40000</v>
      </c>
      <c r="E51">
        <v>0</v>
      </c>
      <c r="F51" s="6" t="s">
        <v>13</v>
      </c>
      <c r="G51" s="6" t="s">
        <v>20</v>
      </c>
      <c r="H51" s="6" t="s">
        <v>15</v>
      </c>
      <c r="I51">
        <v>0</v>
      </c>
      <c r="J51" t="s">
        <v>16</v>
      </c>
      <c r="K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1" s="6" t="s">
        <v>17</v>
      </c>
      <c r="M51" s="7">
        <v>39</v>
      </c>
      <c r="N51" t="s">
        <v>15</v>
      </c>
      <c r="O51" s="9" t="str">
        <f>IF(Table1_1[[#This Row],[Purchased Bike]]="yes","1","0")</f>
        <v>1</v>
      </c>
      <c r="P51" s="4" t="str">
        <f>IF(Table1_1[[#This Row],[Income]]&lt;=30000,"Low ",IF(Table1_1[[#This Row],[Income]]&lt;=70000,"Middle","High"))</f>
        <v>Middle</v>
      </c>
      <c r="Q51" s="6" t="str">
        <f>IF(Table1_1[[#This Row],[Age]]&lt;30,"Young",IF(Table1_1[[#This Row],[Age]]&lt;50,"Middle aged","Senior citizen"))</f>
        <v>Middle aged</v>
      </c>
      <c r="R51" s="7">
        <f>IF(Table1_1[[#This Row],[Marriedarital SingletatuSingle]]="M",Table1_1[[#This Row],[Children]]+2,Table1_1[[#This Row],[Children]]+1)</f>
        <v>1</v>
      </c>
      <c r="S51" s="4" t="str">
        <f>IF(Table1_1[[#This Row],[Cars]]=0,"No","Yes")</f>
        <v>No</v>
      </c>
      <c r="T51" s="6" t="str">
        <f>IF(AND(Table1_1[[#This Row],[Income]]&gt;50000,Table1_1[[#This Row],[Home Owner]]="Yes"),"High stability","Low stability")</f>
        <v>Low stability</v>
      </c>
      <c r="U51" s="3">
        <f>Table1_1[[#This Row],[Income]]/Table1_1[[#This Row],[Family size]]</f>
        <v>40000</v>
      </c>
      <c r="V51" s="6" t="str">
        <f>IF(Table1_1[[#This Row],[Occupation]]="Skilled manual","Blue collar",IF(Table1_1[[#This Row],[Occupation]]="Manual","Blue collar","White collar"))</f>
        <v>White collar</v>
      </c>
    </row>
    <row r="52" spans="1:22" x14ac:dyDescent="0.3">
      <c r="A52" t="s">
        <v>86</v>
      </c>
      <c r="B52" s="6" t="s">
        <v>1044</v>
      </c>
      <c r="C52" s="6" t="s">
        <v>1045</v>
      </c>
      <c r="D52" s="3">
        <v>30000</v>
      </c>
      <c r="E52">
        <v>0</v>
      </c>
      <c r="F52" s="6" t="s">
        <v>19</v>
      </c>
      <c r="G52" s="6" t="s">
        <v>20</v>
      </c>
      <c r="H52" s="6" t="s">
        <v>18</v>
      </c>
      <c r="I52">
        <v>1</v>
      </c>
      <c r="J52" t="s">
        <v>16</v>
      </c>
      <c r="K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2" s="6" t="s">
        <v>17</v>
      </c>
      <c r="M52" s="7">
        <v>28</v>
      </c>
      <c r="N52" t="s">
        <v>18</v>
      </c>
      <c r="O52" s="9" t="str">
        <f>IF(Table1_1[[#This Row],[Purchased Bike]]="yes","1","0")</f>
        <v>0</v>
      </c>
      <c r="P52" s="4" t="str">
        <f>IF(Table1_1[[#This Row],[Income]]&lt;=30000,"Low ",IF(Table1_1[[#This Row],[Income]]&lt;=70000,"Middle","High"))</f>
        <v xml:space="preserve">Low </v>
      </c>
      <c r="Q52" s="6" t="str">
        <f>IF(Table1_1[[#This Row],[Age]]&lt;30,"Young",IF(Table1_1[[#This Row],[Age]]&lt;50,"Middle aged","Senior citizen"))</f>
        <v>Young</v>
      </c>
      <c r="R52" s="7">
        <f>IF(Table1_1[[#This Row],[Marriedarital SingletatuSingle]]="M",Table1_1[[#This Row],[Children]]+2,Table1_1[[#This Row],[Children]]+1)</f>
        <v>1</v>
      </c>
      <c r="S52" s="4" t="str">
        <f>IF(Table1_1[[#This Row],[Cars]]=0,"No","Yes")</f>
        <v>Yes</v>
      </c>
      <c r="T52" s="6" t="str">
        <f>IF(AND(Table1_1[[#This Row],[Income]]&gt;50000,Table1_1[[#This Row],[Home Owner]]="Yes"),"High stability","Low stability")</f>
        <v>Low stability</v>
      </c>
      <c r="U52" s="3">
        <f>Table1_1[[#This Row],[Income]]/Table1_1[[#This Row],[Family size]]</f>
        <v>30000</v>
      </c>
      <c r="V52" s="6" t="str">
        <f>IF(Table1_1[[#This Row],[Occupation]]="Skilled manual","Blue collar",IF(Table1_1[[#This Row],[Occupation]]="Manual","Blue collar","White collar"))</f>
        <v>White collar</v>
      </c>
    </row>
    <row r="53" spans="1:22" x14ac:dyDescent="0.3">
      <c r="A53" t="s">
        <v>87</v>
      </c>
      <c r="B53" s="6" t="s">
        <v>1044</v>
      </c>
      <c r="C53" s="6" t="s">
        <v>1046</v>
      </c>
      <c r="D53" s="3">
        <v>80000</v>
      </c>
      <c r="E53">
        <v>0</v>
      </c>
      <c r="F53" s="6" t="s">
        <v>13</v>
      </c>
      <c r="G53" s="6" t="s">
        <v>21</v>
      </c>
      <c r="H53" s="6" t="s">
        <v>18</v>
      </c>
      <c r="I53">
        <v>4</v>
      </c>
      <c r="J53" t="s">
        <v>30</v>
      </c>
      <c r="K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3" s="6" t="s">
        <v>24</v>
      </c>
      <c r="M53" s="7">
        <v>35</v>
      </c>
      <c r="N53" t="s">
        <v>18</v>
      </c>
      <c r="O53" s="9" t="str">
        <f>IF(Table1_1[[#This Row],[Purchased Bike]]="yes","1","0")</f>
        <v>0</v>
      </c>
      <c r="P53" s="4" t="str">
        <f>IF(Table1_1[[#This Row],[Income]]&lt;=30000,"Low ",IF(Table1_1[[#This Row],[Income]]&lt;=70000,"Middle","High"))</f>
        <v>High</v>
      </c>
      <c r="Q53" s="6" t="str">
        <f>IF(Table1_1[[#This Row],[Age]]&lt;30,"Young",IF(Table1_1[[#This Row],[Age]]&lt;50,"Middle aged","Senior citizen"))</f>
        <v>Middle aged</v>
      </c>
      <c r="R53" s="7">
        <f>IF(Table1_1[[#This Row],[Marriedarital SingletatuSingle]]="M",Table1_1[[#This Row],[Children]]+2,Table1_1[[#This Row],[Children]]+1)</f>
        <v>1</v>
      </c>
      <c r="S53" s="4" t="str">
        <f>IF(Table1_1[[#This Row],[Cars]]=0,"No","Yes")</f>
        <v>Yes</v>
      </c>
      <c r="T53" s="6" t="str">
        <f>IF(AND(Table1_1[[#This Row],[Income]]&gt;50000,Table1_1[[#This Row],[Home Owner]]="Yes"),"High stability","Low stability")</f>
        <v>Low stability</v>
      </c>
      <c r="U53" s="3">
        <f>Table1_1[[#This Row],[Income]]/Table1_1[[#This Row],[Family size]]</f>
        <v>80000</v>
      </c>
      <c r="V53" s="6" t="str">
        <f>IF(Table1_1[[#This Row],[Occupation]]="Skilled manual","Blue collar",IF(Table1_1[[#This Row],[Occupation]]="Manual","Blue collar","White collar"))</f>
        <v>White collar</v>
      </c>
    </row>
    <row r="54" spans="1:22" x14ac:dyDescent="0.3">
      <c r="A54" t="s">
        <v>88</v>
      </c>
      <c r="B54" s="6" t="s">
        <v>1042</v>
      </c>
      <c r="C54" s="6" t="s">
        <v>1045</v>
      </c>
      <c r="D54" s="3">
        <v>20000</v>
      </c>
      <c r="E54">
        <v>1</v>
      </c>
      <c r="F54" s="6" t="s">
        <v>13</v>
      </c>
      <c r="G54" s="6" t="s">
        <v>20</v>
      </c>
      <c r="H54" s="6" t="s">
        <v>15</v>
      </c>
      <c r="I54">
        <v>0</v>
      </c>
      <c r="J54" t="s">
        <v>16</v>
      </c>
      <c r="K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4" s="6" t="s">
        <v>17</v>
      </c>
      <c r="M54" s="7">
        <v>65</v>
      </c>
      <c r="N54" t="s">
        <v>18</v>
      </c>
      <c r="O54" s="9" t="str">
        <f>IF(Table1_1[[#This Row],[Purchased Bike]]="yes","1","0")</f>
        <v>0</v>
      </c>
      <c r="P54" s="4" t="str">
        <f>IF(Table1_1[[#This Row],[Income]]&lt;=30000,"Low ",IF(Table1_1[[#This Row],[Income]]&lt;=70000,"Middle","High"))</f>
        <v xml:space="preserve">Low </v>
      </c>
      <c r="Q54" s="6" t="str">
        <f>IF(Table1_1[[#This Row],[Age]]&lt;30,"Young",IF(Table1_1[[#This Row],[Age]]&lt;50,"Middle aged","Senior citizen"))</f>
        <v>Senior citizen</v>
      </c>
      <c r="R54" s="7">
        <f>IF(Table1_1[[#This Row],[Marriedarital SingletatuSingle]]="M",Table1_1[[#This Row],[Children]]+2,Table1_1[[#This Row],[Children]]+1)</f>
        <v>2</v>
      </c>
      <c r="S54" s="4" t="str">
        <f>IF(Table1_1[[#This Row],[Cars]]=0,"No","Yes")</f>
        <v>No</v>
      </c>
      <c r="T54" s="6" t="str">
        <f>IF(AND(Table1_1[[#This Row],[Income]]&gt;50000,Table1_1[[#This Row],[Home Owner]]="Yes"),"High stability","Low stability")</f>
        <v>Low stability</v>
      </c>
      <c r="U54" s="3">
        <f>Table1_1[[#This Row],[Income]]/Table1_1[[#This Row],[Family size]]</f>
        <v>10000</v>
      </c>
      <c r="V54" s="6" t="str">
        <f>IF(Table1_1[[#This Row],[Occupation]]="Skilled manual","Blue collar",IF(Table1_1[[#This Row],[Occupation]]="Manual","Blue collar","White collar"))</f>
        <v>White collar</v>
      </c>
    </row>
    <row r="55" spans="1:22" x14ac:dyDescent="0.3">
      <c r="A55" t="s">
        <v>89</v>
      </c>
      <c r="B55" s="6" t="s">
        <v>1044</v>
      </c>
      <c r="C55" s="6" t="s">
        <v>1045</v>
      </c>
      <c r="D55" s="3">
        <v>90000</v>
      </c>
      <c r="E55">
        <v>4</v>
      </c>
      <c r="F55" s="6" t="s">
        <v>27</v>
      </c>
      <c r="G55" s="6" t="s">
        <v>28</v>
      </c>
      <c r="H55" s="6" t="s">
        <v>18</v>
      </c>
      <c r="I55">
        <v>3</v>
      </c>
      <c r="J55" t="s">
        <v>23</v>
      </c>
      <c r="K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5" s="6" t="s">
        <v>17</v>
      </c>
      <c r="M55" s="7">
        <v>56</v>
      </c>
      <c r="N55" t="s">
        <v>18</v>
      </c>
      <c r="O55" s="9" t="str">
        <f>IF(Table1_1[[#This Row],[Purchased Bike]]="yes","1","0")</f>
        <v>0</v>
      </c>
      <c r="P55" s="4" t="str">
        <f>IF(Table1_1[[#This Row],[Income]]&lt;=30000,"Low ",IF(Table1_1[[#This Row],[Income]]&lt;=70000,"Middle","High"))</f>
        <v>High</v>
      </c>
      <c r="Q55" s="6" t="str">
        <f>IF(Table1_1[[#This Row],[Age]]&lt;30,"Young",IF(Table1_1[[#This Row],[Age]]&lt;50,"Middle aged","Senior citizen"))</f>
        <v>Senior citizen</v>
      </c>
      <c r="R55" s="7">
        <f>IF(Table1_1[[#This Row],[Marriedarital SingletatuSingle]]="M",Table1_1[[#This Row],[Children]]+2,Table1_1[[#This Row],[Children]]+1)</f>
        <v>5</v>
      </c>
      <c r="S55" s="4" t="str">
        <f>IF(Table1_1[[#This Row],[Cars]]=0,"No","Yes")</f>
        <v>Yes</v>
      </c>
      <c r="T55" s="6" t="str">
        <f>IF(AND(Table1_1[[#This Row],[Income]]&gt;50000,Table1_1[[#This Row],[Home Owner]]="Yes"),"High stability","Low stability")</f>
        <v>Low stability</v>
      </c>
      <c r="U55" s="3">
        <f>Table1_1[[#This Row],[Income]]/Table1_1[[#This Row],[Family size]]</f>
        <v>18000</v>
      </c>
      <c r="V55" s="6" t="str">
        <f>IF(Table1_1[[#This Row],[Occupation]]="Skilled manual","Blue collar",IF(Table1_1[[#This Row],[Occupation]]="Manual","Blue collar","White collar"))</f>
        <v>White collar</v>
      </c>
    </row>
    <row r="56" spans="1:22" x14ac:dyDescent="0.3">
      <c r="A56" t="s">
        <v>90</v>
      </c>
      <c r="B56" s="6" t="s">
        <v>1044</v>
      </c>
      <c r="C56" s="6" t="s">
        <v>1045</v>
      </c>
      <c r="D56" s="3">
        <v>70000</v>
      </c>
      <c r="E56">
        <v>0</v>
      </c>
      <c r="F56" s="6" t="s">
        <v>13</v>
      </c>
      <c r="G56" s="6" t="s">
        <v>21</v>
      </c>
      <c r="H56" s="6" t="s">
        <v>18</v>
      </c>
      <c r="I56">
        <v>1</v>
      </c>
      <c r="J56" t="s">
        <v>23</v>
      </c>
      <c r="K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6" s="6" t="s">
        <v>24</v>
      </c>
      <c r="M56" s="7">
        <v>42</v>
      </c>
      <c r="N56" t="s">
        <v>18</v>
      </c>
      <c r="O56" s="9" t="str">
        <f>IF(Table1_1[[#This Row],[Purchased Bike]]="yes","1","0")</f>
        <v>0</v>
      </c>
      <c r="P56" s="4" t="str">
        <f>IF(Table1_1[[#This Row],[Income]]&lt;=30000,"Low ",IF(Table1_1[[#This Row],[Income]]&lt;=70000,"Middle","High"))</f>
        <v>Middle</v>
      </c>
      <c r="Q56" s="6" t="str">
        <f>IF(Table1_1[[#This Row],[Age]]&lt;30,"Young",IF(Table1_1[[#This Row],[Age]]&lt;50,"Middle aged","Senior citizen"))</f>
        <v>Middle aged</v>
      </c>
      <c r="R56" s="7">
        <f>IF(Table1_1[[#This Row],[Marriedarital SingletatuSingle]]="M",Table1_1[[#This Row],[Children]]+2,Table1_1[[#This Row],[Children]]+1)</f>
        <v>1</v>
      </c>
      <c r="S56" s="4" t="str">
        <f>IF(Table1_1[[#This Row],[Cars]]=0,"No","Yes")</f>
        <v>Yes</v>
      </c>
      <c r="T56" s="6" t="str">
        <f>IF(AND(Table1_1[[#This Row],[Income]]&gt;50000,Table1_1[[#This Row],[Home Owner]]="Yes"),"High stability","Low stability")</f>
        <v>Low stability</v>
      </c>
      <c r="U56" s="3">
        <f>Table1_1[[#This Row],[Income]]/Table1_1[[#This Row],[Family size]]</f>
        <v>70000</v>
      </c>
      <c r="V56" s="6" t="str">
        <f>IF(Table1_1[[#This Row],[Occupation]]="Skilled manual","Blue collar",IF(Table1_1[[#This Row],[Occupation]]="Manual","Blue collar","White collar"))</f>
        <v>White collar</v>
      </c>
    </row>
    <row r="57" spans="1:22" x14ac:dyDescent="0.3">
      <c r="A57" t="s">
        <v>91</v>
      </c>
      <c r="B57" s="6" t="s">
        <v>1042</v>
      </c>
      <c r="C57" s="6" t="s">
        <v>1046</v>
      </c>
      <c r="D57" s="3">
        <v>80000</v>
      </c>
      <c r="E57">
        <v>4</v>
      </c>
      <c r="F57" s="6" t="s">
        <v>27</v>
      </c>
      <c r="G57" s="6" t="s">
        <v>21</v>
      </c>
      <c r="H57" s="6" t="s">
        <v>15</v>
      </c>
      <c r="I57">
        <v>2</v>
      </c>
      <c r="J57" t="s">
        <v>30</v>
      </c>
      <c r="K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7" s="6" t="s">
        <v>17</v>
      </c>
      <c r="M57" s="7">
        <v>54</v>
      </c>
      <c r="N57" t="s">
        <v>18</v>
      </c>
      <c r="O57" s="9" t="str">
        <f>IF(Table1_1[[#This Row],[Purchased Bike]]="yes","1","0")</f>
        <v>0</v>
      </c>
      <c r="P57" s="4" t="str">
        <f>IF(Table1_1[[#This Row],[Income]]&lt;=30000,"Low ",IF(Table1_1[[#This Row],[Income]]&lt;=70000,"Middle","High"))</f>
        <v>High</v>
      </c>
      <c r="Q57" s="6" t="str">
        <f>IF(Table1_1[[#This Row],[Age]]&lt;30,"Young",IF(Table1_1[[#This Row],[Age]]&lt;50,"Middle aged","Senior citizen"))</f>
        <v>Senior citizen</v>
      </c>
      <c r="R57" s="7">
        <f>IF(Table1_1[[#This Row],[Marriedarital SingletatuSingle]]="M",Table1_1[[#This Row],[Children]]+2,Table1_1[[#This Row],[Children]]+1)</f>
        <v>5</v>
      </c>
      <c r="S57" s="4" t="str">
        <f>IF(Table1_1[[#This Row],[Cars]]=0,"No","Yes")</f>
        <v>Yes</v>
      </c>
      <c r="T57" s="6" t="str">
        <f>IF(AND(Table1_1[[#This Row],[Income]]&gt;50000,Table1_1[[#This Row],[Home Owner]]="Yes"),"High stability","Low stability")</f>
        <v>High stability</v>
      </c>
      <c r="U57" s="3">
        <f>Table1_1[[#This Row],[Income]]/Table1_1[[#This Row],[Family size]]</f>
        <v>16000</v>
      </c>
      <c r="V57" s="6" t="str">
        <f>IF(Table1_1[[#This Row],[Occupation]]="Skilled manual","Blue collar",IF(Table1_1[[#This Row],[Occupation]]="Manual","Blue collar","White collar"))</f>
        <v>White collar</v>
      </c>
    </row>
    <row r="58" spans="1:22" x14ac:dyDescent="0.3">
      <c r="A58" t="s">
        <v>92</v>
      </c>
      <c r="B58" s="6" t="s">
        <v>1042</v>
      </c>
      <c r="C58" s="6" t="s">
        <v>1046</v>
      </c>
      <c r="D58" s="3">
        <v>40000</v>
      </c>
      <c r="E58">
        <v>0</v>
      </c>
      <c r="F58" s="6" t="s">
        <v>13</v>
      </c>
      <c r="G58" s="6" t="s">
        <v>20</v>
      </c>
      <c r="H58" s="6" t="s">
        <v>15</v>
      </c>
      <c r="I58">
        <v>0</v>
      </c>
      <c r="J58" t="s">
        <v>16</v>
      </c>
      <c r="K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8" s="6" t="s">
        <v>17</v>
      </c>
      <c r="M58" s="7">
        <v>38</v>
      </c>
      <c r="N58" t="s">
        <v>15</v>
      </c>
      <c r="O58" s="9" t="str">
        <f>IF(Table1_1[[#This Row],[Purchased Bike]]="yes","1","0")</f>
        <v>1</v>
      </c>
      <c r="P58" s="4" t="str">
        <f>IF(Table1_1[[#This Row],[Income]]&lt;=30000,"Low ",IF(Table1_1[[#This Row],[Income]]&lt;=70000,"Middle","High"))</f>
        <v>Middle</v>
      </c>
      <c r="Q58" s="6" t="str">
        <f>IF(Table1_1[[#This Row],[Age]]&lt;30,"Young",IF(Table1_1[[#This Row],[Age]]&lt;50,"Middle aged","Senior citizen"))</f>
        <v>Middle aged</v>
      </c>
      <c r="R58" s="7">
        <f>IF(Table1_1[[#This Row],[Marriedarital SingletatuSingle]]="M",Table1_1[[#This Row],[Children]]+2,Table1_1[[#This Row],[Children]]+1)</f>
        <v>1</v>
      </c>
      <c r="S58" s="4" t="str">
        <f>IF(Table1_1[[#This Row],[Cars]]=0,"No","Yes")</f>
        <v>No</v>
      </c>
      <c r="T58" s="6" t="str">
        <f>IF(AND(Table1_1[[#This Row],[Income]]&gt;50000,Table1_1[[#This Row],[Home Owner]]="Yes"),"High stability","Low stability")</f>
        <v>Low stability</v>
      </c>
      <c r="U58" s="3">
        <f>Table1_1[[#This Row],[Income]]/Table1_1[[#This Row],[Family size]]</f>
        <v>40000</v>
      </c>
      <c r="V58" s="6" t="str">
        <f>IF(Table1_1[[#This Row],[Occupation]]="Skilled manual","Blue collar",IF(Table1_1[[#This Row],[Occupation]]="Manual","Blue collar","White collar"))</f>
        <v>White collar</v>
      </c>
    </row>
    <row r="59" spans="1:22" x14ac:dyDescent="0.3">
      <c r="A59" t="s">
        <v>93</v>
      </c>
      <c r="B59" s="6" t="s">
        <v>1042</v>
      </c>
      <c r="C59" s="6" t="s">
        <v>1046</v>
      </c>
      <c r="D59" s="3">
        <v>130000</v>
      </c>
      <c r="E59">
        <v>4</v>
      </c>
      <c r="F59" s="6" t="s">
        <v>19</v>
      </c>
      <c r="G59" s="6" t="s">
        <v>21</v>
      </c>
      <c r="H59" s="6" t="s">
        <v>18</v>
      </c>
      <c r="I59">
        <v>4</v>
      </c>
      <c r="J59" t="s">
        <v>23</v>
      </c>
      <c r="K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9" s="6" t="s">
        <v>17</v>
      </c>
      <c r="M59" s="7">
        <v>61</v>
      </c>
      <c r="N59" t="s">
        <v>15</v>
      </c>
      <c r="O59" s="9" t="str">
        <f>IF(Table1_1[[#This Row],[Purchased Bike]]="yes","1","0")</f>
        <v>1</v>
      </c>
      <c r="P59" s="4" t="str">
        <f>IF(Table1_1[[#This Row],[Income]]&lt;=30000,"Low ",IF(Table1_1[[#This Row],[Income]]&lt;=70000,"Middle","High"))</f>
        <v>High</v>
      </c>
      <c r="Q59" s="6" t="str">
        <f>IF(Table1_1[[#This Row],[Age]]&lt;30,"Young",IF(Table1_1[[#This Row],[Age]]&lt;50,"Middle aged","Senior citizen"))</f>
        <v>Senior citizen</v>
      </c>
      <c r="R59" s="7">
        <f>IF(Table1_1[[#This Row],[Marriedarital SingletatuSingle]]="M",Table1_1[[#This Row],[Children]]+2,Table1_1[[#This Row],[Children]]+1)</f>
        <v>5</v>
      </c>
      <c r="S59" s="4" t="str">
        <f>IF(Table1_1[[#This Row],[Cars]]=0,"No","Yes")</f>
        <v>Yes</v>
      </c>
      <c r="T59" s="6" t="str">
        <f>IF(AND(Table1_1[[#This Row],[Income]]&gt;50000,Table1_1[[#This Row],[Home Owner]]="Yes"),"High stability","Low stability")</f>
        <v>Low stability</v>
      </c>
      <c r="U59" s="3">
        <f>Table1_1[[#This Row],[Income]]/Table1_1[[#This Row],[Family size]]</f>
        <v>26000</v>
      </c>
      <c r="V59" s="6" t="str">
        <f>IF(Table1_1[[#This Row],[Occupation]]="Skilled manual","Blue collar",IF(Table1_1[[#This Row],[Occupation]]="Manual","Blue collar","White collar"))</f>
        <v>White collar</v>
      </c>
    </row>
    <row r="60" spans="1:22" x14ac:dyDescent="0.3">
      <c r="A60" t="s">
        <v>94</v>
      </c>
      <c r="B60" s="6" t="s">
        <v>1042</v>
      </c>
      <c r="C60" s="6" t="s">
        <v>1045</v>
      </c>
      <c r="D60" s="3">
        <v>40000</v>
      </c>
      <c r="E60">
        <v>1</v>
      </c>
      <c r="F60" s="6" t="s">
        <v>13</v>
      </c>
      <c r="G60" s="6" t="s">
        <v>14</v>
      </c>
      <c r="H60" s="6" t="s">
        <v>15</v>
      </c>
      <c r="I60">
        <v>0</v>
      </c>
      <c r="J60" t="s">
        <v>16</v>
      </c>
      <c r="K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0" s="6" t="s">
        <v>17</v>
      </c>
      <c r="M60" s="7">
        <v>43</v>
      </c>
      <c r="N60" t="s">
        <v>15</v>
      </c>
      <c r="O60" s="9" t="str">
        <f>IF(Table1_1[[#This Row],[Purchased Bike]]="yes","1","0")</f>
        <v>1</v>
      </c>
      <c r="P60" s="4" t="str">
        <f>IF(Table1_1[[#This Row],[Income]]&lt;=30000,"Low ",IF(Table1_1[[#This Row],[Income]]&lt;=70000,"Middle","High"))</f>
        <v>Middle</v>
      </c>
      <c r="Q60" s="6" t="str">
        <f>IF(Table1_1[[#This Row],[Age]]&lt;30,"Young",IF(Table1_1[[#This Row],[Age]]&lt;50,"Middle aged","Senior citizen"))</f>
        <v>Middle aged</v>
      </c>
      <c r="R60" s="7">
        <f>IF(Table1_1[[#This Row],[Marriedarital SingletatuSingle]]="M",Table1_1[[#This Row],[Children]]+2,Table1_1[[#This Row],[Children]]+1)</f>
        <v>2</v>
      </c>
      <c r="S60" s="4" t="str">
        <f>IF(Table1_1[[#This Row],[Cars]]=0,"No","Yes")</f>
        <v>No</v>
      </c>
      <c r="T60" s="6" t="str">
        <f>IF(AND(Table1_1[[#This Row],[Income]]&gt;50000,Table1_1[[#This Row],[Home Owner]]="Yes"),"High stability","Low stability")</f>
        <v>Low stability</v>
      </c>
      <c r="U60" s="3">
        <f>Table1_1[[#This Row],[Income]]/Table1_1[[#This Row],[Family size]]</f>
        <v>20000</v>
      </c>
      <c r="V60" s="6" t="str">
        <f>IF(Table1_1[[#This Row],[Occupation]]="Skilled manual","Blue collar",IF(Table1_1[[#This Row],[Occupation]]="Manual","Blue collar","White collar"))</f>
        <v>Blue collar</v>
      </c>
    </row>
    <row r="61" spans="1:22" x14ac:dyDescent="0.3">
      <c r="A61" t="s">
        <v>95</v>
      </c>
      <c r="B61" s="6" t="s">
        <v>1042</v>
      </c>
      <c r="C61" s="6" t="s">
        <v>1046</v>
      </c>
      <c r="D61" s="3">
        <v>60000</v>
      </c>
      <c r="E61">
        <v>2</v>
      </c>
      <c r="F61" s="6" t="s">
        <v>13</v>
      </c>
      <c r="G61" s="6" t="s">
        <v>21</v>
      </c>
      <c r="H61" s="6" t="s">
        <v>15</v>
      </c>
      <c r="I61">
        <v>1</v>
      </c>
      <c r="J61" t="s">
        <v>22</v>
      </c>
      <c r="K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1" s="6" t="s">
        <v>24</v>
      </c>
      <c r="M61" s="7">
        <v>38</v>
      </c>
      <c r="N61" t="s">
        <v>15</v>
      </c>
      <c r="O61" s="9" t="str">
        <f>IF(Table1_1[[#This Row],[Purchased Bike]]="yes","1","0")</f>
        <v>1</v>
      </c>
      <c r="P61" s="4" t="str">
        <f>IF(Table1_1[[#This Row],[Income]]&lt;=30000,"Low ",IF(Table1_1[[#This Row],[Income]]&lt;=70000,"Middle","High"))</f>
        <v>Middle</v>
      </c>
      <c r="Q61" s="6" t="str">
        <f>IF(Table1_1[[#This Row],[Age]]&lt;30,"Young",IF(Table1_1[[#This Row],[Age]]&lt;50,"Middle aged","Senior citizen"))</f>
        <v>Middle aged</v>
      </c>
      <c r="R61" s="7">
        <f>IF(Table1_1[[#This Row],[Marriedarital SingletatuSingle]]="M",Table1_1[[#This Row],[Children]]+2,Table1_1[[#This Row],[Children]]+1)</f>
        <v>3</v>
      </c>
      <c r="S61" s="4" t="str">
        <f>IF(Table1_1[[#This Row],[Cars]]=0,"No","Yes")</f>
        <v>Yes</v>
      </c>
      <c r="T61" s="6" t="str">
        <f>IF(AND(Table1_1[[#This Row],[Income]]&gt;50000,Table1_1[[#This Row],[Home Owner]]="Yes"),"High stability","Low stability")</f>
        <v>High stability</v>
      </c>
      <c r="U61" s="3">
        <f>Table1_1[[#This Row],[Income]]/Table1_1[[#This Row],[Family size]]</f>
        <v>20000</v>
      </c>
      <c r="V61" s="6" t="str">
        <f>IF(Table1_1[[#This Row],[Occupation]]="Skilled manual","Blue collar",IF(Table1_1[[#This Row],[Occupation]]="Manual","Blue collar","White collar"))</f>
        <v>White collar</v>
      </c>
    </row>
    <row r="62" spans="1:22" x14ac:dyDescent="0.3">
      <c r="A62" t="s">
        <v>96</v>
      </c>
      <c r="B62" s="6" t="s">
        <v>1044</v>
      </c>
      <c r="C62" s="6" t="s">
        <v>1045</v>
      </c>
      <c r="D62" s="3">
        <v>10000</v>
      </c>
      <c r="E62">
        <v>1</v>
      </c>
      <c r="F62" s="6" t="s">
        <v>27</v>
      </c>
      <c r="G62" s="6" t="s">
        <v>25</v>
      </c>
      <c r="H62" s="6" t="s">
        <v>18</v>
      </c>
      <c r="I62">
        <v>1</v>
      </c>
      <c r="J62" t="s">
        <v>26</v>
      </c>
      <c r="K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2" s="6" t="s">
        <v>17</v>
      </c>
      <c r="M62" s="7">
        <v>45</v>
      </c>
      <c r="N62" t="s">
        <v>18</v>
      </c>
      <c r="O62" s="9" t="str">
        <f>IF(Table1_1[[#This Row],[Purchased Bike]]="yes","1","0")</f>
        <v>0</v>
      </c>
      <c r="P62" s="4" t="str">
        <f>IF(Table1_1[[#This Row],[Income]]&lt;=30000,"Low ",IF(Table1_1[[#This Row],[Income]]&lt;=70000,"Middle","High"))</f>
        <v xml:space="preserve">Low </v>
      </c>
      <c r="Q62" s="6" t="str">
        <f>IF(Table1_1[[#This Row],[Age]]&lt;30,"Young",IF(Table1_1[[#This Row],[Age]]&lt;50,"Middle aged","Senior citizen"))</f>
        <v>Middle aged</v>
      </c>
      <c r="R62" s="7">
        <f>IF(Table1_1[[#This Row],[Marriedarital SingletatuSingle]]="M",Table1_1[[#This Row],[Children]]+2,Table1_1[[#This Row],[Children]]+1)</f>
        <v>2</v>
      </c>
      <c r="S62" s="4" t="str">
        <f>IF(Table1_1[[#This Row],[Cars]]=0,"No","Yes")</f>
        <v>Yes</v>
      </c>
      <c r="T62" s="6" t="str">
        <f>IF(AND(Table1_1[[#This Row],[Income]]&gt;50000,Table1_1[[#This Row],[Home Owner]]="Yes"),"High stability","Low stability")</f>
        <v>Low stability</v>
      </c>
      <c r="U62" s="3">
        <f>Table1_1[[#This Row],[Income]]/Table1_1[[#This Row],[Family size]]</f>
        <v>5000</v>
      </c>
      <c r="V62" s="6" t="str">
        <f>IF(Table1_1[[#This Row],[Occupation]]="Skilled manual","Blue collar",IF(Table1_1[[#This Row],[Occupation]]="Manual","Blue collar","White collar"))</f>
        <v>Blue collar</v>
      </c>
    </row>
    <row r="63" spans="1:22" x14ac:dyDescent="0.3">
      <c r="A63" t="s">
        <v>97</v>
      </c>
      <c r="B63" s="6" t="s">
        <v>1044</v>
      </c>
      <c r="C63" s="6" t="s">
        <v>1045</v>
      </c>
      <c r="D63" s="3">
        <v>10000</v>
      </c>
      <c r="E63">
        <v>2</v>
      </c>
      <c r="F63" s="6" t="s">
        <v>27</v>
      </c>
      <c r="G63" s="6" t="s">
        <v>25</v>
      </c>
      <c r="H63" s="6" t="s">
        <v>15</v>
      </c>
      <c r="I63">
        <v>0</v>
      </c>
      <c r="J63" t="s">
        <v>16</v>
      </c>
      <c r="K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3" s="6" t="s">
        <v>17</v>
      </c>
      <c r="M63" s="7">
        <v>35</v>
      </c>
      <c r="N63" t="s">
        <v>18</v>
      </c>
      <c r="O63" s="9" t="str">
        <f>IF(Table1_1[[#This Row],[Purchased Bike]]="yes","1","0")</f>
        <v>0</v>
      </c>
      <c r="P63" s="4" t="str">
        <f>IF(Table1_1[[#This Row],[Income]]&lt;=30000,"Low ",IF(Table1_1[[#This Row],[Income]]&lt;=70000,"Middle","High"))</f>
        <v xml:space="preserve">Low </v>
      </c>
      <c r="Q63" s="6" t="str">
        <f>IF(Table1_1[[#This Row],[Age]]&lt;30,"Young",IF(Table1_1[[#This Row],[Age]]&lt;50,"Middle aged","Senior citizen"))</f>
        <v>Middle aged</v>
      </c>
      <c r="R63" s="7">
        <f>IF(Table1_1[[#This Row],[Marriedarital SingletatuSingle]]="M",Table1_1[[#This Row],[Children]]+2,Table1_1[[#This Row],[Children]]+1)</f>
        <v>3</v>
      </c>
      <c r="S63" s="4" t="str">
        <f>IF(Table1_1[[#This Row],[Cars]]=0,"No","Yes")</f>
        <v>No</v>
      </c>
      <c r="T63" s="6" t="str">
        <f>IF(AND(Table1_1[[#This Row],[Income]]&gt;50000,Table1_1[[#This Row],[Home Owner]]="Yes"),"High stability","Low stability")</f>
        <v>Low stability</v>
      </c>
      <c r="U63" s="3">
        <f>Table1_1[[#This Row],[Income]]/Table1_1[[#This Row],[Family size]]</f>
        <v>3333.3333333333335</v>
      </c>
      <c r="V63" s="6" t="str">
        <f>IF(Table1_1[[#This Row],[Occupation]]="Skilled manual","Blue collar",IF(Table1_1[[#This Row],[Occupation]]="Manual","Blue collar","White collar"))</f>
        <v>Blue collar</v>
      </c>
    </row>
    <row r="64" spans="1:22" x14ac:dyDescent="0.3">
      <c r="A64" t="s">
        <v>98</v>
      </c>
      <c r="B64" s="6" t="s">
        <v>1042</v>
      </c>
      <c r="C64" s="6" t="s">
        <v>1046</v>
      </c>
      <c r="D64" s="3">
        <v>40000</v>
      </c>
      <c r="E64">
        <v>2</v>
      </c>
      <c r="F64" s="6" t="s">
        <v>13</v>
      </c>
      <c r="G64" s="6" t="s">
        <v>28</v>
      </c>
      <c r="H64" s="6" t="s">
        <v>15</v>
      </c>
      <c r="I64">
        <v>1</v>
      </c>
      <c r="J64" t="s">
        <v>16</v>
      </c>
      <c r="K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4" s="6" t="s">
        <v>24</v>
      </c>
      <c r="M64" s="7">
        <v>52</v>
      </c>
      <c r="N64" t="s">
        <v>15</v>
      </c>
      <c r="O64" s="9" t="str">
        <f>IF(Table1_1[[#This Row],[Purchased Bike]]="yes","1","0")</f>
        <v>1</v>
      </c>
      <c r="P64" s="4" t="str">
        <f>IF(Table1_1[[#This Row],[Income]]&lt;=30000,"Low ",IF(Table1_1[[#This Row],[Income]]&lt;=70000,"Middle","High"))</f>
        <v>Middle</v>
      </c>
      <c r="Q64" s="6" t="str">
        <f>IF(Table1_1[[#This Row],[Age]]&lt;30,"Young",IF(Table1_1[[#This Row],[Age]]&lt;50,"Middle aged","Senior citizen"))</f>
        <v>Senior citizen</v>
      </c>
      <c r="R64" s="7">
        <f>IF(Table1_1[[#This Row],[Marriedarital SingletatuSingle]]="M",Table1_1[[#This Row],[Children]]+2,Table1_1[[#This Row],[Children]]+1)</f>
        <v>3</v>
      </c>
      <c r="S64" s="4" t="str">
        <f>IF(Table1_1[[#This Row],[Cars]]=0,"No","Yes")</f>
        <v>Yes</v>
      </c>
      <c r="T64" s="6" t="str">
        <f>IF(AND(Table1_1[[#This Row],[Income]]&gt;50000,Table1_1[[#This Row],[Home Owner]]="Yes"),"High stability","Low stability")</f>
        <v>Low stability</v>
      </c>
      <c r="U64" s="3">
        <f>Table1_1[[#This Row],[Income]]/Table1_1[[#This Row],[Family size]]</f>
        <v>13333.333333333334</v>
      </c>
      <c r="V64" s="6" t="str">
        <f>IF(Table1_1[[#This Row],[Occupation]]="Skilled manual","Blue collar",IF(Table1_1[[#This Row],[Occupation]]="Manual","Blue collar","White collar"))</f>
        <v>White collar</v>
      </c>
    </row>
    <row r="65" spans="1:22" x14ac:dyDescent="0.3">
      <c r="A65" t="s">
        <v>99</v>
      </c>
      <c r="B65" s="6" t="s">
        <v>1044</v>
      </c>
      <c r="C65" s="6" t="s">
        <v>1046</v>
      </c>
      <c r="D65" s="3">
        <v>60000</v>
      </c>
      <c r="E65">
        <v>4</v>
      </c>
      <c r="F65" s="6" t="s">
        <v>13</v>
      </c>
      <c r="G65" s="6" t="s">
        <v>21</v>
      </c>
      <c r="H65" s="6" t="s">
        <v>15</v>
      </c>
      <c r="I65">
        <v>3</v>
      </c>
      <c r="J65" t="s">
        <v>30</v>
      </c>
      <c r="K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65" s="6" t="s">
        <v>24</v>
      </c>
      <c r="M65" s="7">
        <v>41</v>
      </c>
      <c r="N65" t="s">
        <v>18</v>
      </c>
      <c r="O65" s="9" t="str">
        <f>IF(Table1_1[[#This Row],[Purchased Bike]]="yes","1","0")</f>
        <v>0</v>
      </c>
      <c r="P65" s="4" t="str">
        <f>IF(Table1_1[[#This Row],[Income]]&lt;=30000,"Low ",IF(Table1_1[[#This Row],[Income]]&lt;=70000,"Middle","High"))</f>
        <v>Middle</v>
      </c>
      <c r="Q65" s="6" t="str">
        <f>IF(Table1_1[[#This Row],[Age]]&lt;30,"Young",IF(Table1_1[[#This Row],[Age]]&lt;50,"Middle aged","Senior citizen"))</f>
        <v>Middle aged</v>
      </c>
      <c r="R65" s="7">
        <f>IF(Table1_1[[#This Row],[Marriedarital SingletatuSingle]]="M",Table1_1[[#This Row],[Children]]+2,Table1_1[[#This Row],[Children]]+1)</f>
        <v>5</v>
      </c>
      <c r="S65" s="4" t="str">
        <f>IF(Table1_1[[#This Row],[Cars]]=0,"No","Yes")</f>
        <v>Yes</v>
      </c>
      <c r="T65" s="6" t="str">
        <f>IF(AND(Table1_1[[#This Row],[Income]]&gt;50000,Table1_1[[#This Row],[Home Owner]]="Yes"),"High stability","Low stability")</f>
        <v>High stability</v>
      </c>
      <c r="U65" s="3">
        <f>Table1_1[[#This Row],[Income]]/Table1_1[[#This Row],[Family size]]</f>
        <v>12000</v>
      </c>
      <c r="V65" s="6" t="str">
        <f>IF(Table1_1[[#This Row],[Occupation]]="Skilled manual","Blue collar",IF(Table1_1[[#This Row],[Occupation]]="Manual","Blue collar","White collar"))</f>
        <v>White collar</v>
      </c>
    </row>
    <row r="66" spans="1:22" x14ac:dyDescent="0.3">
      <c r="A66" t="s">
        <v>100</v>
      </c>
      <c r="B66" s="6" t="s">
        <v>1042</v>
      </c>
      <c r="C66" s="6" t="s">
        <v>1045</v>
      </c>
      <c r="D66" s="3">
        <v>30000</v>
      </c>
      <c r="E66">
        <v>1</v>
      </c>
      <c r="F66" s="6" t="s">
        <v>13</v>
      </c>
      <c r="G66" s="6" t="s">
        <v>20</v>
      </c>
      <c r="H66" s="6" t="s">
        <v>15</v>
      </c>
      <c r="I66">
        <v>0</v>
      </c>
      <c r="J66" t="s">
        <v>16</v>
      </c>
      <c r="K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6" s="6" t="s">
        <v>17</v>
      </c>
      <c r="M66" s="7">
        <v>37</v>
      </c>
      <c r="N66" t="s">
        <v>15</v>
      </c>
      <c r="O66" s="9" t="str">
        <f>IF(Table1_1[[#This Row],[Purchased Bike]]="yes","1","0")</f>
        <v>1</v>
      </c>
      <c r="P66" s="4" t="str">
        <f>IF(Table1_1[[#This Row],[Income]]&lt;=30000,"Low ",IF(Table1_1[[#This Row],[Income]]&lt;=70000,"Middle","High"))</f>
        <v xml:space="preserve">Low </v>
      </c>
      <c r="Q66" s="6" t="str">
        <f>IF(Table1_1[[#This Row],[Age]]&lt;30,"Young",IF(Table1_1[[#This Row],[Age]]&lt;50,"Middle aged","Senior citizen"))</f>
        <v>Middle aged</v>
      </c>
      <c r="R66" s="7">
        <f>IF(Table1_1[[#This Row],[Marriedarital SingletatuSingle]]="M",Table1_1[[#This Row],[Children]]+2,Table1_1[[#This Row],[Children]]+1)</f>
        <v>2</v>
      </c>
      <c r="S66" s="4" t="str">
        <f>IF(Table1_1[[#This Row],[Cars]]=0,"No","Yes")</f>
        <v>No</v>
      </c>
      <c r="T66" s="6" t="str">
        <f>IF(AND(Table1_1[[#This Row],[Income]]&gt;50000,Table1_1[[#This Row],[Home Owner]]="Yes"),"High stability","Low stability")</f>
        <v>Low stability</v>
      </c>
      <c r="U66" s="3">
        <f>Table1_1[[#This Row],[Income]]/Table1_1[[#This Row],[Family size]]</f>
        <v>15000</v>
      </c>
      <c r="V66" s="6" t="str">
        <f>IF(Table1_1[[#This Row],[Occupation]]="Skilled manual","Blue collar",IF(Table1_1[[#This Row],[Occupation]]="Manual","Blue collar","White collar"))</f>
        <v>White collar</v>
      </c>
    </row>
    <row r="67" spans="1:22" x14ac:dyDescent="0.3">
      <c r="A67" t="s">
        <v>101</v>
      </c>
      <c r="B67" s="6" t="s">
        <v>1044</v>
      </c>
      <c r="C67" s="6" t="s">
        <v>1046</v>
      </c>
      <c r="D67" s="3">
        <v>30000</v>
      </c>
      <c r="E67">
        <v>2</v>
      </c>
      <c r="F67" s="6" t="s">
        <v>19</v>
      </c>
      <c r="G67" s="6" t="s">
        <v>20</v>
      </c>
      <c r="H67" s="6" t="s">
        <v>15</v>
      </c>
      <c r="I67">
        <v>2</v>
      </c>
      <c r="J67" t="s">
        <v>23</v>
      </c>
      <c r="K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7" s="6" t="s">
        <v>24</v>
      </c>
      <c r="M67" s="7">
        <v>68</v>
      </c>
      <c r="N67" t="s">
        <v>18</v>
      </c>
      <c r="O67" s="9" t="str">
        <f>IF(Table1_1[[#This Row],[Purchased Bike]]="yes","1","0")</f>
        <v>0</v>
      </c>
      <c r="P67" s="4" t="str">
        <f>IF(Table1_1[[#This Row],[Income]]&lt;=30000,"Low ",IF(Table1_1[[#This Row],[Income]]&lt;=70000,"Middle","High"))</f>
        <v xml:space="preserve">Low </v>
      </c>
      <c r="Q67" s="6" t="str">
        <f>IF(Table1_1[[#This Row],[Age]]&lt;30,"Young",IF(Table1_1[[#This Row],[Age]]&lt;50,"Middle aged","Senior citizen"))</f>
        <v>Senior citizen</v>
      </c>
      <c r="R67" s="7">
        <f>IF(Table1_1[[#This Row],[Marriedarital SingletatuSingle]]="M",Table1_1[[#This Row],[Children]]+2,Table1_1[[#This Row],[Children]]+1)</f>
        <v>3</v>
      </c>
      <c r="S67" s="4" t="str">
        <f>IF(Table1_1[[#This Row],[Cars]]=0,"No","Yes")</f>
        <v>Yes</v>
      </c>
      <c r="T67" s="6" t="str">
        <f>IF(AND(Table1_1[[#This Row],[Income]]&gt;50000,Table1_1[[#This Row],[Home Owner]]="Yes"),"High stability","Low stability")</f>
        <v>Low stability</v>
      </c>
      <c r="U67" s="3">
        <f>Table1_1[[#This Row],[Income]]/Table1_1[[#This Row],[Family size]]</f>
        <v>10000</v>
      </c>
      <c r="V67" s="6" t="str">
        <f>IF(Table1_1[[#This Row],[Occupation]]="Skilled manual","Blue collar",IF(Table1_1[[#This Row],[Occupation]]="Manual","Blue collar","White collar"))</f>
        <v>White collar</v>
      </c>
    </row>
    <row r="68" spans="1:22" x14ac:dyDescent="0.3">
      <c r="A68" t="s">
        <v>102</v>
      </c>
      <c r="B68" s="6" t="s">
        <v>1042</v>
      </c>
      <c r="C68" s="6" t="s">
        <v>1045</v>
      </c>
      <c r="D68" s="3">
        <v>40000</v>
      </c>
      <c r="E68">
        <v>0</v>
      </c>
      <c r="F68" s="6" t="s">
        <v>31</v>
      </c>
      <c r="G68" s="6" t="s">
        <v>20</v>
      </c>
      <c r="H68" s="6" t="s">
        <v>15</v>
      </c>
      <c r="I68">
        <v>0</v>
      </c>
      <c r="J68" t="s">
        <v>16</v>
      </c>
      <c r="K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8" s="6" t="s">
        <v>17</v>
      </c>
      <c r="M68" s="7">
        <v>37</v>
      </c>
      <c r="N68" t="s">
        <v>15</v>
      </c>
      <c r="O68" s="9" t="str">
        <f>IF(Table1_1[[#This Row],[Purchased Bike]]="yes","1","0")</f>
        <v>1</v>
      </c>
      <c r="P68" s="4" t="str">
        <f>IF(Table1_1[[#This Row],[Income]]&lt;=30000,"Low ",IF(Table1_1[[#This Row],[Income]]&lt;=70000,"Middle","High"))</f>
        <v>Middle</v>
      </c>
      <c r="Q68" s="6" t="str">
        <f>IF(Table1_1[[#This Row],[Age]]&lt;30,"Young",IF(Table1_1[[#This Row],[Age]]&lt;50,"Middle aged","Senior citizen"))</f>
        <v>Middle aged</v>
      </c>
      <c r="R68" s="7">
        <f>IF(Table1_1[[#This Row],[Marriedarital SingletatuSingle]]="M",Table1_1[[#This Row],[Children]]+2,Table1_1[[#This Row],[Children]]+1)</f>
        <v>1</v>
      </c>
      <c r="S68" s="4" t="str">
        <f>IF(Table1_1[[#This Row],[Cars]]=0,"No","Yes")</f>
        <v>No</v>
      </c>
      <c r="T68" s="6" t="str">
        <f>IF(AND(Table1_1[[#This Row],[Income]]&gt;50000,Table1_1[[#This Row],[Home Owner]]="Yes"),"High stability","Low stability")</f>
        <v>Low stability</v>
      </c>
      <c r="U68" s="3">
        <f>Table1_1[[#This Row],[Income]]/Table1_1[[#This Row],[Family size]]</f>
        <v>40000</v>
      </c>
      <c r="V68" s="6" t="str">
        <f>IF(Table1_1[[#This Row],[Occupation]]="Skilled manual","Blue collar",IF(Table1_1[[#This Row],[Occupation]]="Manual","Blue collar","White collar"))</f>
        <v>White collar</v>
      </c>
    </row>
    <row r="69" spans="1:22" x14ac:dyDescent="0.3">
      <c r="A69" t="s">
        <v>103</v>
      </c>
      <c r="B69" s="6" t="s">
        <v>1044</v>
      </c>
      <c r="C69" s="6" t="s">
        <v>1046</v>
      </c>
      <c r="D69" s="3">
        <v>30000</v>
      </c>
      <c r="E69">
        <v>0</v>
      </c>
      <c r="F69" s="6" t="s">
        <v>27</v>
      </c>
      <c r="G69" s="6" t="s">
        <v>25</v>
      </c>
      <c r="H69" s="6" t="s">
        <v>15</v>
      </c>
      <c r="I69">
        <v>1</v>
      </c>
      <c r="J69" t="s">
        <v>22</v>
      </c>
      <c r="K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9" s="6" t="s">
        <v>17</v>
      </c>
      <c r="M69" s="7">
        <v>33</v>
      </c>
      <c r="N69" t="s">
        <v>15</v>
      </c>
      <c r="O69" s="9" t="str">
        <f>IF(Table1_1[[#This Row],[Purchased Bike]]="yes","1","0")</f>
        <v>1</v>
      </c>
      <c r="P69" s="4" t="str">
        <f>IF(Table1_1[[#This Row],[Income]]&lt;=30000,"Low ",IF(Table1_1[[#This Row],[Income]]&lt;=70000,"Middle","High"))</f>
        <v xml:space="preserve">Low </v>
      </c>
      <c r="Q69" s="6" t="str">
        <f>IF(Table1_1[[#This Row],[Age]]&lt;30,"Young",IF(Table1_1[[#This Row],[Age]]&lt;50,"Middle aged","Senior citizen"))</f>
        <v>Middle aged</v>
      </c>
      <c r="R69" s="7">
        <f>IF(Table1_1[[#This Row],[Marriedarital SingletatuSingle]]="M",Table1_1[[#This Row],[Children]]+2,Table1_1[[#This Row],[Children]]+1)</f>
        <v>1</v>
      </c>
      <c r="S69" s="4" t="str">
        <f>IF(Table1_1[[#This Row],[Cars]]=0,"No","Yes")</f>
        <v>Yes</v>
      </c>
      <c r="T69" s="6" t="str">
        <f>IF(AND(Table1_1[[#This Row],[Income]]&gt;50000,Table1_1[[#This Row],[Home Owner]]="Yes"),"High stability","Low stability")</f>
        <v>Low stability</v>
      </c>
      <c r="U69" s="3">
        <f>Table1_1[[#This Row],[Income]]/Table1_1[[#This Row],[Family size]]</f>
        <v>30000</v>
      </c>
      <c r="V69" s="6" t="str">
        <f>IF(Table1_1[[#This Row],[Occupation]]="Skilled manual","Blue collar",IF(Table1_1[[#This Row],[Occupation]]="Manual","Blue collar","White collar"))</f>
        <v>Blue collar</v>
      </c>
    </row>
    <row r="70" spans="1:22" x14ac:dyDescent="0.3">
      <c r="A70" t="s">
        <v>104</v>
      </c>
      <c r="B70" s="6" t="s">
        <v>1044</v>
      </c>
      <c r="C70" s="6" t="s">
        <v>1045</v>
      </c>
      <c r="D70" s="3">
        <v>20000</v>
      </c>
      <c r="E70">
        <v>4</v>
      </c>
      <c r="F70" s="6" t="s">
        <v>27</v>
      </c>
      <c r="G70" s="6" t="s">
        <v>25</v>
      </c>
      <c r="H70" s="6" t="s">
        <v>15</v>
      </c>
      <c r="I70">
        <v>1</v>
      </c>
      <c r="J70" t="s">
        <v>16</v>
      </c>
      <c r="K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0" s="6" t="s">
        <v>17</v>
      </c>
      <c r="M70" s="7">
        <v>43</v>
      </c>
      <c r="N70" t="s">
        <v>15</v>
      </c>
      <c r="O70" s="9" t="str">
        <f>IF(Table1_1[[#This Row],[Purchased Bike]]="yes","1","0")</f>
        <v>1</v>
      </c>
      <c r="P70" s="4" t="str">
        <f>IF(Table1_1[[#This Row],[Income]]&lt;=30000,"Low ",IF(Table1_1[[#This Row],[Income]]&lt;=70000,"Middle","High"))</f>
        <v xml:space="preserve">Low </v>
      </c>
      <c r="Q70" s="6" t="str">
        <f>IF(Table1_1[[#This Row],[Age]]&lt;30,"Young",IF(Table1_1[[#This Row],[Age]]&lt;50,"Middle aged","Senior citizen"))</f>
        <v>Middle aged</v>
      </c>
      <c r="R70" s="7">
        <f>IF(Table1_1[[#This Row],[Marriedarital SingletatuSingle]]="M",Table1_1[[#This Row],[Children]]+2,Table1_1[[#This Row],[Children]]+1)</f>
        <v>5</v>
      </c>
      <c r="S70" s="4" t="str">
        <f>IF(Table1_1[[#This Row],[Cars]]=0,"No","Yes")</f>
        <v>Yes</v>
      </c>
      <c r="T70" s="6" t="str">
        <f>IF(AND(Table1_1[[#This Row],[Income]]&gt;50000,Table1_1[[#This Row],[Home Owner]]="Yes"),"High stability","Low stability")</f>
        <v>Low stability</v>
      </c>
      <c r="U70" s="3">
        <f>Table1_1[[#This Row],[Income]]/Table1_1[[#This Row],[Family size]]</f>
        <v>4000</v>
      </c>
      <c r="V70" s="6" t="str">
        <f>IF(Table1_1[[#This Row],[Occupation]]="Skilled manual","Blue collar",IF(Table1_1[[#This Row],[Occupation]]="Manual","Blue collar","White collar"))</f>
        <v>Blue collar</v>
      </c>
    </row>
    <row r="71" spans="1:22" x14ac:dyDescent="0.3">
      <c r="A71" t="s">
        <v>105</v>
      </c>
      <c r="B71" s="6" t="s">
        <v>1042</v>
      </c>
      <c r="C71" s="6" t="s">
        <v>1045</v>
      </c>
      <c r="D71" s="3">
        <v>10000</v>
      </c>
      <c r="E71">
        <v>0</v>
      </c>
      <c r="F71" s="6" t="s">
        <v>29</v>
      </c>
      <c r="G71" s="6" t="s">
        <v>25</v>
      </c>
      <c r="H71" s="6" t="s">
        <v>18</v>
      </c>
      <c r="I71">
        <v>2</v>
      </c>
      <c r="J71" t="s">
        <v>16</v>
      </c>
      <c r="K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1" s="6" t="s">
        <v>17</v>
      </c>
      <c r="M71" s="7">
        <v>30</v>
      </c>
      <c r="N71" t="s">
        <v>18</v>
      </c>
      <c r="O71" s="9" t="str">
        <f>IF(Table1_1[[#This Row],[Purchased Bike]]="yes","1","0")</f>
        <v>0</v>
      </c>
      <c r="P71" s="4" t="str">
        <f>IF(Table1_1[[#This Row],[Income]]&lt;=30000,"Low ",IF(Table1_1[[#This Row],[Income]]&lt;=70000,"Middle","High"))</f>
        <v xml:space="preserve">Low </v>
      </c>
      <c r="Q71" s="6" t="str">
        <f>IF(Table1_1[[#This Row],[Age]]&lt;30,"Young",IF(Table1_1[[#This Row],[Age]]&lt;50,"Middle aged","Senior citizen"))</f>
        <v>Middle aged</v>
      </c>
      <c r="R71" s="7">
        <f>IF(Table1_1[[#This Row],[Marriedarital SingletatuSingle]]="M",Table1_1[[#This Row],[Children]]+2,Table1_1[[#This Row],[Children]]+1)</f>
        <v>1</v>
      </c>
      <c r="S71" s="4" t="str">
        <f>IF(Table1_1[[#This Row],[Cars]]=0,"No","Yes")</f>
        <v>Yes</v>
      </c>
      <c r="T71" s="6" t="str">
        <f>IF(AND(Table1_1[[#This Row],[Income]]&gt;50000,Table1_1[[#This Row],[Home Owner]]="Yes"),"High stability","Low stability")</f>
        <v>Low stability</v>
      </c>
      <c r="U71" s="3">
        <f>Table1_1[[#This Row],[Income]]/Table1_1[[#This Row],[Family size]]</f>
        <v>10000</v>
      </c>
      <c r="V71" s="6" t="str">
        <f>IF(Table1_1[[#This Row],[Occupation]]="Skilled manual","Blue collar",IF(Table1_1[[#This Row],[Occupation]]="Manual","Blue collar","White collar"))</f>
        <v>Blue collar</v>
      </c>
    </row>
    <row r="72" spans="1:22" x14ac:dyDescent="0.3">
      <c r="A72" t="s">
        <v>106</v>
      </c>
      <c r="B72" s="6" t="s">
        <v>1042</v>
      </c>
      <c r="C72" s="6" t="s">
        <v>1046</v>
      </c>
      <c r="D72" s="3">
        <v>120000</v>
      </c>
      <c r="E72">
        <v>0</v>
      </c>
      <c r="F72" s="6" t="s">
        <v>29</v>
      </c>
      <c r="G72" s="6" t="s">
        <v>21</v>
      </c>
      <c r="H72" s="6" t="s">
        <v>15</v>
      </c>
      <c r="I72">
        <v>4</v>
      </c>
      <c r="J72" t="s">
        <v>30</v>
      </c>
      <c r="K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2" s="6" t="s">
        <v>24</v>
      </c>
      <c r="M72" s="7">
        <v>36</v>
      </c>
      <c r="N72" t="s">
        <v>15</v>
      </c>
      <c r="O72" s="9" t="str">
        <f>IF(Table1_1[[#This Row],[Purchased Bike]]="yes","1","0")</f>
        <v>1</v>
      </c>
      <c r="P72" s="4" t="str">
        <f>IF(Table1_1[[#This Row],[Income]]&lt;=30000,"Low ",IF(Table1_1[[#This Row],[Income]]&lt;=70000,"Middle","High"))</f>
        <v>High</v>
      </c>
      <c r="Q72" s="6" t="str">
        <f>IF(Table1_1[[#This Row],[Age]]&lt;30,"Young",IF(Table1_1[[#This Row],[Age]]&lt;50,"Middle aged","Senior citizen"))</f>
        <v>Middle aged</v>
      </c>
      <c r="R72" s="7">
        <f>IF(Table1_1[[#This Row],[Marriedarital SingletatuSingle]]="M",Table1_1[[#This Row],[Children]]+2,Table1_1[[#This Row],[Children]]+1)</f>
        <v>1</v>
      </c>
      <c r="S72" s="4" t="str">
        <f>IF(Table1_1[[#This Row],[Cars]]=0,"No","Yes")</f>
        <v>Yes</v>
      </c>
      <c r="T72" s="6" t="str">
        <f>IF(AND(Table1_1[[#This Row],[Income]]&gt;50000,Table1_1[[#This Row],[Home Owner]]="Yes"),"High stability","Low stability")</f>
        <v>High stability</v>
      </c>
      <c r="U72" s="3">
        <f>Table1_1[[#This Row],[Income]]/Table1_1[[#This Row],[Family size]]</f>
        <v>120000</v>
      </c>
      <c r="V72" s="6" t="str">
        <f>IF(Table1_1[[#This Row],[Occupation]]="Skilled manual","Blue collar",IF(Table1_1[[#This Row],[Occupation]]="Manual","Blue collar","White collar"))</f>
        <v>White collar</v>
      </c>
    </row>
    <row r="73" spans="1:22" x14ac:dyDescent="0.3">
      <c r="A73" t="s">
        <v>107</v>
      </c>
      <c r="B73" s="6" t="s">
        <v>1044</v>
      </c>
      <c r="C73" s="6" t="s">
        <v>1045</v>
      </c>
      <c r="D73" s="3">
        <v>10000</v>
      </c>
      <c r="E73">
        <v>0</v>
      </c>
      <c r="F73" s="6" t="s">
        <v>29</v>
      </c>
      <c r="G73" s="6" t="s">
        <v>25</v>
      </c>
      <c r="H73" s="6" t="s">
        <v>18</v>
      </c>
      <c r="I73">
        <v>2</v>
      </c>
      <c r="J73" t="s">
        <v>16</v>
      </c>
      <c r="K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3" s="6" t="s">
        <v>17</v>
      </c>
      <c r="M73" s="7">
        <v>35</v>
      </c>
      <c r="N73" t="s">
        <v>18</v>
      </c>
      <c r="O73" s="9" t="str">
        <f>IF(Table1_1[[#This Row],[Purchased Bike]]="yes","1","0")</f>
        <v>0</v>
      </c>
      <c r="P73" s="4" t="str">
        <f>IF(Table1_1[[#This Row],[Income]]&lt;=30000,"Low ",IF(Table1_1[[#This Row],[Income]]&lt;=70000,"Middle","High"))</f>
        <v xml:space="preserve">Low </v>
      </c>
      <c r="Q73" s="6" t="str">
        <f>IF(Table1_1[[#This Row],[Age]]&lt;30,"Young",IF(Table1_1[[#This Row],[Age]]&lt;50,"Middle aged","Senior citizen"))</f>
        <v>Middle aged</v>
      </c>
      <c r="R73" s="7">
        <f>IF(Table1_1[[#This Row],[Marriedarital SingletatuSingle]]="M",Table1_1[[#This Row],[Children]]+2,Table1_1[[#This Row],[Children]]+1)</f>
        <v>1</v>
      </c>
      <c r="S73" s="4" t="str">
        <f>IF(Table1_1[[#This Row],[Cars]]=0,"No","Yes")</f>
        <v>Yes</v>
      </c>
      <c r="T73" s="6" t="str">
        <f>IF(AND(Table1_1[[#This Row],[Income]]&gt;50000,Table1_1[[#This Row],[Home Owner]]="Yes"),"High stability","Low stability")</f>
        <v>Low stability</v>
      </c>
      <c r="U73" s="3">
        <f>Table1_1[[#This Row],[Income]]/Table1_1[[#This Row],[Family size]]</f>
        <v>10000</v>
      </c>
      <c r="V73" s="6" t="str">
        <f>IF(Table1_1[[#This Row],[Occupation]]="Skilled manual","Blue collar",IF(Table1_1[[#This Row],[Occupation]]="Manual","Blue collar","White collar"))</f>
        <v>Blue collar</v>
      </c>
    </row>
    <row r="74" spans="1:22" x14ac:dyDescent="0.3">
      <c r="A74" t="s">
        <v>108</v>
      </c>
      <c r="B74" s="6" t="s">
        <v>1042</v>
      </c>
      <c r="C74" s="6" t="s">
        <v>1045</v>
      </c>
      <c r="D74" s="3">
        <v>130000</v>
      </c>
      <c r="E74">
        <v>3</v>
      </c>
      <c r="F74" s="6" t="s">
        <v>27</v>
      </c>
      <c r="G74" s="6" t="s">
        <v>21</v>
      </c>
      <c r="H74" s="6" t="s">
        <v>15</v>
      </c>
      <c r="I74">
        <v>4</v>
      </c>
      <c r="J74" t="s">
        <v>16</v>
      </c>
      <c r="K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4" s="6" t="s">
        <v>17</v>
      </c>
      <c r="M74" s="7">
        <v>52</v>
      </c>
      <c r="N74" t="s">
        <v>18</v>
      </c>
      <c r="O74" s="9" t="str">
        <f>IF(Table1_1[[#This Row],[Purchased Bike]]="yes","1","0")</f>
        <v>0</v>
      </c>
      <c r="P74" s="4" t="str">
        <f>IF(Table1_1[[#This Row],[Income]]&lt;=30000,"Low ",IF(Table1_1[[#This Row],[Income]]&lt;=70000,"Middle","High"))</f>
        <v>High</v>
      </c>
      <c r="Q74" s="6" t="str">
        <f>IF(Table1_1[[#This Row],[Age]]&lt;30,"Young",IF(Table1_1[[#This Row],[Age]]&lt;50,"Middle aged","Senior citizen"))</f>
        <v>Senior citizen</v>
      </c>
      <c r="R74" s="7">
        <f>IF(Table1_1[[#This Row],[Marriedarital SingletatuSingle]]="M",Table1_1[[#This Row],[Children]]+2,Table1_1[[#This Row],[Children]]+1)</f>
        <v>4</v>
      </c>
      <c r="S74" s="4" t="str">
        <f>IF(Table1_1[[#This Row],[Cars]]=0,"No","Yes")</f>
        <v>Yes</v>
      </c>
      <c r="T74" s="6" t="str">
        <f>IF(AND(Table1_1[[#This Row],[Income]]&gt;50000,Table1_1[[#This Row],[Home Owner]]="Yes"),"High stability","Low stability")</f>
        <v>High stability</v>
      </c>
      <c r="U74" s="3">
        <f>Table1_1[[#This Row],[Income]]/Table1_1[[#This Row],[Family size]]</f>
        <v>32500</v>
      </c>
      <c r="V74" s="6" t="str">
        <f>IF(Table1_1[[#This Row],[Occupation]]="Skilled manual","Blue collar",IF(Table1_1[[#This Row],[Occupation]]="Manual","Blue collar","White collar"))</f>
        <v>White collar</v>
      </c>
    </row>
    <row r="75" spans="1:22" x14ac:dyDescent="0.3">
      <c r="A75" t="s">
        <v>109</v>
      </c>
      <c r="B75" s="6" t="s">
        <v>1044</v>
      </c>
      <c r="C75" s="6" t="s">
        <v>1045</v>
      </c>
      <c r="D75" s="3">
        <v>20000</v>
      </c>
      <c r="E75">
        <v>0</v>
      </c>
      <c r="F75" s="6" t="s">
        <v>19</v>
      </c>
      <c r="G75" s="6" t="s">
        <v>25</v>
      </c>
      <c r="H75" s="6" t="s">
        <v>18</v>
      </c>
      <c r="I75">
        <v>1</v>
      </c>
      <c r="J75" t="s">
        <v>22</v>
      </c>
      <c r="K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5" s="6" t="s">
        <v>17</v>
      </c>
      <c r="M75" s="7">
        <v>36</v>
      </c>
      <c r="N75" t="s">
        <v>15</v>
      </c>
      <c r="O75" s="9" t="str">
        <f>IF(Table1_1[[#This Row],[Purchased Bike]]="yes","1","0")</f>
        <v>1</v>
      </c>
      <c r="P75" s="4" t="str">
        <f>IF(Table1_1[[#This Row],[Income]]&lt;=30000,"Low ",IF(Table1_1[[#This Row],[Income]]&lt;=70000,"Middle","High"))</f>
        <v xml:space="preserve">Low </v>
      </c>
      <c r="Q75" s="6" t="str">
        <f>IF(Table1_1[[#This Row],[Age]]&lt;30,"Young",IF(Table1_1[[#This Row],[Age]]&lt;50,"Middle aged","Senior citizen"))</f>
        <v>Middle aged</v>
      </c>
      <c r="R75" s="7">
        <f>IF(Table1_1[[#This Row],[Marriedarital SingletatuSingle]]="M",Table1_1[[#This Row],[Children]]+2,Table1_1[[#This Row],[Children]]+1)</f>
        <v>1</v>
      </c>
      <c r="S75" s="4" t="str">
        <f>IF(Table1_1[[#This Row],[Cars]]=0,"No","Yes")</f>
        <v>Yes</v>
      </c>
      <c r="T75" s="6" t="str">
        <f>IF(AND(Table1_1[[#This Row],[Income]]&gt;50000,Table1_1[[#This Row],[Home Owner]]="Yes"),"High stability","Low stability")</f>
        <v>Low stability</v>
      </c>
      <c r="U75" s="3">
        <f>Table1_1[[#This Row],[Income]]/Table1_1[[#This Row],[Family size]]</f>
        <v>20000</v>
      </c>
      <c r="V75" s="6" t="str">
        <f>IF(Table1_1[[#This Row],[Occupation]]="Skilled manual","Blue collar",IF(Table1_1[[#This Row],[Occupation]]="Manual","Blue collar","White collar"))</f>
        <v>Blue collar</v>
      </c>
    </row>
    <row r="76" spans="1:22" x14ac:dyDescent="0.3">
      <c r="A76" t="s">
        <v>110</v>
      </c>
      <c r="B76" s="6" t="s">
        <v>1042</v>
      </c>
      <c r="C76" s="6" t="s">
        <v>1045</v>
      </c>
      <c r="D76" s="3">
        <v>20000</v>
      </c>
      <c r="E76">
        <v>3</v>
      </c>
      <c r="F76" s="6" t="s">
        <v>27</v>
      </c>
      <c r="G76" s="6" t="s">
        <v>14</v>
      </c>
      <c r="H76" s="6" t="s">
        <v>18</v>
      </c>
      <c r="I76">
        <v>2</v>
      </c>
      <c r="J76" t="s">
        <v>26</v>
      </c>
      <c r="K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6" s="6" t="s">
        <v>24</v>
      </c>
      <c r="M76" s="7">
        <v>62</v>
      </c>
      <c r="N76" t="s">
        <v>18</v>
      </c>
      <c r="O76" s="9" t="str">
        <f>IF(Table1_1[[#This Row],[Purchased Bike]]="yes","1","0")</f>
        <v>0</v>
      </c>
      <c r="P76" s="4" t="str">
        <f>IF(Table1_1[[#This Row],[Income]]&lt;=30000,"Low ",IF(Table1_1[[#This Row],[Income]]&lt;=70000,"Middle","High"))</f>
        <v xml:space="preserve">Low </v>
      </c>
      <c r="Q76" s="6" t="str">
        <f>IF(Table1_1[[#This Row],[Age]]&lt;30,"Young",IF(Table1_1[[#This Row],[Age]]&lt;50,"Middle aged","Senior citizen"))</f>
        <v>Senior citizen</v>
      </c>
      <c r="R76" s="7">
        <f>IF(Table1_1[[#This Row],[Marriedarital SingletatuSingle]]="M",Table1_1[[#This Row],[Children]]+2,Table1_1[[#This Row],[Children]]+1)</f>
        <v>4</v>
      </c>
      <c r="S76" s="4" t="str">
        <f>IF(Table1_1[[#This Row],[Cars]]=0,"No","Yes")</f>
        <v>Yes</v>
      </c>
      <c r="T76" s="6" t="str">
        <f>IF(AND(Table1_1[[#This Row],[Income]]&gt;50000,Table1_1[[#This Row],[Home Owner]]="Yes"),"High stability","Low stability")</f>
        <v>Low stability</v>
      </c>
      <c r="U76" s="3">
        <f>Table1_1[[#This Row],[Income]]/Table1_1[[#This Row],[Family size]]</f>
        <v>5000</v>
      </c>
      <c r="V76" s="6" t="str">
        <f>IF(Table1_1[[#This Row],[Occupation]]="Skilled manual","Blue collar",IF(Table1_1[[#This Row],[Occupation]]="Manual","Blue collar","White collar"))</f>
        <v>Blue collar</v>
      </c>
    </row>
    <row r="77" spans="1:22" x14ac:dyDescent="0.3">
      <c r="A77" t="s">
        <v>111</v>
      </c>
      <c r="B77" s="6" t="s">
        <v>1044</v>
      </c>
      <c r="C77" s="6" t="s">
        <v>1045</v>
      </c>
      <c r="D77" s="3">
        <v>130000</v>
      </c>
      <c r="E77">
        <v>4</v>
      </c>
      <c r="F77" s="6" t="s">
        <v>27</v>
      </c>
      <c r="G77" s="6" t="s">
        <v>28</v>
      </c>
      <c r="H77" s="6" t="s">
        <v>15</v>
      </c>
      <c r="I77">
        <v>4</v>
      </c>
      <c r="J77" t="s">
        <v>16</v>
      </c>
      <c r="K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7" s="6" t="s">
        <v>24</v>
      </c>
      <c r="M77" s="7">
        <v>31</v>
      </c>
      <c r="N77" t="s">
        <v>18</v>
      </c>
      <c r="O77" s="9" t="str">
        <f>IF(Table1_1[[#This Row],[Purchased Bike]]="yes","1","0")</f>
        <v>0</v>
      </c>
      <c r="P77" s="4" t="str">
        <f>IF(Table1_1[[#This Row],[Income]]&lt;=30000,"Low ",IF(Table1_1[[#This Row],[Income]]&lt;=70000,"Middle","High"))</f>
        <v>High</v>
      </c>
      <c r="Q77" s="6" t="str">
        <f>IF(Table1_1[[#This Row],[Age]]&lt;30,"Young",IF(Table1_1[[#This Row],[Age]]&lt;50,"Middle aged","Senior citizen"))</f>
        <v>Middle aged</v>
      </c>
      <c r="R77" s="7">
        <f>IF(Table1_1[[#This Row],[Marriedarital SingletatuSingle]]="M",Table1_1[[#This Row],[Children]]+2,Table1_1[[#This Row],[Children]]+1)</f>
        <v>5</v>
      </c>
      <c r="S77" s="4" t="str">
        <f>IF(Table1_1[[#This Row],[Cars]]=0,"No","Yes")</f>
        <v>Yes</v>
      </c>
      <c r="T77" s="6" t="str">
        <f>IF(AND(Table1_1[[#This Row],[Income]]&gt;50000,Table1_1[[#This Row],[Home Owner]]="Yes"),"High stability","Low stability")</f>
        <v>High stability</v>
      </c>
      <c r="U77" s="3">
        <f>Table1_1[[#This Row],[Income]]/Table1_1[[#This Row],[Family size]]</f>
        <v>26000</v>
      </c>
      <c r="V77" s="6" t="str">
        <f>IF(Table1_1[[#This Row],[Occupation]]="Skilled manual","Blue collar",IF(Table1_1[[#This Row],[Occupation]]="Manual","Blue collar","White collar"))</f>
        <v>White collar</v>
      </c>
    </row>
    <row r="78" spans="1:22" x14ac:dyDescent="0.3">
      <c r="A78" t="s">
        <v>112</v>
      </c>
      <c r="B78" s="6" t="s">
        <v>1044</v>
      </c>
      <c r="C78" s="6" t="s">
        <v>1045</v>
      </c>
      <c r="D78" s="3">
        <v>20000</v>
      </c>
      <c r="E78">
        <v>0</v>
      </c>
      <c r="F78" s="6" t="s">
        <v>29</v>
      </c>
      <c r="G78" s="6" t="s">
        <v>25</v>
      </c>
      <c r="H78" s="6" t="s">
        <v>18</v>
      </c>
      <c r="I78">
        <v>2</v>
      </c>
      <c r="J78" t="s">
        <v>26</v>
      </c>
      <c r="K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8" s="6" t="s">
        <v>17</v>
      </c>
      <c r="M78" s="7">
        <v>26</v>
      </c>
      <c r="N78" t="s">
        <v>18</v>
      </c>
      <c r="O78" s="9" t="str">
        <f>IF(Table1_1[[#This Row],[Purchased Bike]]="yes","1","0")</f>
        <v>0</v>
      </c>
      <c r="P78" s="4" t="str">
        <f>IF(Table1_1[[#This Row],[Income]]&lt;=30000,"Low ",IF(Table1_1[[#This Row],[Income]]&lt;=70000,"Middle","High"))</f>
        <v xml:space="preserve">Low </v>
      </c>
      <c r="Q78" s="6" t="str">
        <f>IF(Table1_1[[#This Row],[Age]]&lt;30,"Young",IF(Table1_1[[#This Row],[Age]]&lt;50,"Middle aged","Senior citizen"))</f>
        <v>Young</v>
      </c>
      <c r="R78" s="7">
        <f>IF(Table1_1[[#This Row],[Marriedarital SingletatuSingle]]="M",Table1_1[[#This Row],[Children]]+2,Table1_1[[#This Row],[Children]]+1)</f>
        <v>1</v>
      </c>
      <c r="S78" s="4" t="str">
        <f>IF(Table1_1[[#This Row],[Cars]]=0,"No","Yes")</f>
        <v>Yes</v>
      </c>
      <c r="T78" s="6" t="str">
        <f>IF(AND(Table1_1[[#This Row],[Income]]&gt;50000,Table1_1[[#This Row],[Home Owner]]="Yes"),"High stability","Low stability")</f>
        <v>Low stability</v>
      </c>
      <c r="U78" s="3">
        <f>Table1_1[[#This Row],[Income]]/Table1_1[[#This Row],[Family size]]</f>
        <v>20000</v>
      </c>
      <c r="V78" s="6" t="str">
        <f>IF(Table1_1[[#This Row],[Occupation]]="Skilled manual","Blue collar",IF(Table1_1[[#This Row],[Occupation]]="Manual","Blue collar","White collar"))</f>
        <v>Blue collar</v>
      </c>
    </row>
    <row r="79" spans="1:22" x14ac:dyDescent="0.3">
      <c r="A79" t="s">
        <v>113</v>
      </c>
      <c r="B79" s="6" t="s">
        <v>1042</v>
      </c>
      <c r="C79" s="6" t="s">
        <v>1046</v>
      </c>
      <c r="D79" s="3">
        <v>80000</v>
      </c>
      <c r="E79">
        <v>0</v>
      </c>
      <c r="F79" s="6" t="s">
        <v>13</v>
      </c>
      <c r="G79" s="6" t="s">
        <v>21</v>
      </c>
      <c r="H79" s="6" t="s">
        <v>15</v>
      </c>
      <c r="I79">
        <v>2</v>
      </c>
      <c r="J79" t="s">
        <v>30</v>
      </c>
      <c r="K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9" s="6" t="s">
        <v>24</v>
      </c>
      <c r="M79" s="7">
        <v>29</v>
      </c>
      <c r="N79" t="s">
        <v>15</v>
      </c>
      <c r="O79" s="9" t="str">
        <f>IF(Table1_1[[#This Row],[Purchased Bike]]="yes","1","0")</f>
        <v>1</v>
      </c>
      <c r="P79" s="4" t="str">
        <f>IF(Table1_1[[#This Row],[Income]]&lt;=30000,"Low ",IF(Table1_1[[#This Row],[Income]]&lt;=70000,"Middle","High"))</f>
        <v>High</v>
      </c>
      <c r="Q79" s="6" t="str">
        <f>IF(Table1_1[[#This Row],[Age]]&lt;30,"Young",IF(Table1_1[[#This Row],[Age]]&lt;50,"Middle aged","Senior citizen"))</f>
        <v>Young</v>
      </c>
      <c r="R79" s="7">
        <f>IF(Table1_1[[#This Row],[Marriedarital SingletatuSingle]]="M",Table1_1[[#This Row],[Children]]+2,Table1_1[[#This Row],[Children]]+1)</f>
        <v>1</v>
      </c>
      <c r="S79" s="4" t="str">
        <f>IF(Table1_1[[#This Row],[Cars]]=0,"No","Yes")</f>
        <v>Yes</v>
      </c>
      <c r="T79" s="6" t="str">
        <f>IF(AND(Table1_1[[#This Row],[Income]]&gt;50000,Table1_1[[#This Row],[Home Owner]]="Yes"),"High stability","Low stability")</f>
        <v>High stability</v>
      </c>
      <c r="U79" s="3">
        <f>Table1_1[[#This Row],[Income]]/Table1_1[[#This Row],[Family size]]</f>
        <v>80000</v>
      </c>
      <c r="V79" s="6" t="str">
        <f>IF(Table1_1[[#This Row],[Occupation]]="Skilled manual","Blue collar",IF(Table1_1[[#This Row],[Occupation]]="Manual","Blue collar","White collar"))</f>
        <v>White collar</v>
      </c>
    </row>
    <row r="80" spans="1:22" x14ac:dyDescent="0.3">
      <c r="A80" t="s">
        <v>114</v>
      </c>
      <c r="B80" s="6" t="s">
        <v>1042</v>
      </c>
      <c r="C80" s="6" t="s">
        <v>1046</v>
      </c>
      <c r="D80" s="3">
        <v>80000</v>
      </c>
      <c r="E80">
        <v>2</v>
      </c>
      <c r="F80" s="6" t="s">
        <v>27</v>
      </c>
      <c r="G80" s="6" t="s">
        <v>14</v>
      </c>
      <c r="H80" s="6" t="s">
        <v>18</v>
      </c>
      <c r="I80">
        <v>2</v>
      </c>
      <c r="J80" t="s">
        <v>26</v>
      </c>
      <c r="K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0" s="6" t="s">
        <v>24</v>
      </c>
      <c r="M80" s="7">
        <v>50</v>
      </c>
      <c r="N80" t="s">
        <v>15</v>
      </c>
      <c r="O80" s="9" t="str">
        <f>IF(Table1_1[[#This Row],[Purchased Bike]]="yes","1","0")</f>
        <v>1</v>
      </c>
      <c r="P80" s="4" t="str">
        <f>IF(Table1_1[[#This Row],[Income]]&lt;=30000,"Low ",IF(Table1_1[[#This Row],[Income]]&lt;=70000,"Middle","High"))</f>
        <v>High</v>
      </c>
      <c r="Q80" s="6" t="str">
        <f>IF(Table1_1[[#This Row],[Age]]&lt;30,"Young",IF(Table1_1[[#This Row],[Age]]&lt;50,"Middle aged","Senior citizen"))</f>
        <v>Senior citizen</v>
      </c>
      <c r="R80" s="7">
        <f>IF(Table1_1[[#This Row],[Marriedarital SingletatuSingle]]="M",Table1_1[[#This Row],[Children]]+2,Table1_1[[#This Row],[Children]]+1)</f>
        <v>3</v>
      </c>
      <c r="S80" s="4" t="str">
        <f>IF(Table1_1[[#This Row],[Cars]]=0,"No","Yes")</f>
        <v>Yes</v>
      </c>
      <c r="T80" s="6" t="str">
        <f>IF(AND(Table1_1[[#This Row],[Income]]&gt;50000,Table1_1[[#This Row],[Home Owner]]="Yes"),"High stability","Low stability")</f>
        <v>Low stability</v>
      </c>
      <c r="U80" s="3">
        <f>Table1_1[[#This Row],[Income]]/Table1_1[[#This Row],[Family size]]</f>
        <v>26666.666666666668</v>
      </c>
      <c r="V80" s="6" t="str">
        <f>IF(Table1_1[[#This Row],[Occupation]]="Skilled manual","Blue collar",IF(Table1_1[[#This Row],[Occupation]]="Manual","Blue collar","White collar"))</f>
        <v>Blue collar</v>
      </c>
    </row>
    <row r="81" spans="1:22" x14ac:dyDescent="0.3">
      <c r="A81" t="s">
        <v>115</v>
      </c>
      <c r="B81" s="6" t="s">
        <v>1044</v>
      </c>
      <c r="C81" s="6" t="s">
        <v>1046</v>
      </c>
      <c r="D81" s="3">
        <v>40000</v>
      </c>
      <c r="E81">
        <v>2</v>
      </c>
      <c r="F81" s="6" t="s">
        <v>13</v>
      </c>
      <c r="G81" s="6" t="s">
        <v>28</v>
      </c>
      <c r="H81" s="6" t="s">
        <v>15</v>
      </c>
      <c r="I81">
        <v>2</v>
      </c>
      <c r="J81" t="s">
        <v>23</v>
      </c>
      <c r="K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1" s="6" t="s">
        <v>24</v>
      </c>
      <c r="M81" s="7">
        <v>63</v>
      </c>
      <c r="N81" t="s">
        <v>15</v>
      </c>
      <c r="O81" s="9" t="str">
        <f>IF(Table1_1[[#This Row],[Purchased Bike]]="yes","1","0")</f>
        <v>1</v>
      </c>
      <c r="P81" s="4" t="str">
        <f>IF(Table1_1[[#This Row],[Income]]&lt;=30000,"Low ",IF(Table1_1[[#This Row],[Income]]&lt;=70000,"Middle","High"))</f>
        <v>Middle</v>
      </c>
      <c r="Q81" s="6" t="str">
        <f>IF(Table1_1[[#This Row],[Age]]&lt;30,"Young",IF(Table1_1[[#This Row],[Age]]&lt;50,"Middle aged","Senior citizen"))</f>
        <v>Senior citizen</v>
      </c>
      <c r="R81" s="7">
        <f>IF(Table1_1[[#This Row],[Marriedarital SingletatuSingle]]="M",Table1_1[[#This Row],[Children]]+2,Table1_1[[#This Row],[Children]]+1)</f>
        <v>3</v>
      </c>
      <c r="S81" s="4" t="str">
        <f>IF(Table1_1[[#This Row],[Cars]]=0,"No","Yes")</f>
        <v>Yes</v>
      </c>
      <c r="T81" s="6" t="str">
        <f>IF(AND(Table1_1[[#This Row],[Income]]&gt;50000,Table1_1[[#This Row],[Home Owner]]="Yes"),"High stability","Low stability")</f>
        <v>Low stability</v>
      </c>
      <c r="U81" s="3">
        <f>Table1_1[[#This Row],[Income]]/Table1_1[[#This Row],[Family size]]</f>
        <v>13333.333333333334</v>
      </c>
      <c r="V81" s="6" t="str">
        <f>IF(Table1_1[[#This Row],[Occupation]]="Skilled manual","Blue collar",IF(Table1_1[[#This Row],[Occupation]]="Manual","Blue collar","White collar"))</f>
        <v>White collar</v>
      </c>
    </row>
    <row r="82" spans="1:22" x14ac:dyDescent="0.3">
      <c r="A82" t="s">
        <v>116</v>
      </c>
      <c r="B82" s="6" t="s">
        <v>1042</v>
      </c>
      <c r="C82" s="6" t="s">
        <v>1045</v>
      </c>
      <c r="D82" s="3">
        <v>30000</v>
      </c>
      <c r="E82">
        <v>4</v>
      </c>
      <c r="F82" s="6" t="s">
        <v>31</v>
      </c>
      <c r="G82" s="6" t="s">
        <v>20</v>
      </c>
      <c r="H82" s="6" t="s">
        <v>15</v>
      </c>
      <c r="I82">
        <v>0</v>
      </c>
      <c r="J82" t="s">
        <v>16</v>
      </c>
      <c r="K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2" s="6" t="s">
        <v>17</v>
      </c>
      <c r="M82" s="7">
        <v>45</v>
      </c>
      <c r="N82" t="s">
        <v>15</v>
      </c>
      <c r="O82" s="9" t="str">
        <f>IF(Table1_1[[#This Row],[Purchased Bike]]="yes","1","0")</f>
        <v>1</v>
      </c>
      <c r="P82" s="4" t="str">
        <f>IF(Table1_1[[#This Row],[Income]]&lt;=30000,"Low ",IF(Table1_1[[#This Row],[Income]]&lt;=70000,"Middle","High"))</f>
        <v xml:space="preserve">Low </v>
      </c>
      <c r="Q82" s="6" t="str">
        <f>IF(Table1_1[[#This Row],[Age]]&lt;30,"Young",IF(Table1_1[[#This Row],[Age]]&lt;50,"Middle aged","Senior citizen"))</f>
        <v>Middle aged</v>
      </c>
      <c r="R82" s="7">
        <f>IF(Table1_1[[#This Row],[Marriedarital SingletatuSingle]]="M",Table1_1[[#This Row],[Children]]+2,Table1_1[[#This Row],[Children]]+1)</f>
        <v>5</v>
      </c>
      <c r="S82" s="4" t="str">
        <f>IF(Table1_1[[#This Row],[Cars]]=0,"No","Yes")</f>
        <v>No</v>
      </c>
      <c r="T82" s="6" t="str">
        <f>IF(AND(Table1_1[[#This Row],[Income]]&gt;50000,Table1_1[[#This Row],[Home Owner]]="Yes"),"High stability","Low stability")</f>
        <v>Low stability</v>
      </c>
      <c r="U82" s="3">
        <f>Table1_1[[#This Row],[Income]]/Table1_1[[#This Row],[Family size]]</f>
        <v>6000</v>
      </c>
      <c r="V82" s="6" t="str">
        <f>IF(Table1_1[[#This Row],[Occupation]]="Skilled manual","Blue collar",IF(Table1_1[[#This Row],[Occupation]]="Manual","Blue collar","White collar"))</f>
        <v>White collar</v>
      </c>
    </row>
    <row r="83" spans="1:22" x14ac:dyDescent="0.3">
      <c r="A83" t="s">
        <v>117</v>
      </c>
      <c r="B83" s="6" t="s">
        <v>1044</v>
      </c>
      <c r="C83" s="6" t="s">
        <v>1045</v>
      </c>
      <c r="D83" s="3">
        <v>10000</v>
      </c>
      <c r="E83">
        <v>4</v>
      </c>
      <c r="F83" s="6" t="s">
        <v>29</v>
      </c>
      <c r="G83" s="6" t="s">
        <v>25</v>
      </c>
      <c r="H83" s="6" t="s">
        <v>15</v>
      </c>
      <c r="I83">
        <v>2</v>
      </c>
      <c r="J83" t="s">
        <v>16</v>
      </c>
      <c r="K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3" s="6" t="s">
        <v>17</v>
      </c>
      <c r="M83" s="7">
        <v>40</v>
      </c>
      <c r="N83" t="s">
        <v>18</v>
      </c>
      <c r="O83" s="9" t="str">
        <f>IF(Table1_1[[#This Row],[Purchased Bike]]="yes","1","0")</f>
        <v>0</v>
      </c>
      <c r="P83" s="4" t="str">
        <f>IF(Table1_1[[#This Row],[Income]]&lt;=30000,"Low ",IF(Table1_1[[#This Row],[Income]]&lt;=70000,"Middle","High"))</f>
        <v xml:space="preserve">Low </v>
      </c>
      <c r="Q83" s="6" t="str">
        <f>IF(Table1_1[[#This Row],[Age]]&lt;30,"Young",IF(Table1_1[[#This Row],[Age]]&lt;50,"Middle aged","Senior citizen"))</f>
        <v>Middle aged</v>
      </c>
      <c r="R83" s="7">
        <f>IF(Table1_1[[#This Row],[Marriedarital SingletatuSingle]]="M",Table1_1[[#This Row],[Children]]+2,Table1_1[[#This Row],[Children]]+1)</f>
        <v>5</v>
      </c>
      <c r="S83" s="4" t="str">
        <f>IF(Table1_1[[#This Row],[Cars]]=0,"No","Yes")</f>
        <v>Yes</v>
      </c>
      <c r="T83" s="6" t="str">
        <f>IF(AND(Table1_1[[#This Row],[Income]]&gt;50000,Table1_1[[#This Row],[Home Owner]]="Yes"),"High stability","Low stability")</f>
        <v>Low stability</v>
      </c>
      <c r="U83" s="3">
        <f>Table1_1[[#This Row],[Income]]/Table1_1[[#This Row],[Family size]]</f>
        <v>2000</v>
      </c>
      <c r="V83" s="6" t="str">
        <f>IF(Table1_1[[#This Row],[Occupation]]="Skilled manual","Blue collar",IF(Table1_1[[#This Row],[Occupation]]="Manual","Blue collar","White collar"))</f>
        <v>Blue collar</v>
      </c>
    </row>
    <row r="84" spans="1:22" x14ac:dyDescent="0.3">
      <c r="A84" t="s">
        <v>118</v>
      </c>
      <c r="B84" s="6" t="s">
        <v>1042</v>
      </c>
      <c r="C84" s="6" t="s">
        <v>1046</v>
      </c>
      <c r="D84" s="3">
        <v>30000</v>
      </c>
      <c r="E84">
        <v>0</v>
      </c>
      <c r="F84" s="6" t="s">
        <v>13</v>
      </c>
      <c r="G84" s="6" t="s">
        <v>20</v>
      </c>
      <c r="H84" s="6" t="s">
        <v>15</v>
      </c>
      <c r="I84">
        <v>0</v>
      </c>
      <c r="J84" t="s">
        <v>16</v>
      </c>
      <c r="K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4" s="6" t="s">
        <v>17</v>
      </c>
      <c r="M84" s="7">
        <v>47</v>
      </c>
      <c r="N84" t="s">
        <v>15</v>
      </c>
      <c r="O84" s="9" t="str">
        <f>IF(Table1_1[[#This Row],[Purchased Bike]]="yes","1","0")</f>
        <v>1</v>
      </c>
      <c r="P84" s="4" t="str">
        <f>IF(Table1_1[[#This Row],[Income]]&lt;=30000,"Low ",IF(Table1_1[[#This Row],[Income]]&lt;=70000,"Middle","High"))</f>
        <v xml:space="preserve">Low </v>
      </c>
      <c r="Q84" s="6" t="str">
        <f>IF(Table1_1[[#This Row],[Age]]&lt;30,"Young",IF(Table1_1[[#This Row],[Age]]&lt;50,"Middle aged","Senior citizen"))</f>
        <v>Middle aged</v>
      </c>
      <c r="R84" s="7">
        <f>IF(Table1_1[[#This Row],[Marriedarital SingletatuSingle]]="M",Table1_1[[#This Row],[Children]]+2,Table1_1[[#This Row],[Children]]+1)</f>
        <v>1</v>
      </c>
      <c r="S84" s="4" t="str">
        <f>IF(Table1_1[[#This Row],[Cars]]=0,"No","Yes")</f>
        <v>No</v>
      </c>
      <c r="T84" s="6" t="str">
        <f>IF(AND(Table1_1[[#This Row],[Income]]&gt;50000,Table1_1[[#This Row],[Home Owner]]="Yes"),"High stability","Low stability")</f>
        <v>Low stability</v>
      </c>
      <c r="U84" s="3">
        <f>Table1_1[[#This Row],[Income]]/Table1_1[[#This Row],[Family size]]</f>
        <v>30000</v>
      </c>
      <c r="V84" s="6" t="str">
        <f>IF(Table1_1[[#This Row],[Occupation]]="Skilled manual","Blue collar",IF(Table1_1[[#This Row],[Occupation]]="Manual","Blue collar","White collar"))</f>
        <v>White collar</v>
      </c>
    </row>
    <row r="85" spans="1:22" x14ac:dyDescent="0.3">
      <c r="A85" t="s">
        <v>119</v>
      </c>
      <c r="B85" s="6" t="s">
        <v>1044</v>
      </c>
      <c r="C85" s="6" t="s">
        <v>1046</v>
      </c>
      <c r="D85" s="3">
        <v>20000</v>
      </c>
      <c r="E85">
        <v>0</v>
      </c>
      <c r="F85" s="6" t="s">
        <v>27</v>
      </c>
      <c r="G85" s="6" t="s">
        <v>25</v>
      </c>
      <c r="H85" s="6" t="s">
        <v>18</v>
      </c>
      <c r="I85">
        <v>1</v>
      </c>
      <c r="J85" t="s">
        <v>22</v>
      </c>
      <c r="K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5" s="6" t="s">
        <v>17</v>
      </c>
      <c r="M85" s="7">
        <v>29</v>
      </c>
      <c r="N85" t="s">
        <v>18</v>
      </c>
      <c r="O85" s="9" t="str">
        <f>IF(Table1_1[[#This Row],[Purchased Bike]]="yes","1","0")</f>
        <v>0</v>
      </c>
      <c r="P85" s="4" t="str">
        <f>IF(Table1_1[[#This Row],[Income]]&lt;=30000,"Low ",IF(Table1_1[[#This Row],[Income]]&lt;=70000,"Middle","High"))</f>
        <v xml:space="preserve">Low </v>
      </c>
      <c r="Q85" s="6" t="str">
        <f>IF(Table1_1[[#This Row],[Age]]&lt;30,"Young",IF(Table1_1[[#This Row],[Age]]&lt;50,"Middle aged","Senior citizen"))</f>
        <v>Young</v>
      </c>
      <c r="R85" s="7">
        <f>IF(Table1_1[[#This Row],[Marriedarital SingletatuSingle]]="M",Table1_1[[#This Row],[Children]]+2,Table1_1[[#This Row],[Children]]+1)</f>
        <v>1</v>
      </c>
      <c r="S85" s="4" t="str">
        <f>IF(Table1_1[[#This Row],[Cars]]=0,"No","Yes")</f>
        <v>Yes</v>
      </c>
      <c r="T85" s="6" t="str">
        <f>IF(AND(Table1_1[[#This Row],[Income]]&gt;50000,Table1_1[[#This Row],[Home Owner]]="Yes"),"High stability","Low stability")</f>
        <v>Low stability</v>
      </c>
      <c r="U85" s="3">
        <f>Table1_1[[#This Row],[Income]]/Table1_1[[#This Row],[Family size]]</f>
        <v>20000</v>
      </c>
      <c r="V85" s="6" t="str">
        <f>IF(Table1_1[[#This Row],[Occupation]]="Skilled manual","Blue collar",IF(Table1_1[[#This Row],[Occupation]]="Manual","Blue collar","White collar"))</f>
        <v>Blue collar</v>
      </c>
    </row>
    <row r="86" spans="1:22" x14ac:dyDescent="0.3">
      <c r="A86" t="s">
        <v>120</v>
      </c>
      <c r="B86" s="6" t="s">
        <v>1044</v>
      </c>
      <c r="C86" s="6" t="s">
        <v>1046</v>
      </c>
      <c r="D86" s="3">
        <v>40000</v>
      </c>
      <c r="E86">
        <v>2</v>
      </c>
      <c r="F86" s="6" t="s">
        <v>13</v>
      </c>
      <c r="G86" s="6" t="s">
        <v>28</v>
      </c>
      <c r="H86" s="6" t="s">
        <v>18</v>
      </c>
      <c r="I86">
        <v>1</v>
      </c>
      <c r="J86" t="s">
        <v>23</v>
      </c>
      <c r="K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6" s="6" t="s">
        <v>24</v>
      </c>
      <c r="M86" s="7">
        <v>52</v>
      </c>
      <c r="N86" t="s">
        <v>15</v>
      </c>
      <c r="O86" s="9" t="str">
        <f>IF(Table1_1[[#This Row],[Purchased Bike]]="yes","1","0")</f>
        <v>1</v>
      </c>
      <c r="P86" s="4" t="str">
        <f>IF(Table1_1[[#This Row],[Income]]&lt;=30000,"Low ",IF(Table1_1[[#This Row],[Income]]&lt;=70000,"Middle","High"))</f>
        <v>Middle</v>
      </c>
      <c r="Q86" s="6" t="str">
        <f>IF(Table1_1[[#This Row],[Age]]&lt;30,"Young",IF(Table1_1[[#This Row],[Age]]&lt;50,"Middle aged","Senior citizen"))</f>
        <v>Senior citizen</v>
      </c>
      <c r="R86" s="7">
        <f>IF(Table1_1[[#This Row],[Marriedarital SingletatuSingle]]="M",Table1_1[[#This Row],[Children]]+2,Table1_1[[#This Row],[Children]]+1)</f>
        <v>3</v>
      </c>
      <c r="S86" s="4" t="str">
        <f>IF(Table1_1[[#This Row],[Cars]]=0,"No","Yes")</f>
        <v>Yes</v>
      </c>
      <c r="T86" s="6" t="str">
        <f>IF(AND(Table1_1[[#This Row],[Income]]&gt;50000,Table1_1[[#This Row],[Home Owner]]="Yes"),"High stability","Low stability")</f>
        <v>Low stability</v>
      </c>
      <c r="U86" s="3">
        <f>Table1_1[[#This Row],[Income]]/Table1_1[[#This Row],[Family size]]</f>
        <v>13333.333333333334</v>
      </c>
      <c r="V86" s="6" t="str">
        <f>IF(Table1_1[[#This Row],[Occupation]]="Skilled manual","Blue collar",IF(Table1_1[[#This Row],[Occupation]]="Manual","Blue collar","White collar"))</f>
        <v>White collar</v>
      </c>
    </row>
    <row r="87" spans="1:22" x14ac:dyDescent="0.3">
      <c r="A87" t="s">
        <v>121</v>
      </c>
      <c r="B87" s="6" t="s">
        <v>1044</v>
      </c>
      <c r="C87" s="6" t="s">
        <v>1046</v>
      </c>
      <c r="D87" s="3">
        <v>10000</v>
      </c>
      <c r="E87">
        <v>0</v>
      </c>
      <c r="F87" s="6" t="s">
        <v>19</v>
      </c>
      <c r="G87" s="6" t="s">
        <v>25</v>
      </c>
      <c r="H87" s="6" t="s">
        <v>15</v>
      </c>
      <c r="I87">
        <v>1</v>
      </c>
      <c r="J87" t="s">
        <v>26</v>
      </c>
      <c r="K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7" s="6" t="s">
        <v>24</v>
      </c>
      <c r="M87" s="7">
        <v>26</v>
      </c>
      <c r="N87" t="s">
        <v>15</v>
      </c>
      <c r="O87" s="9" t="str">
        <f>IF(Table1_1[[#This Row],[Purchased Bike]]="yes","1","0")</f>
        <v>1</v>
      </c>
      <c r="P87" s="4" t="str">
        <f>IF(Table1_1[[#This Row],[Income]]&lt;=30000,"Low ",IF(Table1_1[[#This Row],[Income]]&lt;=70000,"Middle","High"))</f>
        <v xml:space="preserve">Low </v>
      </c>
      <c r="Q87" s="6" t="str">
        <f>IF(Table1_1[[#This Row],[Age]]&lt;30,"Young",IF(Table1_1[[#This Row],[Age]]&lt;50,"Middle aged","Senior citizen"))</f>
        <v>Young</v>
      </c>
      <c r="R87" s="7">
        <f>IF(Table1_1[[#This Row],[Marriedarital SingletatuSingle]]="M",Table1_1[[#This Row],[Children]]+2,Table1_1[[#This Row],[Children]]+1)</f>
        <v>1</v>
      </c>
      <c r="S87" s="4" t="str">
        <f>IF(Table1_1[[#This Row],[Cars]]=0,"No","Yes")</f>
        <v>Yes</v>
      </c>
      <c r="T87" s="6" t="str">
        <f>IF(AND(Table1_1[[#This Row],[Income]]&gt;50000,Table1_1[[#This Row],[Home Owner]]="Yes"),"High stability","Low stability")</f>
        <v>Low stability</v>
      </c>
      <c r="U87" s="3">
        <f>Table1_1[[#This Row],[Income]]/Table1_1[[#This Row],[Family size]]</f>
        <v>10000</v>
      </c>
      <c r="V87" s="6" t="str">
        <f>IF(Table1_1[[#This Row],[Occupation]]="Skilled manual","Blue collar",IF(Table1_1[[#This Row],[Occupation]]="Manual","Blue collar","White collar"))</f>
        <v>Blue collar</v>
      </c>
    </row>
    <row r="88" spans="1:22" x14ac:dyDescent="0.3">
      <c r="A88" t="s">
        <v>122</v>
      </c>
      <c r="B88" s="6" t="s">
        <v>1044</v>
      </c>
      <c r="C88" s="6" t="s">
        <v>1046</v>
      </c>
      <c r="D88" s="3">
        <v>130000</v>
      </c>
      <c r="E88">
        <v>3</v>
      </c>
      <c r="F88" s="6" t="s">
        <v>19</v>
      </c>
      <c r="G88" s="6" t="s">
        <v>21</v>
      </c>
      <c r="H88" s="6" t="s">
        <v>18</v>
      </c>
      <c r="I88">
        <v>3</v>
      </c>
      <c r="J88" t="s">
        <v>16</v>
      </c>
      <c r="K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8" s="6" t="s">
        <v>17</v>
      </c>
      <c r="M88" s="7">
        <v>51</v>
      </c>
      <c r="N88" t="s">
        <v>15</v>
      </c>
      <c r="O88" s="9" t="str">
        <f>IF(Table1_1[[#This Row],[Purchased Bike]]="yes","1","0")</f>
        <v>1</v>
      </c>
      <c r="P88" s="4" t="str">
        <f>IF(Table1_1[[#This Row],[Income]]&lt;=30000,"Low ",IF(Table1_1[[#This Row],[Income]]&lt;=70000,"Middle","High"))</f>
        <v>High</v>
      </c>
      <c r="Q88" s="6" t="str">
        <f>IF(Table1_1[[#This Row],[Age]]&lt;30,"Young",IF(Table1_1[[#This Row],[Age]]&lt;50,"Middle aged","Senior citizen"))</f>
        <v>Senior citizen</v>
      </c>
      <c r="R88" s="7">
        <f>IF(Table1_1[[#This Row],[Marriedarital SingletatuSingle]]="M",Table1_1[[#This Row],[Children]]+2,Table1_1[[#This Row],[Children]]+1)</f>
        <v>4</v>
      </c>
      <c r="S88" s="4" t="str">
        <f>IF(Table1_1[[#This Row],[Cars]]=0,"No","Yes")</f>
        <v>Yes</v>
      </c>
      <c r="T88" s="6" t="str">
        <f>IF(AND(Table1_1[[#This Row],[Income]]&gt;50000,Table1_1[[#This Row],[Home Owner]]="Yes"),"High stability","Low stability")</f>
        <v>Low stability</v>
      </c>
      <c r="U88" s="3">
        <f>Table1_1[[#This Row],[Income]]/Table1_1[[#This Row],[Family size]]</f>
        <v>32500</v>
      </c>
      <c r="V88" s="6" t="str">
        <f>IF(Table1_1[[#This Row],[Occupation]]="Skilled manual","Blue collar",IF(Table1_1[[#This Row],[Occupation]]="Manual","Blue collar","White collar"))</f>
        <v>White collar</v>
      </c>
    </row>
    <row r="89" spans="1:22" x14ac:dyDescent="0.3">
      <c r="A89" t="s">
        <v>123</v>
      </c>
      <c r="B89" s="6" t="s">
        <v>1042</v>
      </c>
      <c r="C89" s="6" t="s">
        <v>1046</v>
      </c>
      <c r="D89" s="3">
        <v>80000</v>
      </c>
      <c r="E89">
        <v>5</v>
      </c>
      <c r="F89" s="6" t="s">
        <v>13</v>
      </c>
      <c r="G89" s="6" t="s">
        <v>21</v>
      </c>
      <c r="H89" s="6" t="s">
        <v>15</v>
      </c>
      <c r="I89">
        <v>4</v>
      </c>
      <c r="J89" t="s">
        <v>26</v>
      </c>
      <c r="K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9" s="6" t="s">
        <v>24</v>
      </c>
      <c r="M89" s="7">
        <v>40</v>
      </c>
      <c r="N89" t="s">
        <v>18</v>
      </c>
      <c r="O89" s="9" t="str">
        <f>IF(Table1_1[[#This Row],[Purchased Bike]]="yes","1","0")</f>
        <v>0</v>
      </c>
      <c r="P89" s="4" t="str">
        <f>IF(Table1_1[[#This Row],[Income]]&lt;=30000,"Low ",IF(Table1_1[[#This Row],[Income]]&lt;=70000,"Middle","High"))</f>
        <v>High</v>
      </c>
      <c r="Q89" s="6" t="str">
        <f>IF(Table1_1[[#This Row],[Age]]&lt;30,"Young",IF(Table1_1[[#This Row],[Age]]&lt;50,"Middle aged","Senior citizen"))</f>
        <v>Middle aged</v>
      </c>
      <c r="R89" s="7">
        <f>IF(Table1_1[[#This Row],[Marriedarital SingletatuSingle]]="M",Table1_1[[#This Row],[Children]]+2,Table1_1[[#This Row],[Children]]+1)</f>
        <v>6</v>
      </c>
      <c r="S89" s="4" t="str">
        <f>IF(Table1_1[[#This Row],[Cars]]=0,"No","Yes")</f>
        <v>Yes</v>
      </c>
      <c r="T89" s="6" t="str">
        <f>IF(AND(Table1_1[[#This Row],[Income]]&gt;50000,Table1_1[[#This Row],[Home Owner]]="Yes"),"High stability","Low stability")</f>
        <v>High stability</v>
      </c>
      <c r="U89" s="3">
        <f>Table1_1[[#This Row],[Income]]/Table1_1[[#This Row],[Family size]]</f>
        <v>13333.333333333334</v>
      </c>
      <c r="V89" s="6" t="str">
        <f>IF(Table1_1[[#This Row],[Occupation]]="Skilled manual","Blue collar",IF(Table1_1[[#This Row],[Occupation]]="Manual","Blue collar","White collar"))</f>
        <v>White collar</v>
      </c>
    </row>
    <row r="90" spans="1:22" x14ac:dyDescent="0.3">
      <c r="A90" t="s">
        <v>124</v>
      </c>
      <c r="B90" s="6" t="s">
        <v>1044</v>
      </c>
      <c r="C90" s="6" t="s">
        <v>1046</v>
      </c>
      <c r="D90" s="3">
        <v>30000</v>
      </c>
      <c r="E90">
        <v>0</v>
      </c>
      <c r="F90" s="6" t="s">
        <v>19</v>
      </c>
      <c r="G90" s="6" t="s">
        <v>20</v>
      </c>
      <c r="H90" s="6" t="s">
        <v>18</v>
      </c>
      <c r="I90">
        <v>1</v>
      </c>
      <c r="J90" t="s">
        <v>22</v>
      </c>
      <c r="K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0" s="6" t="s">
        <v>17</v>
      </c>
      <c r="M90" s="7">
        <v>29</v>
      </c>
      <c r="N90" t="s">
        <v>18</v>
      </c>
      <c r="O90" s="9" t="str">
        <f>IF(Table1_1[[#This Row],[Purchased Bike]]="yes","1","0")</f>
        <v>0</v>
      </c>
      <c r="P90" s="4" t="str">
        <f>IF(Table1_1[[#This Row],[Income]]&lt;=30000,"Low ",IF(Table1_1[[#This Row],[Income]]&lt;=70000,"Middle","High"))</f>
        <v xml:space="preserve">Low </v>
      </c>
      <c r="Q90" s="6" t="str">
        <f>IF(Table1_1[[#This Row],[Age]]&lt;30,"Young",IF(Table1_1[[#This Row],[Age]]&lt;50,"Middle aged","Senior citizen"))</f>
        <v>Young</v>
      </c>
      <c r="R90" s="7">
        <f>IF(Table1_1[[#This Row],[Marriedarital SingletatuSingle]]="M",Table1_1[[#This Row],[Children]]+2,Table1_1[[#This Row],[Children]]+1)</f>
        <v>1</v>
      </c>
      <c r="S90" s="4" t="str">
        <f>IF(Table1_1[[#This Row],[Cars]]=0,"No","Yes")</f>
        <v>Yes</v>
      </c>
      <c r="T90" s="6" t="str">
        <f>IF(AND(Table1_1[[#This Row],[Income]]&gt;50000,Table1_1[[#This Row],[Home Owner]]="Yes"),"High stability","Low stability")</f>
        <v>Low stability</v>
      </c>
      <c r="U90" s="3">
        <f>Table1_1[[#This Row],[Income]]/Table1_1[[#This Row],[Family size]]</f>
        <v>30000</v>
      </c>
      <c r="V90" s="6" t="str">
        <f>IF(Table1_1[[#This Row],[Occupation]]="Skilled manual","Blue collar",IF(Table1_1[[#This Row],[Occupation]]="Manual","Blue collar","White collar"))</f>
        <v>White collar</v>
      </c>
    </row>
    <row r="91" spans="1:22" x14ac:dyDescent="0.3">
      <c r="A91" t="s">
        <v>125</v>
      </c>
      <c r="B91" s="6" t="s">
        <v>1042</v>
      </c>
      <c r="C91" s="6" t="s">
        <v>1046</v>
      </c>
      <c r="D91" s="3">
        <v>20000</v>
      </c>
      <c r="E91">
        <v>1</v>
      </c>
      <c r="F91" s="6" t="s">
        <v>27</v>
      </c>
      <c r="G91" s="6" t="s">
        <v>25</v>
      </c>
      <c r="H91" s="6" t="s">
        <v>18</v>
      </c>
      <c r="I91">
        <v>1</v>
      </c>
      <c r="J91" t="s">
        <v>26</v>
      </c>
      <c r="K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1" s="6" t="s">
        <v>17</v>
      </c>
      <c r="M91" s="7">
        <v>40</v>
      </c>
      <c r="N91" t="s">
        <v>15</v>
      </c>
      <c r="O91" s="9" t="str">
        <f>IF(Table1_1[[#This Row],[Purchased Bike]]="yes","1","0")</f>
        <v>1</v>
      </c>
      <c r="P91" s="4" t="str">
        <f>IF(Table1_1[[#This Row],[Income]]&lt;=30000,"Low ",IF(Table1_1[[#This Row],[Income]]&lt;=70000,"Middle","High"))</f>
        <v xml:space="preserve">Low </v>
      </c>
      <c r="Q91" s="6" t="str">
        <f>IF(Table1_1[[#This Row],[Age]]&lt;30,"Young",IF(Table1_1[[#This Row],[Age]]&lt;50,"Middle aged","Senior citizen"))</f>
        <v>Middle aged</v>
      </c>
      <c r="R91" s="7">
        <f>IF(Table1_1[[#This Row],[Marriedarital SingletatuSingle]]="M",Table1_1[[#This Row],[Children]]+2,Table1_1[[#This Row],[Children]]+1)</f>
        <v>2</v>
      </c>
      <c r="S91" s="4" t="str">
        <f>IF(Table1_1[[#This Row],[Cars]]=0,"No","Yes")</f>
        <v>Yes</v>
      </c>
      <c r="T91" s="6" t="str">
        <f>IF(AND(Table1_1[[#This Row],[Income]]&gt;50000,Table1_1[[#This Row],[Home Owner]]="Yes"),"High stability","Low stability")</f>
        <v>Low stability</v>
      </c>
      <c r="U91" s="3">
        <f>Table1_1[[#This Row],[Income]]/Table1_1[[#This Row],[Family size]]</f>
        <v>10000</v>
      </c>
      <c r="V91" s="6" t="str">
        <f>IF(Table1_1[[#This Row],[Occupation]]="Skilled manual","Blue collar",IF(Table1_1[[#This Row],[Occupation]]="Manual","Blue collar","White collar"))</f>
        <v>Blue collar</v>
      </c>
    </row>
    <row r="92" spans="1:22" x14ac:dyDescent="0.3">
      <c r="A92" t="s">
        <v>126</v>
      </c>
      <c r="B92" s="6" t="s">
        <v>1044</v>
      </c>
      <c r="C92" s="6" t="s">
        <v>1045</v>
      </c>
      <c r="D92" s="3">
        <v>30000</v>
      </c>
      <c r="E92">
        <v>0</v>
      </c>
      <c r="F92" s="6" t="s">
        <v>19</v>
      </c>
      <c r="G92" s="6" t="s">
        <v>20</v>
      </c>
      <c r="H92" s="6" t="s">
        <v>18</v>
      </c>
      <c r="I92">
        <v>1</v>
      </c>
      <c r="J92" t="s">
        <v>16</v>
      </c>
      <c r="K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2" s="6" t="s">
        <v>17</v>
      </c>
      <c r="M92" s="7">
        <v>29</v>
      </c>
      <c r="N92" t="s">
        <v>15</v>
      </c>
      <c r="O92" s="9" t="str">
        <f>IF(Table1_1[[#This Row],[Purchased Bike]]="yes","1","0")</f>
        <v>1</v>
      </c>
      <c r="P92" s="4" t="str">
        <f>IF(Table1_1[[#This Row],[Income]]&lt;=30000,"Low ",IF(Table1_1[[#This Row],[Income]]&lt;=70000,"Middle","High"))</f>
        <v xml:space="preserve">Low </v>
      </c>
      <c r="Q92" s="6" t="str">
        <f>IF(Table1_1[[#This Row],[Age]]&lt;30,"Young",IF(Table1_1[[#This Row],[Age]]&lt;50,"Middle aged","Senior citizen"))</f>
        <v>Young</v>
      </c>
      <c r="R92" s="7">
        <f>IF(Table1_1[[#This Row],[Marriedarital SingletatuSingle]]="M",Table1_1[[#This Row],[Children]]+2,Table1_1[[#This Row],[Children]]+1)</f>
        <v>1</v>
      </c>
      <c r="S92" s="4" t="str">
        <f>IF(Table1_1[[#This Row],[Cars]]=0,"No","Yes")</f>
        <v>Yes</v>
      </c>
      <c r="T92" s="6" t="str">
        <f>IF(AND(Table1_1[[#This Row],[Income]]&gt;50000,Table1_1[[#This Row],[Home Owner]]="Yes"),"High stability","Low stability")</f>
        <v>Low stability</v>
      </c>
      <c r="U92" s="3">
        <f>Table1_1[[#This Row],[Income]]/Table1_1[[#This Row],[Family size]]</f>
        <v>30000</v>
      </c>
      <c r="V92" s="6" t="str">
        <f>IF(Table1_1[[#This Row],[Occupation]]="Skilled manual","Blue collar",IF(Table1_1[[#This Row],[Occupation]]="Manual","Blue collar","White collar"))</f>
        <v>White collar</v>
      </c>
    </row>
    <row r="93" spans="1:22" x14ac:dyDescent="0.3">
      <c r="A93" t="s">
        <v>127</v>
      </c>
      <c r="B93" s="6" t="s">
        <v>1044</v>
      </c>
      <c r="C93" s="6" t="s">
        <v>1046</v>
      </c>
      <c r="D93" s="3">
        <v>30000</v>
      </c>
      <c r="E93">
        <v>0</v>
      </c>
      <c r="F93" s="6" t="s">
        <v>19</v>
      </c>
      <c r="G93" s="6" t="s">
        <v>20</v>
      </c>
      <c r="H93" s="6" t="s">
        <v>18</v>
      </c>
      <c r="I93">
        <v>1</v>
      </c>
      <c r="J93" t="s">
        <v>16</v>
      </c>
      <c r="K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3" s="6" t="s">
        <v>17</v>
      </c>
      <c r="M93" s="7">
        <v>30</v>
      </c>
      <c r="N93" t="s">
        <v>15</v>
      </c>
      <c r="O93" s="9" t="str">
        <f>IF(Table1_1[[#This Row],[Purchased Bike]]="yes","1","0")</f>
        <v>1</v>
      </c>
      <c r="P93" s="4" t="str">
        <f>IF(Table1_1[[#This Row],[Income]]&lt;=30000,"Low ",IF(Table1_1[[#This Row],[Income]]&lt;=70000,"Middle","High"))</f>
        <v xml:space="preserve">Low </v>
      </c>
      <c r="Q93" s="6" t="str">
        <f>IF(Table1_1[[#This Row],[Age]]&lt;30,"Young",IF(Table1_1[[#This Row],[Age]]&lt;50,"Middle aged","Senior citizen"))</f>
        <v>Middle aged</v>
      </c>
      <c r="R93" s="7">
        <f>IF(Table1_1[[#This Row],[Marriedarital SingletatuSingle]]="M",Table1_1[[#This Row],[Children]]+2,Table1_1[[#This Row],[Children]]+1)</f>
        <v>1</v>
      </c>
      <c r="S93" s="4" t="str">
        <f>IF(Table1_1[[#This Row],[Cars]]=0,"No","Yes")</f>
        <v>Yes</v>
      </c>
      <c r="T93" s="6" t="str">
        <f>IF(AND(Table1_1[[#This Row],[Income]]&gt;50000,Table1_1[[#This Row],[Home Owner]]="Yes"),"High stability","Low stability")</f>
        <v>Low stability</v>
      </c>
      <c r="U93" s="3">
        <f>Table1_1[[#This Row],[Income]]/Table1_1[[#This Row],[Family size]]</f>
        <v>30000</v>
      </c>
      <c r="V93" s="6" t="str">
        <f>IF(Table1_1[[#This Row],[Occupation]]="Skilled manual","Blue collar",IF(Table1_1[[#This Row],[Occupation]]="Manual","Blue collar","White collar"))</f>
        <v>White collar</v>
      </c>
    </row>
    <row r="94" spans="1:22" x14ac:dyDescent="0.3">
      <c r="A94" t="s">
        <v>128</v>
      </c>
      <c r="B94" s="6" t="s">
        <v>1044</v>
      </c>
      <c r="C94" s="6" t="s">
        <v>1045</v>
      </c>
      <c r="D94" s="3">
        <v>60000</v>
      </c>
      <c r="E94">
        <v>2</v>
      </c>
      <c r="F94" s="6" t="s">
        <v>13</v>
      </c>
      <c r="G94" s="6" t="s">
        <v>21</v>
      </c>
      <c r="H94" s="6" t="s">
        <v>15</v>
      </c>
      <c r="I94">
        <v>1</v>
      </c>
      <c r="J94" t="s">
        <v>22</v>
      </c>
      <c r="K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4" s="6" t="s">
        <v>24</v>
      </c>
      <c r="M94" s="7">
        <v>37</v>
      </c>
      <c r="N94" t="s">
        <v>15</v>
      </c>
      <c r="O94" s="9" t="str">
        <f>IF(Table1_1[[#This Row],[Purchased Bike]]="yes","1","0")</f>
        <v>1</v>
      </c>
      <c r="P94" s="4" t="str">
        <f>IF(Table1_1[[#This Row],[Income]]&lt;=30000,"Low ",IF(Table1_1[[#This Row],[Income]]&lt;=70000,"Middle","High"))</f>
        <v>Middle</v>
      </c>
      <c r="Q94" s="6" t="str">
        <f>IF(Table1_1[[#This Row],[Age]]&lt;30,"Young",IF(Table1_1[[#This Row],[Age]]&lt;50,"Middle aged","Senior citizen"))</f>
        <v>Middle aged</v>
      </c>
      <c r="R94" s="7">
        <f>IF(Table1_1[[#This Row],[Marriedarital SingletatuSingle]]="M",Table1_1[[#This Row],[Children]]+2,Table1_1[[#This Row],[Children]]+1)</f>
        <v>3</v>
      </c>
      <c r="S94" s="4" t="str">
        <f>IF(Table1_1[[#This Row],[Cars]]=0,"No","Yes")</f>
        <v>Yes</v>
      </c>
      <c r="T94" s="6" t="str">
        <f>IF(AND(Table1_1[[#This Row],[Income]]&gt;50000,Table1_1[[#This Row],[Home Owner]]="Yes"),"High stability","Low stability")</f>
        <v>High stability</v>
      </c>
      <c r="U94" s="3">
        <f>Table1_1[[#This Row],[Income]]/Table1_1[[#This Row],[Family size]]</f>
        <v>20000</v>
      </c>
      <c r="V94" s="6" t="str">
        <f>IF(Table1_1[[#This Row],[Occupation]]="Skilled manual","Blue collar",IF(Table1_1[[#This Row],[Occupation]]="Manual","Blue collar","White collar"))</f>
        <v>White collar</v>
      </c>
    </row>
    <row r="95" spans="1:22" x14ac:dyDescent="0.3">
      <c r="A95" t="s">
        <v>129</v>
      </c>
      <c r="B95" s="6" t="s">
        <v>1044</v>
      </c>
      <c r="C95" s="6" t="s">
        <v>1045</v>
      </c>
      <c r="D95" s="3">
        <v>30000</v>
      </c>
      <c r="E95">
        <v>0</v>
      </c>
      <c r="F95" s="6" t="s">
        <v>19</v>
      </c>
      <c r="G95" s="6" t="s">
        <v>20</v>
      </c>
      <c r="H95" s="6" t="s">
        <v>18</v>
      </c>
      <c r="I95">
        <v>1</v>
      </c>
      <c r="J95" t="s">
        <v>22</v>
      </c>
      <c r="K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5" s="6" t="s">
        <v>17</v>
      </c>
      <c r="M95" s="7">
        <v>33</v>
      </c>
      <c r="N95" t="s">
        <v>18</v>
      </c>
      <c r="O95" s="9" t="str">
        <f>IF(Table1_1[[#This Row],[Purchased Bike]]="yes","1","0")</f>
        <v>0</v>
      </c>
      <c r="P95" s="4" t="str">
        <f>IF(Table1_1[[#This Row],[Income]]&lt;=30000,"Low ",IF(Table1_1[[#This Row],[Income]]&lt;=70000,"Middle","High"))</f>
        <v xml:space="preserve">Low </v>
      </c>
      <c r="Q95" s="6" t="str">
        <f>IF(Table1_1[[#This Row],[Age]]&lt;30,"Young",IF(Table1_1[[#This Row],[Age]]&lt;50,"Middle aged","Senior citizen"))</f>
        <v>Middle aged</v>
      </c>
      <c r="R95" s="7">
        <f>IF(Table1_1[[#This Row],[Marriedarital SingletatuSingle]]="M",Table1_1[[#This Row],[Children]]+2,Table1_1[[#This Row],[Children]]+1)</f>
        <v>1</v>
      </c>
      <c r="S95" s="4" t="str">
        <f>IF(Table1_1[[#This Row],[Cars]]=0,"No","Yes")</f>
        <v>Yes</v>
      </c>
      <c r="T95" s="6" t="str">
        <f>IF(AND(Table1_1[[#This Row],[Income]]&gt;50000,Table1_1[[#This Row],[Home Owner]]="Yes"),"High stability","Low stability")</f>
        <v>Low stability</v>
      </c>
      <c r="U95" s="3">
        <f>Table1_1[[#This Row],[Income]]/Table1_1[[#This Row],[Family size]]</f>
        <v>30000</v>
      </c>
      <c r="V95" s="6" t="str">
        <f>IF(Table1_1[[#This Row],[Occupation]]="Skilled manual","Blue collar",IF(Table1_1[[#This Row],[Occupation]]="Manual","Blue collar","White collar"))</f>
        <v>White collar</v>
      </c>
    </row>
    <row r="96" spans="1:22" x14ac:dyDescent="0.3">
      <c r="A96" t="s">
        <v>130</v>
      </c>
      <c r="B96" s="6" t="s">
        <v>1044</v>
      </c>
      <c r="C96" s="6" t="s">
        <v>1045</v>
      </c>
      <c r="D96" s="3">
        <v>30000</v>
      </c>
      <c r="E96">
        <v>3</v>
      </c>
      <c r="F96" s="6" t="s">
        <v>27</v>
      </c>
      <c r="G96" s="6" t="s">
        <v>14</v>
      </c>
      <c r="H96" s="6" t="s">
        <v>15</v>
      </c>
      <c r="I96">
        <v>2</v>
      </c>
      <c r="J96" t="s">
        <v>23</v>
      </c>
      <c r="K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6" s="6" t="s">
        <v>24</v>
      </c>
      <c r="M96" s="7">
        <v>55</v>
      </c>
      <c r="N96" t="s">
        <v>18</v>
      </c>
      <c r="O96" s="9" t="str">
        <f>IF(Table1_1[[#This Row],[Purchased Bike]]="yes","1","0")</f>
        <v>0</v>
      </c>
      <c r="P96" s="4" t="str">
        <f>IF(Table1_1[[#This Row],[Income]]&lt;=30000,"Low ",IF(Table1_1[[#This Row],[Income]]&lt;=70000,"Middle","High"))</f>
        <v xml:space="preserve">Low </v>
      </c>
      <c r="Q96" s="6" t="str">
        <f>IF(Table1_1[[#This Row],[Age]]&lt;30,"Young",IF(Table1_1[[#This Row],[Age]]&lt;50,"Middle aged","Senior citizen"))</f>
        <v>Senior citizen</v>
      </c>
      <c r="R96" s="7">
        <f>IF(Table1_1[[#This Row],[Marriedarital SingletatuSingle]]="M",Table1_1[[#This Row],[Children]]+2,Table1_1[[#This Row],[Children]]+1)</f>
        <v>4</v>
      </c>
      <c r="S96" s="4" t="str">
        <f>IF(Table1_1[[#This Row],[Cars]]=0,"No","Yes")</f>
        <v>Yes</v>
      </c>
      <c r="T96" s="6" t="str">
        <f>IF(AND(Table1_1[[#This Row],[Income]]&gt;50000,Table1_1[[#This Row],[Home Owner]]="Yes"),"High stability","Low stability")</f>
        <v>Low stability</v>
      </c>
      <c r="U96" s="3">
        <f>Table1_1[[#This Row],[Income]]/Table1_1[[#This Row],[Family size]]</f>
        <v>7500</v>
      </c>
      <c r="V96" s="6" t="str">
        <f>IF(Table1_1[[#This Row],[Occupation]]="Skilled manual","Blue collar",IF(Table1_1[[#This Row],[Occupation]]="Manual","Blue collar","White collar"))</f>
        <v>Blue collar</v>
      </c>
    </row>
    <row r="97" spans="1:22" x14ac:dyDescent="0.3">
      <c r="A97" t="s">
        <v>131</v>
      </c>
      <c r="B97" s="6" t="s">
        <v>1044</v>
      </c>
      <c r="C97" s="6" t="s">
        <v>1045</v>
      </c>
      <c r="D97" s="3">
        <v>90000</v>
      </c>
      <c r="E97">
        <v>5</v>
      </c>
      <c r="F97" s="6" t="s">
        <v>19</v>
      </c>
      <c r="G97" s="6" t="s">
        <v>21</v>
      </c>
      <c r="H97" s="6" t="s">
        <v>15</v>
      </c>
      <c r="I97">
        <v>2</v>
      </c>
      <c r="J97" t="s">
        <v>30</v>
      </c>
      <c r="K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7" s="6" t="s">
        <v>17</v>
      </c>
      <c r="M97" s="7">
        <v>62</v>
      </c>
      <c r="N97" t="s">
        <v>18</v>
      </c>
      <c r="O97" s="9" t="str">
        <f>IF(Table1_1[[#This Row],[Purchased Bike]]="yes","1","0")</f>
        <v>0</v>
      </c>
      <c r="P97" s="4" t="str">
        <f>IF(Table1_1[[#This Row],[Income]]&lt;=30000,"Low ",IF(Table1_1[[#This Row],[Income]]&lt;=70000,"Middle","High"))</f>
        <v>High</v>
      </c>
      <c r="Q97" s="6" t="str">
        <f>IF(Table1_1[[#This Row],[Age]]&lt;30,"Young",IF(Table1_1[[#This Row],[Age]]&lt;50,"Middle aged","Senior citizen"))</f>
        <v>Senior citizen</v>
      </c>
      <c r="R97" s="7">
        <f>IF(Table1_1[[#This Row],[Marriedarital SingletatuSingle]]="M",Table1_1[[#This Row],[Children]]+2,Table1_1[[#This Row],[Children]]+1)</f>
        <v>6</v>
      </c>
      <c r="S97" s="4" t="str">
        <f>IF(Table1_1[[#This Row],[Cars]]=0,"No","Yes")</f>
        <v>Yes</v>
      </c>
      <c r="T97" s="6" t="str">
        <f>IF(AND(Table1_1[[#This Row],[Income]]&gt;50000,Table1_1[[#This Row],[Home Owner]]="Yes"),"High stability","Low stability")</f>
        <v>High stability</v>
      </c>
      <c r="U97" s="3">
        <f>Table1_1[[#This Row],[Income]]/Table1_1[[#This Row],[Family size]]</f>
        <v>15000</v>
      </c>
      <c r="V97" s="6" t="str">
        <f>IF(Table1_1[[#This Row],[Occupation]]="Skilled manual","Blue collar",IF(Table1_1[[#This Row],[Occupation]]="Manual","Blue collar","White collar"))</f>
        <v>White collar</v>
      </c>
    </row>
    <row r="98" spans="1:22" x14ac:dyDescent="0.3">
      <c r="A98" t="s">
        <v>132</v>
      </c>
      <c r="B98" s="6" t="s">
        <v>1042</v>
      </c>
      <c r="C98" s="6" t="s">
        <v>1046</v>
      </c>
      <c r="D98" s="3">
        <v>30000</v>
      </c>
      <c r="E98">
        <v>1</v>
      </c>
      <c r="F98" s="6" t="s">
        <v>19</v>
      </c>
      <c r="G98" s="6" t="s">
        <v>20</v>
      </c>
      <c r="H98" s="6" t="s">
        <v>15</v>
      </c>
      <c r="I98">
        <v>1</v>
      </c>
      <c r="J98" t="s">
        <v>16</v>
      </c>
      <c r="K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8" s="6" t="s">
        <v>17</v>
      </c>
      <c r="M98" s="7">
        <v>43</v>
      </c>
      <c r="N98" t="s">
        <v>18</v>
      </c>
      <c r="O98" s="9" t="str">
        <f>IF(Table1_1[[#This Row],[Purchased Bike]]="yes","1","0")</f>
        <v>0</v>
      </c>
      <c r="P98" s="4" t="str">
        <f>IF(Table1_1[[#This Row],[Income]]&lt;=30000,"Low ",IF(Table1_1[[#This Row],[Income]]&lt;=70000,"Middle","High"))</f>
        <v xml:space="preserve">Low </v>
      </c>
      <c r="Q98" s="6" t="str">
        <f>IF(Table1_1[[#This Row],[Age]]&lt;30,"Young",IF(Table1_1[[#This Row],[Age]]&lt;50,"Middle aged","Senior citizen"))</f>
        <v>Middle aged</v>
      </c>
      <c r="R98" s="7">
        <f>IF(Table1_1[[#This Row],[Marriedarital SingletatuSingle]]="M",Table1_1[[#This Row],[Children]]+2,Table1_1[[#This Row],[Children]]+1)</f>
        <v>2</v>
      </c>
      <c r="S98" s="4" t="str">
        <f>IF(Table1_1[[#This Row],[Cars]]=0,"No","Yes")</f>
        <v>Yes</v>
      </c>
      <c r="T98" s="6" t="str">
        <f>IF(AND(Table1_1[[#This Row],[Income]]&gt;50000,Table1_1[[#This Row],[Home Owner]]="Yes"),"High stability","Low stability")</f>
        <v>Low stability</v>
      </c>
      <c r="U98" s="3">
        <f>Table1_1[[#This Row],[Income]]/Table1_1[[#This Row],[Family size]]</f>
        <v>15000</v>
      </c>
      <c r="V98" s="6" t="str">
        <f>IF(Table1_1[[#This Row],[Occupation]]="Skilled manual","Blue collar",IF(Table1_1[[#This Row],[Occupation]]="Manual","Blue collar","White collar"))</f>
        <v>White collar</v>
      </c>
    </row>
    <row r="99" spans="1:22" x14ac:dyDescent="0.3">
      <c r="A99" t="s">
        <v>133</v>
      </c>
      <c r="B99" s="6" t="s">
        <v>1042</v>
      </c>
      <c r="C99" s="6" t="s">
        <v>1046</v>
      </c>
      <c r="D99" s="3">
        <v>40000</v>
      </c>
      <c r="E99">
        <v>1</v>
      </c>
      <c r="F99" s="6" t="s">
        <v>13</v>
      </c>
      <c r="G99" s="6" t="s">
        <v>14</v>
      </c>
      <c r="H99" s="6" t="s">
        <v>15</v>
      </c>
      <c r="I99">
        <v>1</v>
      </c>
      <c r="J99" t="s">
        <v>16</v>
      </c>
      <c r="K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9" s="6" t="s">
        <v>17</v>
      </c>
      <c r="M99" s="7">
        <v>44</v>
      </c>
      <c r="N99" t="s">
        <v>15</v>
      </c>
      <c r="O99" s="9" t="str">
        <f>IF(Table1_1[[#This Row],[Purchased Bike]]="yes","1","0")</f>
        <v>1</v>
      </c>
      <c r="P99" s="4" t="str">
        <f>IF(Table1_1[[#This Row],[Income]]&lt;=30000,"Low ",IF(Table1_1[[#This Row],[Income]]&lt;=70000,"Middle","High"))</f>
        <v>Middle</v>
      </c>
      <c r="Q99" s="6" t="str">
        <f>IF(Table1_1[[#This Row],[Age]]&lt;30,"Young",IF(Table1_1[[#This Row],[Age]]&lt;50,"Middle aged","Senior citizen"))</f>
        <v>Middle aged</v>
      </c>
      <c r="R99" s="7">
        <f>IF(Table1_1[[#This Row],[Marriedarital SingletatuSingle]]="M",Table1_1[[#This Row],[Children]]+2,Table1_1[[#This Row],[Children]]+1)</f>
        <v>2</v>
      </c>
      <c r="S99" s="4" t="str">
        <f>IF(Table1_1[[#This Row],[Cars]]=0,"No","Yes")</f>
        <v>Yes</v>
      </c>
      <c r="T99" s="6" t="str">
        <f>IF(AND(Table1_1[[#This Row],[Income]]&gt;50000,Table1_1[[#This Row],[Home Owner]]="Yes"),"High stability","Low stability")</f>
        <v>Low stability</v>
      </c>
      <c r="U99" s="3">
        <f>Table1_1[[#This Row],[Income]]/Table1_1[[#This Row],[Family size]]</f>
        <v>20000</v>
      </c>
      <c r="V99" s="6" t="str">
        <f>IF(Table1_1[[#This Row],[Occupation]]="Skilled manual","Blue collar",IF(Table1_1[[#This Row],[Occupation]]="Manual","Blue collar","White collar"))</f>
        <v>Blue collar</v>
      </c>
    </row>
    <row r="100" spans="1:22" x14ac:dyDescent="0.3">
      <c r="A100" t="s">
        <v>134</v>
      </c>
      <c r="B100" s="6" t="s">
        <v>1042</v>
      </c>
      <c r="C100" s="6" t="s">
        <v>1046</v>
      </c>
      <c r="D100" s="3">
        <v>40000</v>
      </c>
      <c r="E100">
        <v>0</v>
      </c>
      <c r="F100" s="6" t="s">
        <v>31</v>
      </c>
      <c r="G100" s="6" t="s">
        <v>20</v>
      </c>
      <c r="H100" s="6" t="s">
        <v>15</v>
      </c>
      <c r="I100">
        <v>0</v>
      </c>
      <c r="J100" t="s">
        <v>16</v>
      </c>
      <c r="K1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00" s="6" t="s">
        <v>17</v>
      </c>
      <c r="M100" s="7">
        <v>25</v>
      </c>
      <c r="N100" t="s">
        <v>15</v>
      </c>
      <c r="O100" s="9" t="str">
        <f>IF(Table1_1[[#This Row],[Purchased Bike]]="yes","1","0")</f>
        <v>1</v>
      </c>
      <c r="P100" s="4" t="str">
        <f>IF(Table1_1[[#This Row],[Income]]&lt;=30000,"Low ",IF(Table1_1[[#This Row],[Income]]&lt;=70000,"Middle","High"))</f>
        <v>Middle</v>
      </c>
      <c r="Q100" s="6" t="str">
        <f>IF(Table1_1[[#This Row],[Age]]&lt;30,"Young",IF(Table1_1[[#This Row],[Age]]&lt;50,"Middle aged","Senior citizen"))</f>
        <v>Young</v>
      </c>
      <c r="R100" s="7">
        <f>IF(Table1_1[[#This Row],[Marriedarital SingletatuSingle]]="M",Table1_1[[#This Row],[Children]]+2,Table1_1[[#This Row],[Children]]+1)</f>
        <v>1</v>
      </c>
      <c r="S100" s="4" t="str">
        <f>IF(Table1_1[[#This Row],[Cars]]=0,"No","Yes")</f>
        <v>No</v>
      </c>
      <c r="T100" s="6" t="str">
        <f>IF(AND(Table1_1[[#This Row],[Income]]&gt;50000,Table1_1[[#This Row],[Home Owner]]="Yes"),"High stability","Low stability")</f>
        <v>Low stability</v>
      </c>
      <c r="U100" s="3">
        <f>Table1_1[[#This Row],[Income]]/Table1_1[[#This Row],[Family size]]</f>
        <v>40000</v>
      </c>
      <c r="V100" s="6" t="str">
        <f>IF(Table1_1[[#This Row],[Occupation]]="Skilled manual","Blue collar",IF(Table1_1[[#This Row],[Occupation]]="Manual","Blue collar","White collar"))</f>
        <v>White collar</v>
      </c>
    </row>
    <row r="101" spans="1:22" x14ac:dyDescent="0.3">
      <c r="A101" t="s">
        <v>135</v>
      </c>
      <c r="B101" s="6" t="s">
        <v>1042</v>
      </c>
      <c r="C101" s="6" t="s">
        <v>1045</v>
      </c>
      <c r="D101" s="3">
        <v>20000</v>
      </c>
      <c r="E101">
        <v>3</v>
      </c>
      <c r="F101" s="6" t="s">
        <v>27</v>
      </c>
      <c r="G101" s="6" t="s">
        <v>25</v>
      </c>
      <c r="H101" s="6" t="s">
        <v>15</v>
      </c>
      <c r="I101">
        <v>2</v>
      </c>
      <c r="J101" t="s">
        <v>16</v>
      </c>
      <c r="K1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01" s="6" t="s">
        <v>17</v>
      </c>
      <c r="M101" s="7">
        <v>43</v>
      </c>
      <c r="N101" t="s">
        <v>18</v>
      </c>
      <c r="O101" s="9" t="str">
        <f>IF(Table1_1[[#This Row],[Purchased Bike]]="yes","1","0")</f>
        <v>0</v>
      </c>
      <c r="P101" s="4" t="str">
        <f>IF(Table1_1[[#This Row],[Income]]&lt;=30000,"Low ",IF(Table1_1[[#This Row],[Income]]&lt;=70000,"Middle","High"))</f>
        <v xml:space="preserve">Low </v>
      </c>
      <c r="Q101" s="6" t="str">
        <f>IF(Table1_1[[#This Row],[Age]]&lt;30,"Young",IF(Table1_1[[#This Row],[Age]]&lt;50,"Middle aged","Senior citizen"))</f>
        <v>Middle aged</v>
      </c>
      <c r="R101" s="7">
        <f>IF(Table1_1[[#This Row],[Marriedarital SingletatuSingle]]="M",Table1_1[[#This Row],[Children]]+2,Table1_1[[#This Row],[Children]]+1)</f>
        <v>4</v>
      </c>
      <c r="S101" s="4" t="str">
        <f>IF(Table1_1[[#This Row],[Cars]]=0,"No","Yes")</f>
        <v>Yes</v>
      </c>
      <c r="T101" s="6" t="str">
        <f>IF(AND(Table1_1[[#This Row],[Income]]&gt;50000,Table1_1[[#This Row],[Home Owner]]="Yes"),"High stability","Low stability")</f>
        <v>Low stability</v>
      </c>
      <c r="U101" s="3">
        <f>Table1_1[[#This Row],[Income]]/Table1_1[[#This Row],[Family size]]</f>
        <v>5000</v>
      </c>
      <c r="V101" s="6" t="str">
        <f>IF(Table1_1[[#This Row],[Occupation]]="Skilled manual","Blue collar",IF(Table1_1[[#This Row],[Occupation]]="Manual","Blue collar","White collar"))</f>
        <v>Blue collar</v>
      </c>
    </row>
    <row r="102" spans="1:22" x14ac:dyDescent="0.3">
      <c r="A102" t="s">
        <v>136</v>
      </c>
      <c r="B102" s="6" t="s">
        <v>1044</v>
      </c>
      <c r="C102" s="6" t="s">
        <v>1046</v>
      </c>
      <c r="D102" s="3">
        <v>10000</v>
      </c>
      <c r="E102">
        <v>2</v>
      </c>
      <c r="F102" s="6" t="s">
        <v>27</v>
      </c>
      <c r="G102" s="6" t="s">
        <v>25</v>
      </c>
      <c r="H102" s="6" t="s">
        <v>15</v>
      </c>
      <c r="I102">
        <v>0</v>
      </c>
      <c r="J102" t="s">
        <v>16</v>
      </c>
      <c r="K10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02" s="6" t="s">
        <v>17</v>
      </c>
      <c r="M102" s="7">
        <v>35</v>
      </c>
      <c r="N102" t="s">
        <v>18</v>
      </c>
      <c r="O102" s="9" t="str">
        <f>IF(Table1_1[[#This Row],[Purchased Bike]]="yes","1","0")</f>
        <v>0</v>
      </c>
      <c r="P102" s="4" t="str">
        <f>IF(Table1_1[[#This Row],[Income]]&lt;=30000,"Low ",IF(Table1_1[[#This Row],[Income]]&lt;=70000,"Middle","High"))</f>
        <v xml:space="preserve">Low </v>
      </c>
      <c r="Q102" s="6" t="str">
        <f>IF(Table1_1[[#This Row],[Age]]&lt;30,"Young",IF(Table1_1[[#This Row],[Age]]&lt;50,"Middle aged","Senior citizen"))</f>
        <v>Middle aged</v>
      </c>
      <c r="R102" s="7">
        <f>IF(Table1_1[[#This Row],[Marriedarital SingletatuSingle]]="M",Table1_1[[#This Row],[Children]]+2,Table1_1[[#This Row],[Children]]+1)</f>
        <v>3</v>
      </c>
      <c r="S102" s="4" t="str">
        <f>IF(Table1_1[[#This Row],[Cars]]=0,"No","Yes")</f>
        <v>No</v>
      </c>
      <c r="T102" s="6" t="str">
        <f>IF(AND(Table1_1[[#This Row],[Income]]&gt;50000,Table1_1[[#This Row],[Home Owner]]="Yes"),"High stability","Low stability")</f>
        <v>Low stability</v>
      </c>
      <c r="U102" s="3">
        <f>Table1_1[[#This Row],[Income]]/Table1_1[[#This Row],[Family size]]</f>
        <v>3333.3333333333335</v>
      </c>
      <c r="V102" s="6" t="str">
        <f>IF(Table1_1[[#This Row],[Occupation]]="Skilled manual","Blue collar",IF(Table1_1[[#This Row],[Occupation]]="Manual","Blue collar","White collar"))</f>
        <v>Blue collar</v>
      </c>
    </row>
    <row r="103" spans="1:22" x14ac:dyDescent="0.3">
      <c r="A103" t="s">
        <v>137</v>
      </c>
      <c r="B103" s="6" t="s">
        <v>1044</v>
      </c>
      <c r="C103" s="6" t="s">
        <v>1046</v>
      </c>
      <c r="D103" s="3">
        <v>60000</v>
      </c>
      <c r="E103">
        <v>3</v>
      </c>
      <c r="F103" s="6" t="s">
        <v>13</v>
      </c>
      <c r="G103" s="6" t="s">
        <v>21</v>
      </c>
      <c r="H103" s="6" t="s">
        <v>18</v>
      </c>
      <c r="I103">
        <v>2</v>
      </c>
      <c r="J103" t="s">
        <v>16</v>
      </c>
      <c r="K10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03" s="6" t="s">
        <v>24</v>
      </c>
      <c r="M103" s="7">
        <v>43</v>
      </c>
      <c r="N103" t="s">
        <v>15</v>
      </c>
      <c r="O103" s="9" t="str">
        <f>IF(Table1_1[[#This Row],[Purchased Bike]]="yes","1","0")</f>
        <v>1</v>
      </c>
      <c r="P103" s="4" t="str">
        <f>IF(Table1_1[[#This Row],[Income]]&lt;=30000,"Low ",IF(Table1_1[[#This Row],[Income]]&lt;=70000,"Middle","High"))</f>
        <v>Middle</v>
      </c>
      <c r="Q103" s="6" t="str">
        <f>IF(Table1_1[[#This Row],[Age]]&lt;30,"Young",IF(Table1_1[[#This Row],[Age]]&lt;50,"Middle aged","Senior citizen"))</f>
        <v>Middle aged</v>
      </c>
      <c r="R103" s="7">
        <f>IF(Table1_1[[#This Row],[Marriedarital SingletatuSingle]]="M",Table1_1[[#This Row],[Children]]+2,Table1_1[[#This Row],[Children]]+1)</f>
        <v>4</v>
      </c>
      <c r="S103" s="4" t="str">
        <f>IF(Table1_1[[#This Row],[Cars]]=0,"No","Yes")</f>
        <v>Yes</v>
      </c>
      <c r="T103" s="6" t="str">
        <f>IF(AND(Table1_1[[#This Row],[Income]]&gt;50000,Table1_1[[#This Row],[Home Owner]]="Yes"),"High stability","Low stability")</f>
        <v>Low stability</v>
      </c>
      <c r="U103" s="3">
        <f>Table1_1[[#This Row],[Income]]/Table1_1[[#This Row],[Family size]]</f>
        <v>15000</v>
      </c>
      <c r="V103" s="6" t="str">
        <f>IF(Table1_1[[#This Row],[Occupation]]="Skilled manual","Blue collar",IF(Table1_1[[#This Row],[Occupation]]="Manual","Blue collar","White collar"))</f>
        <v>White collar</v>
      </c>
    </row>
    <row r="104" spans="1:22" x14ac:dyDescent="0.3">
      <c r="A104" t="s">
        <v>138</v>
      </c>
      <c r="B104" s="6" t="s">
        <v>1042</v>
      </c>
      <c r="C104" s="6" t="s">
        <v>1046</v>
      </c>
      <c r="D104" s="3">
        <v>10000</v>
      </c>
      <c r="E104">
        <v>2</v>
      </c>
      <c r="F104" s="6" t="s">
        <v>19</v>
      </c>
      <c r="G104" s="6" t="s">
        <v>25</v>
      </c>
      <c r="H104" s="6" t="s">
        <v>15</v>
      </c>
      <c r="I104">
        <v>0</v>
      </c>
      <c r="J104" t="s">
        <v>26</v>
      </c>
      <c r="K10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04" s="6" t="s">
        <v>17</v>
      </c>
      <c r="M104" s="7">
        <v>49</v>
      </c>
      <c r="N104" t="s">
        <v>18</v>
      </c>
      <c r="O104" s="9" t="str">
        <f>IF(Table1_1[[#This Row],[Purchased Bike]]="yes","1","0")</f>
        <v>0</v>
      </c>
      <c r="P104" s="4" t="str">
        <f>IF(Table1_1[[#This Row],[Income]]&lt;=30000,"Low ",IF(Table1_1[[#This Row],[Income]]&lt;=70000,"Middle","High"))</f>
        <v xml:space="preserve">Low </v>
      </c>
      <c r="Q104" s="6" t="str">
        <f>IF(Table1_1[[#This Row],[Age]]&lt;30,"Young",IF(Table1_1[[#This Row],[Age]]&lt;50,"Middle aged","Senior citizen"))</f>
        <v>Middle aged</v>
      </c>
      <c r="R104" s="7">
        <f>IF(Table1_1[[#This Row],[Marriedarital SingletatuSingle]]="M",Table1_1[[#This Row],[Children]]+2,Table1_1[[#This Row],[Children]]+1)</f>
        <v>3</v>
      </c>
      <c r="S104" s="4" t="str">
        <f>IF(Table1_1[[#This Row],[Cars]]=0,"No","Yes")</f>
        <v>No</v>
      </c>
      <c r="T104" s="6" t="str">
        <f>IF(AND(Table1_1[[#This Row],[Income]]&gt;50000,Table1_1[[#This Row],[Home Owner]]="Yes"),"High stability","Low stability")</f>
        <v>Low stability</v>
      </c>
      <c r="U104" s="3">
        <f>Table1_1[[#This Row],[Income]]/Table1_1[[#This Row],[Family size]]</f>
        <v>3333.3333333333335</v>
      </c>
      <c r="V104" s="6" t="str">
        <f>IF(Table1_1[[#This Row],[Occupation]]="Skilled manual","Blue collar",IF(Table1_1[[#This Row],[Occupation]]="Manual","Blue collar","White collar"))</f>
        <v>Blue collar</v>
      </c>
    </row>
    <row r="105" spans="1:22" x14ac:dyDescent="0.3">
      <c r="A105" t="s">
        <v>139</v>
      </c>
      <c r="B105" s="6" t="s">
        <v>1044</v>
      </c>
      <c r="C105" s="6" t="s">
        <v>1046</v>
      </c>
      <c r="D105" s="3">
        <v>60000</v>
      </c>
      <c r="E105">
        <v>1</v>
      </c>
      <c r="F105" s="6" t="s">
        <v>19</v>
      </c>
      <c r="G105" s="6" t="s">
        <v>14</v>
      </c>
      <c r="H105" s="6" t="s">
        <v>15</v>
      </c>
      <c r="I105">
        <v>1</v>
      </c>
      <c r="J105" t="s">
        <v>23</v>
      </c>
      <c r="K10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05" s="6" t="s">
        <v>24</v>
      </c>
      <c r="M105" s="7">
        <v>45</v>
      </c>
      <c r="N105" t="s">
        <v>18</v>
      </c>
      <c r="O105" s="9" t="str">
        <f>IF(Table1_1[[#This Row],[Purchased Bike]]="yes","1","0")</f>
        <v>0</v>
      </c>
      <c r="P105" s="4" t="str">
        <f>IF(Table1_1[[#This Row],[Income]]&lt;=30000,"Low ",IF(Table1_1[[#This Row],[Income]]&lt;=70000,"Middle","High"))</f>
        <v>Middle</v>
      </c>
      <c r="Q105" s="6" t="str">
        <f>IF(Table1_1[[#This Row],[Age]]&lt;30,"Young",IF(Table1_1[[#This Row],[Age]]&lt;50,"Middle aged","Senior citizen"))</f>
        <v>Middle aged</v>
      </c>
      <c r="R105" s="7">
        <f>IF(Table1_1[[#This Row],[Marriedarital SingletatuSingle]]="M",Table1_1[[#This Row],[Children]]+2,Table1_1[[#This Row],[Children]]+1)</f>
        <v>2</v>
      </c>
      <c r="S105" s="4" t="str">
        <f>IF(Table1_1[[#This Row],[Cars]]=0,"No","Yes")</f>
        <v>Yes</v>
      </c>
      <c r="T105" s="6" t="str">
        <f>IF(AND(Table1_1[[#This Row],[Income]]&gt;50000,Table1_1[[#This Row],[Home Owner]]="Yes"),"High stability","Low stability")</f>
        <v>High stability</v>
      </c>
      <c r="U105" s="3">
        <f>Table1_1[[#This Row],[Income]]/Table1_1[[#This Row],[Family size]]</f>
        <v>30000</v>
      </c>
      <c r="V105" s="6" t="str">
        <f>IF(Table1_1[[#This Row],[Occupation]]="Skilled manual","Blue collar",IF(Table1_1[[#This Row],[Occupation]]="Manual","Blue collar","White collar"))</f>
        <v>Blue collar</v>
      </c>
    </row>
    <row r="106" spans="1:22" x14ac:dyDescent="0.3">
      <c r="A106" t="s">
        <v>140</v>
      </c>
      <c r="B106" s="6" t="s">
        <v>1044</v>
      </c>
      <c r="C106" s="6" t="s">
        <v>1045</v>
      </c>
      <c r="D106" s="3">
        <v>70000</v>
      </c>
      <c r="E106">
        <v>2</v>
      </c>
      <c r="F106" s="6" t="s">
        <v>27</v>
      </c>
      <c r="G106" s="6" t="s">
        <v>21</v>
      </c>
      <c r="H106" s="6" t="s">
        <v>15</v>
      </c>
      <c r="I106">
        <v>2</v>
      </c>
      <c r="J106" t="s">
        <v>23</v>
      </c>
      <c r="K10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06" s="6" t="s">
        <v>24</v>
      </c>
      <c r="M106" s="7">
        <v>49</v>
      </c>
      <c r="N106" t="s">
        <v>15</v>
      </c>
      <c r="O106" s="9" t="str">
        <f>IF(Table1_1[[#This Row],[Purchased Bike]]="yes","1","0")</f>
        <v>1</v>
      </c>
      <c r="P106" s="4" t="str">
        <f>IF(Table1_1[[#This Row],[Income]]&lt;=30000,"Low ",IF(Table1_1[[#This Row],[Income]]&lt;=70000,"Middle","High"))</f>
        <v>Middle</v>
      </c>
      <c r="Q106" s="6" t="str">
        <f>IF(Table1_1[[#This Row],[Age]]&lt;30,"Young",IF(Table1_1[[#This Row],[Age]]&lt;50,"Middle aged","Senior citizen"))</f>
        <v>Middle aged</v>
      </c>
      <c r="R106" s="7">
        <f>IF(Table1_1[[#This Row],[Marriedarital SingletatuSingle]]="M",Table1_1[[#This Row],[Children]]+2,Table1_1[[#This Row],[Children]]+1)</f>
        <v>3</v>
      </c>
      <c r="S106" s="4" t="str">
        <f>IF(Table1_1[[#This Row],[Cars]]=0,"No","Yes")</f>
        <v>Yes</v>
      </c>
      <c r="T106" s="6" t="str">
        <f>IF(AND(Table1_1[[#This Row],[Income]]&gt;50000,Table1_1[[#This Row],[Home Owner]]="Yes"),"High stability","Low stability")</f>
        <v>High stability</v>
      </c>
      <c r="U106" s="3">
        <f>Table1_1[[#This Row],[Income]]/Table1_1[[#This Row],[Family size]]</f>
        <v>23333.333333333332</v>
      </c>
      <c r="V106" s="6" t="str">
        <f>IF(Table1_1[[#This Row],[Occupation]]="Skilled manual","Blue collar",IF(Table1_1[[#This Row],[Occupation]]="Manual","Blue collar","White collar"))</f>
        <v>White collar</v>
      </c>
    </row>
    <row r="107" spans="1:22" x14ac:dyDescent="0.3">
      <c r="A107" t="s">
        <v>141</v>
      </c>
      <c r="B107" s="6" t="s">
        <v>1044</v>
      </c>
      <c r="C107" s="6" t="s">
        <v>1045</v>
      </c>
      <c r="D107" s="3">
        <v>30000</v>
      </c>
      <c r="E107">
        <v>0</v>
      </c>
      <c r="F107" s="6" t="s">
        <v>19</v>
      </c>
      <c r="G107" s="6" t="s">
        <v>20</v>
      </c>
      <c r="H107" s="6" t="s">
        <v>18</v>
      </c>
      <c r="I107">
        <v>1</v>
      </c>
      <c r="J107" t="s">
        <v>22</v>
      </c>
      <c r="K10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07" s="6" t="s">
        <v>17</v>
      </c>
      <c r="M107" s="7">
        <v>30</v>
      </c>
      <c r="N107" t="s">
        <v>18</v>
      </c>
      <c r="O107" s="9" t="str">
        <f>IF(Table1_1[[#This Row],[Purchased Bike]]="yes","1","0")</f>
        <v>0</v>
      </c>
      <c r="P107" s="4" t="str">
        <f>IF(Table1_1[[#This Row],[Income]]&lt;=30000,"Low ",IF(Table1_1[[#This Row],[Income]]&lt;=70000,"Middle","High"))</f>
        <v xml:space="preserve">Low </v>
      </c>
      <c r="Q107" s="6" t="str">
        <f>IF(Table1_1[[#This Row],[Age]]&lt;30,"Young",IF(Table1_1[[#This Row],[Age]]&lt;50,"Middle aged","Senior citizen"))</f>
        <v>Middle aged</v>
      </c>
      <c r="R107" s="7">
        <f>IF(Table1_1[[#This Row],[Marriedarital SingletatuSingle]]="M",Table1_1[[#This Row],[Children]]+2,Table1_1[[#This Row],[Children]]+1)</f>
        <v>1</v>
      </c>
      <c r="S107" s="4" t="str">
        <f>IF(Table1_1[[#This Row],[Cars]]=0,"No","Yes")</f>
        <v>Yes</v>
      </c>
      <c r="T107" s="6" t="str">
        <f>IF(AND(Table1_1[[#This Row],[Income]]&gt;50000,Table1_1[[#This Row],[Home Owner]]="Yes"),"High stability","Low stability")</f>
        <v>Low stability</v>
      </c>
      <c r="U107" s="3">
        <f>Table1_1[[#This Row],[Income]]/Table1_1[[#This Row],[Family size]]</f>
        <v>30000</v>
      </c>
      <c r="V107" s="6" t="str">
        <f>IF(Table1_1[[#This Row],[Occupation]]="Skilled manual","Blue collar",IF(Table1_1[[#This Row],[Occupation]]="Manual","Blue collar","White collar"))</f>
        <v>White collar</v>
      </c>
    </row>
    <row r="108" spans="1:22" x14ac:dyDescent="0.3">
      <c r="A108" t="s">
        <v>142</v>
      </c>
      <c r="B108" s="6" t="s">
        <v>1042</v>
      </c>
      <c r="C108" s="6" t="s">
        <v>1046</v>
      </c>
      <c r="D108" s="3">
        <v>70000</v>
      </c>
      <c r="E108">
        <v>2</v>
      </c>
      <c r="F108" s="6" t="s">
        <v>19</v>
      </c>
      <c r="G108" s="6" t="s">
        <v>14</v>
      </c>
      <c r="H108" s="6" t="s">
        <v>15</v>
      </c>
      <c r="I108">
        <v>2</v>
      </c>
      <c r="J108" t="s">
        <v>23</v>
      </c>
      <c r="K10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08" s="6" t="s">
        <v>24</v>
      </c>
      <c r="M108" s="7">
        <v>52</v>
      </c>
      <c r="N108" t="s">
        <v>15</v>
      </c>
      <c r="O108" s="9" t="str">
        <f>IF(Table1_1[[#This Row],[Purchased Bike]]="yes","1","0")</f>
        <v>1</v>
      </c>
      <c r="P108" s="4" t="str">
        <f>IF(Table1_1[[#This Row],[Income]]&lt;=30000,"Low ",IF(Table1_1[[#This Row],[Income]]&lt;=70000,"Middle","High"))</f>
        <v>Middle</v>
      </c>
      <c r="Q108" s="6" t="str">
        <f>IF(Table1_1[[#This Row],[Age]]&lt;30,"Young",IF(Table1_1[[#This Row],[Age]]&lt;50,"Middle aged","Senior citizen"))</f>
        <v>Senior citizen</v>
      </c>
      <c r="R108" s="7">
        <f>IF(Table1_1[[#This Row],[Marriedarital SingletatuSingle]]="M",Table1_1[[#This Row],[Children]]+2,Table1_1[[#This Row],[Children]]+1)</f>
        <v>3</v>
      </c>
      <c r="S108" s="4" t="str">
        <f>IF(Table1_1[[#This Row],[Cars]]=0,"No","Yes")</f>
        <v>Yes</v>
      </c>
      <c r="T108" s="6" t="str">
        <f>IF(AND(Table1_1[[#This Row],[Income]]&gt;50000,Table1_1[[#This Row],[Home Owner]]="Yes"),"High stability","Low stability")</f>
        <v>High stability</v>
      </c>
      <c r="U108" s="3">
        <f>Table1_1[[#This Row],[Income]]/Table1_1[[#This Row],[Family size]]</f>
        <v>23333.333333333332</v>
      </c>
      <c r="V108" s="6" t="str">
        <f>IF(Table1_1[[#This Row],[Occupation]]="Skilled manual","Blue collar",IF(Table1_1[[#This Row],[Occupation]]="Manual","Blue collar","White collar"))</f>
        <v>Blue collar</v>
      </c>
    </row>
    <row r="109" spans="1:22" x14ac:dyDescent="0.3">
      <c r="A109" t="s">
        <v>143</v>
      </c>
      <c r="B109" s="6" t="s">
        <v>1044</v>
      </c>
      <c r="C109" s="6" t="s">
        <v>1045</v>
      </c>
      <c r="D109" s="3">
        <v>40000</v>
      </c>
      <c r="E109">
        <v>2</v>
      </c>
      <c r="F109" s="6" t="s">
        <v>19</v>
      </c>
      <c r="G109" s="6" t="s">
        <v>14</v>
      </c>
      <c r="H109" s="6" t="s">
        <v>18</v>
      </c>
      <c r="I109">
        <v>2</v>
      </c>
      <c r="J109" t="s">
        <v>26</v>
      </c>
      <c r="K10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09" s="6" t="s">
        <v>24</v>
      </c>
      <c r="M109" s="7">
        <v>53</v>
      </c>
      <c r="N109" t="s">
        <v>15</v>
      </c>
      <c r="O109" s="9" t="str">
        <f>IF(Table1_1[[#This Row],[Purchased Bike]]="yes","1","0")</f>
        <v>1</v>
      </c>
      <c r="P109" s="4" t="str">
        <f>IF(Table1_1[[#This Row],[Income]]&lt;=30000,"Low ",IF(Table1_1[[#This Row],[Income]]&lt;=70000,"Middle","High"))</f>
        <v>Middle</v>
      </c>
      <c r="Q109" s="6" t="str">
        <f>IF(Table1_1[[#This Row],[Age]]&lt;30,"Young",IF(Table1_1[[#This Row],[Age]]&lt;50,"Middle aged","Senior citizen"))</f>
        <v>Senior citizen</v>
      </c>
      <c r="R109" s="7">
        <f>IF(Table1_1[[#This Row],[Marriedarital SingletatuSingle]]="M",Table1_1[[#This Row],[Children]]+2,Table1_1[[#This Row],[Children]]+1)</f>
        <v>3</v>
      </c>
      <c r="S109" s="4" t="str">
        <f>IF(Table1_1[[#This Row],[Cars]]=0,"No","Yes")</f>
        <v>Yes</v>
      </c>
      <c r="T109" s="6" t="str">
        <f>IF(AND(Table1_1[[#This Row],[Income]]&gt;50000,Table1_1[[#This Row],[Home Owner]]="Yes"),"High stability","Low stability")</f>
        <v>Low stability</v>
      </c>
      <c r="U109" s="3">
        <f>Table1_1[[#This Row],[Income]]/Table1_1[[#This Row],[Family size]]</f>
        <v>13333.333333333334</v>
      </c>
      <c r="V109" s="6" t="str">
        <f>IF(Table1_1[[#This Row],[Occupation]]="Skilled manual","Blue collar",IF(Table1_1[[#This Row],[Occupation]]="Manual","Blue collar","White collar"))</f>
        <v>Blue collar</v>
      </c>
    </row>
    <row r="110" spans="1:22" x14ac:dyDescent="0.3">
      <c r="A110" t="s">
        <v>144</v>
      </c>
      <c r="B110" s="6" t="s">
        <v>1042</v>
      </c>
      <c r="C110" s="6" t="s">
        <v>1045</v>
      </c>
      <c r="D110" s="3">
        <v>40000</v>
      </c>
      <c r="E110">
        <v>0</v>
      </c>
      <c r="F110" s="6" t="s">
        <v>13</v>
      </c>
      <c r="G110" s="6" t="s">
        <v>20</v>
      </c>
      <c r="H110" s="6" t="s">
        <v>15</v>
      </c>
      <c r="I110">
        <v>0</v>
      </c>
      <c r="J110" t="s">
        <v>16</v>
      </c>
      <c r="K1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10" s="6" t="s">
        <v>17</v>
      </c>
      <c r="M110" s="7">
        <v>38</v>
      </c>
      <c r="N110" t="s">
        <v>15</v>
      </c>
      <c r="O110" s="9" t="str">
        <f>IF(Table1_1[[#This Row],[Purchased Bike]]="yes","1","0")</f>
        <v>1</v>
      </c>
      <c r="P110" s="4" t="str">
        <f>IF(Table1_1[[#This Row],[Income]]&lt;=30000,"Low ",IF(Table1_1[[#This Row],[Income]]&lt;=70000,"Middle","High"))</f>
        <v>Middle</v>
      </c>
      <c r="Q110" s="6" t="str">
        <f>IF(Table1_1[[#This Row],[Age]]&lt;30,"Young",IF(Table1_1[[#This Row],[Age]]&lt;50,"Middle aged","Senior citizen"))</f>
        <v>Middle aged</v>
      </c>
      <c r="R110" s="7">
        <f>IF(Table1_1[[#This Row],[Marriedarital SingletatuSingle]]="M",Table1_1[[#This Row],[Children]]+2,Table1_1[[#This Row],[Children]]+1)</f>
        <v>1</v>
      </c>
      <c r="S110" s="4" t="str">
        <f>IF(Table1_1[[#This Row],[Cars]]=0,"No","Yes")</f>
        <v>No</v>
      </c>
      <c r="T110" s="6" t="str">
        <f>IF(AND(Table1_1[[#This Row],[Income]]&gt;50000,Table1_1[[#This Row],[Home Owner]]="Yes"),"High stability","Low stability")</f>
        <v>Low stability</v>
      </c>
      <c r="U110" s="3">
        <f>Table1_1[[#This Row],[Income]]/Table1_1[[#This Row],[Family size]]</f>
        <v>40000</v>
      </c>
      <c r="V110" s="6" t="str">
        <f>IF(Table1_1[[#This Row],[Occupation]]="Skilled manual","Blue collar",IF(Table1_1[[#This Row],[Occupation]]="Manual","Blue collar","White collar"))</f>
        <v>White collar</v>
      </c>
    </row>
    <row r="111" spans="1:22" x14ac:dyDescent="0.3">
      <c r="A111" t="s">
        <v>145</v>
      </c>
      <c r="B111" s="6" t="s">
        <v>1044</v>
      </c>
      <c r="C111" s="6" t="s">
        <v>1046</v>
      </c>
      <c r="D111" s="3">
        <v>40000</v>
      </c>
      <c r="E111">
        <v>0</v>
      </c>
      <c r="F111" s="6" t="s">
        <v>13</v>
      </c>
      <c r="G111" s="6" t="s">
        <v>21</v>
      </c>
      <c r="H111" s="6" t="s">
        <v>18</v>
      </c>
      <c r="I111">
        <v>0</v>
      </c>
      <c r="J111" t="s">
        <v>16</v>
      </c>
      <c r="K1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11" s="6" t="s">
        <v>17</v>
      </c>
      <c r="M111" s="7">
        <v>39</v>
      </c>
      <c r="N111" t="s">
        <v>15</v>
      </c>
      <c r="O111" s="9" t="str">
        <f>IF(Table1_1[[#This Row],[Purchased Bike]]="yes","1","0")</f>
        <v>1</v>
      </c>
      <c r="P111" s="4" t="str">
        <f>IF(Table1_1[[#This Row],[Income]]&lt;=30000,"Low ",IF(Table1_1[[#This Row],[Income]]&lt;=70000,"Middle","High"))</f>
        <v>Middle</v>
      </c>
      <c r="Q111" s="6" t="str">
        <f>IF(Table1_1[[#This Row],[Age]]&lt;30,"Young",IF(Table1_1[[#This Row],[Age]]&lt;50,"Middle aged","Senior citizen"))</f>
        <v>Middle aged</v>
      </c>
      <c r="R111" s="7">
        <f>IF(Table1_1[[#This Row],[Marriedarital SingletatuSingle]]="M",Table1_1[[#This Row],[Children]]+2,Table1_1[[#This Row],[Children]]+1)</f>
        <v>1</v>
      </c>
      <c r="S111" s="4" t="str">
        <f>IF(Table1_1[[#This Row],[Cars]]=0,"No","Yes")</f>
        <v>No</v>
      </c>
      <c r="T111" s="6" t="str">
        <f>IF(AND(Table1_1[[#This Row],[Income]]&gt;50000,Table1_1[[#This Row],[Home Owner]]="Yes"),"High stability","Low stability")</f>
        <v>Low stability</v>
      </c>
      <c r="U111" s="3">
        <f>Table1_1[[#This Row],[Income]]/Table1_1[[#This Row],[Family size]]</f>
        <v>40000</v>
      </c>
      <c r="V111" s="6" t="str">
        <f>IF(Table1_1[[#This Row],[Occupation]]="Skilled manual","Blue collar",IF(Table1_1[[#This Row],[Occupation]]="Manual","Blue collar","White collar"))</f>
        <v>White collar</v>
      </c>
    </row>
    <row r="112" spans="1:22" x14ac:dyDescent="0.3">
      <c r="A112" t="s">
        <v>146</v>
      </c>
      <c r="B112" s="6" t="s">
        <v>1044</v>
      </c>
      <c r="C112" s="6" t="s">
        <v>1045</v>
      </c>
      <c r="D112" s="3">
        <v>30000</v>
      </c>
      <c r="E112">
        <v>1</v>
      </c>
      <c r="F112" s="6" t="s">
        <v>19</v>
      </c>
      <c r="G112" s="6" t="s">
        <v>25</v>
      </c>
      <c r="H112" s="6" t="s">
        <v>18</v>
      </c>
      <c r="I112">
        <v>0</v>
      </c>
      <c r="J112" t="s">
        <v>16</v>
      </c>
      <c r="K1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12" s="6" t="s">
        <v>17</v>
      </c>
      <c r="M112" s="7">
        <v>46</v>
      </c>
      <c r="N112" t="s">
        <v>15</v>
      </c>
      <c r="O112" s="9" t="str">
        <f>IF(Table1_1[[#This Row],[Purchased Bike]]="yes","1","0")</f>
        <v>1</v>
      </c>
      <c r="P112" s="4" t="str">
        <f>IF(Table1_1[[#This Row],[Income]]&lt;=30000,"Low ",IF(Table1_1[[#This Row],[Income]]&lt;=70000,"Middle","High"))</f>
        <v xml:space="preserve">Low </v>
      </c>
      <c r="Q112" s="6" t="str">
        <f>IF(Table1_1[[#This Row],[Age]]&lt;30,"Young",IF(Table1_1[[#This Row],[Age]]&lt;50,"Middle aged","Senior citizen"))</f>
        <v>Middle aged</v>
      </c>
      <c r="R112" s="7">
        <f>IF(Table1_1[[#This Row],[Marriedarital SingletatuSingle]]="M",Table1_1[[#This Row],[Children]]+2,Table1_1[[#This Row],[Children]]+1)</f>
        <v>2</v>
      </c>
      <c r="S112" s="4" t="str">
        <f>IF(Table1_1[[#This Row],[Cars]]=0,"No","Yes")</f>
        <v>No</v>
      </c>
      <c r="T112" s="6" t="str">
        <f>IF(AND(Table1_1[[#This Row],[Income]]&gt;50000,Table1_1[[#This Row],[Home Owner]]="Yes"),"High stability","Low stability")</f>
        <v>Low stability</v>
      </c>
      <c r="U112" s="3">
        <f>Table1_1[[#This Row],[Income]]/Table1_1[[#This Row],[Family size]]</f>
        <v>15000</v>
      </c>
      <c r="V112" s="6" t="str">
        <f>IF(Table1_1[[#This Row],[Occupation]]="Skilled manual","Blue collar",IF(Table1_1[[#This Row],[Occupation]]="Manual","Blue collar","White collar"))</f>
        <v>Blue collar</v>
      </c>
    </row>
    <row r="113" spans="1:22" x14ac:dyDescent="0.3">
      <c r="A113" t="s">
        <v>147</v>
      </c>
      <c r="B113" s="6" t="s">
        <v>1044</v>
      </c>
      <c r="C113" s="6" t="s">
        <v>1045</v>
      </c>
      <c r="D113" s="3">
        <v>70000</v>
      </c>
      <c r="E113">
        <v>0</v>
      </c>
      <c r="F113" s="6" t="s">
        <v>13</v>
      </c>
      <c r="G113" s="6" t="s">
        <v>21</v>
      </c>
      <c r="H113" s="6" t="s">
        <v>18</v>
      </c>
      <c r="I113">
        <v>1</v>
      </c>
      <c r="J113" t="s">
        <v>23</v>
      </c>
      <c r="K1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13" s="6" t="s">
        <v>24</v>
      </c>
      <c r="M113" s="7">
        <v>38</v>
      </c>
      <c r="N113" t="s">
        <v>18</v>
      </c>
      <c r="O113" s="9" t="str">
        <f>IF(Table1_1[[#This Row],[Purchased Bike]]="yes","1","0")</f>
        <v>0</v>
      </c>
      <c r="P113" s="4" t="str">
        <f>IF(Table1_1[[#This Row],[Income]]&lt;=30000,"Low ",IF(Table1_1[[#This Row],[Income]]&lt;=70000,"Middle","High"))</f>
        <v>Middle</v>
      </c>
      <c r="Q113" s="6" t="str">
        <f>IF(Table1_1[[#This Row],[Age]]&lt;30,"Young",IF(Table1_1[[#This Row],[Age]]&lt;50,"Middle aged","Senior citizen"))</f>
        <v>Middle aged</v>
      </c>
      <c r="R113" s="7">
        <f>IF(Table1_1[[#This Row],[Marriedarital SingletatuSingle]]="M",Table1_1[[#This Row],[Children]]+2,Table1_1[[#This Row],[Children]]+1)</f>
        <v>1</v>
      </c>
      <c r="S113" s="4" t="str">
        <f>IF(Table1_1[[#This Row],[Cars]]=0,"No","Yes")</f>
        <v>Yes</v>
      </c>
      <c r="T113" s="6" t="str">
        <f>IF(AND(Table1_1[[#This Row],[Income]]&gt;50000,Table1_1[[#This Row],[Home Owner]]="Yes"),"High stability","Low stability")</f>
        <v>Low stability</v>
      </c>
      <c r="U113" s="3">
        <f>Table1_1[[#This Row],[Income]]/Table1_1[[#This Row],[Family size]]</f>
        <v>70000</v>
      </c>
      <c r="V113" s="6" t="str">
        <f>IF(Table1_1[[#This Row],[Occupation]]="Skilled manual","Blue collar",IF(Table1_1[[#This Row],[Occupation]]="Manual","Blue collar","White collar"))</f>
        <v>White collar</v>
      </c>
    </row>
    <row r="114" spans="1:22" x14ac:dyDescent="0.3">
      <c r="A114" t="s">
        <v>148</v>
      </c>
      <c r="B114" s="6" t="s">
        <v>1044</v>
      </c>
      <c r="C114" s="6" t="s">
        <v>1045</v>
      </c>
      <c r="D114" s="3">
        <v>40000</v>
      </c>
      <c r="E114">
        <v>2</v>
      </c>
      <c r="F114" s="6" t="s">
        <v>19</v>
      </c>
      <c r="G114" s="6" t="s">
        <v>20</v>
      </c>
      <c r="H114" s="6" t="s">
        <v>15</v>
      </c>
      <c r="I114">
        <v>2</v>
      </c>
      <c r="J114" t="s">
        <v>26</v>
      </c>
      <c r="K1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14" s="6" t="s">
        <v>17</v>
      </c>
      <c r="M114" s="7">
        <v>35</v>
      </c>
      <c r="N114" t="s">
        <v>18</v>
      </c>
      <c r="O114" s="9" t="str">
        <f>IF(Table1_1[[#This Row],[Purchased Bike]]="yes","1","0")</f>
        <v>0</v>
      </c>
      <c r="P114" s="4" t="str">
        <f>IF(Table1_1[[#This Row],[Income]]&lt;=30000,"Low ",IF(Table1_1[[#This Row],[Income]]&lt;=70000,"Middle","High"))</f>
        <v>Middle</v>
      </c>
      <c r="Q114" s="6" t="str">
        <f>IF(Table1_1[[#This Row],[Age]]&lt;30,"Young",IF(Table1_1[[#This Row],[Age]]&lt;50,"Middle aged","Senior citizen"))</f>
        <v>Middle aged</v>
      </c>
      <c r="R114" s="7">
        <f>IF(Table1_1[[#This Row],[Marriedarital SingletatuSingle]]="M",Table1_1[[#This Row],[Children]]+2,Table1_1[[#This Row],[Children]]+1)</f>
        <v>3</v>
      </c>
      <c r="S114" s="4" t="str">
        <f>IF(Table1_1[[#This Row],[Cars]]=0,"No","Yes")</f>
        <v>Yes</v>
      </c>
      <c r="T114" s="6" t="str">
        <f>IF(AND(Table1_1[[#This Row],[Income]]&gt;50000,Table1_1[[#This Row],[Home Owner]]="Yes"),"High stability","Low stability")</f>
        <v>Low stability</v>
      </c>
      <c r="U114" s="3">
        <f>Table1_1[[#This Row],[Income]]/Table1_1[[#This Row],[Family size]]</f>
        <v>13333.333333333334</v>
      </c>
      <c r="V114" s="6" t="str">
        <f>IF(Table1_1[[#This Row],[Occupation]]="Skilled manual","Blue collar",IF(Table1_1[[#This Row],[Occupation]]="Manual","Blue collar","White collar"))</f>
        <v>White collar</v>
      </c>
    </row>
    <row r="115" spans="1:22" x14ac:dyDescent="0.3">
      <c r="A115" t="s">
        <v>149</v>
      </c>
      <c r="B115" s="6" t="s">
        <v>1044</v>
      </c>
      <c r="C115" s="6" t="s">
        <v>1045</v>
      </c>
      <c r="D115" s="3">
        <v>130000</v>
      </c>
      <c r="E115">
        <v>1</v>
      </c>
      <c r="F115" s="6" t="s">
        <v>31</v>
      </c>
      <c r="G115" s="6" t="s">
        <v>28</v>
      </c>
      <c r="H115" s="6" t="s">
        <v>18</v>
      </c>
      <c r="I115">
        <v>1</v>
      </c>
      <c r="J115" t="s">
        <v>16</v>
      </c>
      <c r="K1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15" s="6" t="s">
        <v>24</v>
      </c>
      <c r="M115" s="7">
        <v>36</v>
      </c>
      <c r="N115" t="s">
        <v>15</v>
      </c>
      <c r="O115" s="9" t="str">
        <f>IF(Table1_1[[#This Row],[Purchased Bike]]="yes","1","0")</f>
        <v>1</v>
      </c>
      <c r="P115" s="4" t="str">
        <f>IF(Table1_1[[#This Row],[Income]]&lt;=30000,"Low ",IF(Table1_1[[#This Row],[Income]]&lt;=70000,"Middle","High"))</f>
        <v>High</v>
      </c>
      <c r="Q115" s="6" t="str">
        <f>IF(Table1_1[[#This Row],[Age]]&lt;30,"Young",IF(Table1_1[[#This Row],[Age]]&lt;50,"Middle aged","Senior citizen"))</f>
        <v>Middle aged</v>
      </c>
      <c r="R115" s="7">
        <f>IF(Table1_1[[#This Row],[Marriedarital SingletatuSingle]]="M",Table1_1[[#This Row],[Children]]+2,Table1_1[[#This Row],[Children]]+1)</f>
        <v>2</v>
      </c>
      <c r="S115" s="4" t="str">
        <f>IF(Table1_1[[#This Row],[Cars]]=0,"No","Yes")</f>
        <v>Yes</v>
      </c>
      <c r="T115" s="6" t="str">
        <f>IF(AND(Table1_1[[#This Row],[Income]]&gt;50000,Table1_1[[#This Row],[Home Owner]]="Yes"),"High stability","Low stability")</f>
        <v>Low stability</v>
      </c>
      <c r="U115" s="3">
        <f>Table1_1[[#This Row],[Income]]/Table1_1[[#This Row],[Family size]]</f>
        <v>65000</v>
      </c>
      <c r="V115" s="6" t="str">
        <f>IF(Table1_1[[#This Row],[Occupation]]="Skilled manual","Blue collar",IF(Table1_1[[#This Row],[Occupation]]="Manual","Blue collar","White collar"))</f>
        <v>White collar</v>
      </c>
    </row>
    <row r="116" spans="1:22" x14ac:dyDescent="0.3">
      <c r="A116" t="s">
        <v>150</v>
      </c>
      <c r="B116" s="6" t="s">
        <v>1042</v>
      </c>
      <c r="C116" s="6" t="s">
        <v>1046</v>
      </c>
      <c r="D116" s="3">
        <v>20000</v>
      </c>
      <c r="E116">
        <v>0</v>
      </c>
      <c r="F116" s="6" t="s">
        <v>13</v>
      </c>
      <c r="G116" s="6" t="s">
        <v>20</v>
      </c>
      <c r="H116" s="6" t="s">
        <v>15</v>
      </c>
      <c r="I116">
        <v>0</v>
      </c>
      <c r="J116" t="s">
        <v>16</v>
      </c>
      <c r="K1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16" s="6" t="s">
        <v>24</v>
      </c>
      <c r="M116" s="7">
        <v>26</v>
      </c>
      <c r="N116" t="s">
        <v>15</v>
      </c>
      <c r="O116" s="9" t="str">
        <f>IF(Table1_1[[#This Row],[Purchased Bike]]="yes","1","0")</f>
        <v>1</v>
      </c>
      <c r="P116" s="4" t="str">
        <f>IF(Table1_1[[#This Row],[Income]]&lt;=30000,"Low ",IF(Table1_1[[#This Row],[Income]]&lt;=70000,"Middle","High"))</f>
        <v xml:space="preserve">Low </v>
      </c>
      <c r="Q116" s="6" t="str">
        <f>IF(Table1_1[[#This Row],[Age]]&lt;30,"Young",IF(Table1_1[[#This Row],[Age]]&lt;50,"Middle aged","Senior citizen"))</f>
        <v>Young</v>
      </c>
      <c r="R116" s="7">
        <f>IF(Table1_1[[#This Row],[Marriedarital SingletatuSingle]]="M",Table1_1[[#This Row],[Children]]+2,Table1_1[[#This Row],[Children]]+1)</f>
        <v>1</v>
      </c>
      <c r="S116" s="4" t="str">
        <f>IF(Table1_1[[#This Row],[Cars]]=0,"No","Yes")</f>
        <v>No</v>
      </c>
      <c r="T116" s="6" t="str">
        <f>IF(AND(Table1_1[[#This Row],[Income]]&gt;50000,Table1_1[[#This Row],[Home Owner]]="Yes"),"High stability","Low stability")</f>
        <v>Low stability</v>
      </c>
      <c r="U116" s="3">
        <f>Table1_1[[#This Row],[Income]]/Table1_1[[#This Row],[Family size]]</f>
        <v>20000</v>
      </c>
      <c r="V116" s="6" t="str">
        <f>IF(Table1_1[[#This Row],[Occupation]]="Skilled manual","Blue collar",IF(Table1_1[[#This Row],[Occupation]]="Manual","Blue collar","White collar"))</f>
        <v>White collar</v>
      </c>
    </row>
    <row r="117" spans="1:22" x14ac:dyDescent="0.3">
      <c r="A117" t="s">
        <v>151</v>
      </c>
      <c r="B117" s="6" t="s">
        <v>1044</v>
      </c>
      <c r="C117" s="6" t="s">
        <v>1046</v>
      </c>
      <c r="D117" s="3">
        <v>10000</v>
      </c>
      <c r="E117">
        <v>0</v>
      </c>
      <c r="F117" s="6" t="s">
        <v>31</v>
      </c>
      <c r="G117" s="6" t="s">
        <v>25</v>
      </c>
      <c r="H117" s="6" t="s">
        <v>18</v>
      </c>
      <c r="I117">
        <v>0</v>
      </c>
      <c r="J117" t="s">
        <v>16</v>
      </c>
      <c r="K1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17" s="6" t="s">
        <v>17</v>
      </c>
      <c r="M117" s="7">
        <v>30</v>
      </c>
      <c r="N117" t="s">
        <v>15</v>
      </c>
      <c r="O117" s="9" t="str">
        <f>IF(Table1_1[[#This Row],[Purchased Bike]]="yes","1","0")</f>
        <v>1</v>
      </c>
      <c r="P117" s="4" t="str">
        <f>IF(Table1_1[[#This Row],[Income]]&lt;=30000,"Low ",IF(Table1_1[[#This Row],[Income]]&lt;=70000,"Middle","High"))</f>
        <v xml:space="preserve">Low </v>
      </c>
      <c r="Q117" s="6" t="str">
        <f>IF(Table1_1[[#This Row],[Age]]&lt;30,"Young",IF(Table1_1[[#This Row],[Age]]&lt;50,"Middle aged","Senior citizen"))</f>
        <v>Middle aged</v>
      </c>
      <c r="R117" s="7">
        <f>IF(Table1_1[[#This Row],[Marriedarital SingletatuSingle]]="M",Table1_1[[#This Row],[Children]]+2,Table1_1[[#This Row],[Children]]+1)</f>
        <v>1</v>
      </c>
      <c r="S117" s="4" t="str">
        <f>IF(Table1_1[[#This Row],[Cars]]=0,"No","Yes")</f>
        <v>No</v>
      </c>
      <c r="T117" s="6" t="str">
        <f>IF(AND(Table1_1[[#This Row],[Income]]&gt;50000,Table1_1[[#This Row],[Home Owner]]="Yes"),"High stability","Low stability")</f>
        <v>Low stability</v>
      </c>
      <c r="U117" s="3">
        <f>Table1_1[[#This Row],[Income]]/Table1_1[[#This Row],[Family size]]</f>
        <v>10000</v>
      </c>
      <c r="V117" s="6" t="str">
        <f>IF(Table1_1[[#This Row],[Occupation]]="Skilled manual","Blue collar",IF(Table1_1[[#This Row],[Occupation]]="Manual","Blue collar","White collar"))</f>
        <v>Blue collar</v>
      </c>
    </row>
    <row r="118" spans="1:22" x14ac:dyDescent="0.3">
      <c r="A118" t="s">
        <v>152</v>
      </c>
      <c r="B118" s="6" t="s">
        <v>1042</v>
      </c>
      <c r="C118" s="6" t="s">
        <v>1045</v>
      </c>
      <c r="D118" s="3">
        <v>30000</v>
      </c>
      <c r="E118">
        <v>1</v>
      </c>
      <c r="F118" s="6" t="s">
        <v>13</v>
      </c>
      <c r="G118" s="6" t="s">
        <v>14</v>
      </c>
      <c r="H118" s="6" t="s">
        <v>15</v>
      </c>
      <c r="I118">
        <v>2</v>
      </c>
      <c r="J118" t="s">
        <v>16</v>
      </c>
      <c r="K1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18" s="6" t="s">
        <v>17</v>
      </c>
      <c r="M118" s="7">
        <v>42</v>
      </c>
      <c r="N118" t="s">
        <v>18</v>
      </c>
      <c r="O118" s="9" t="str">
        <f>IF(Table1_1[[#This Row],[Purchased Bike]]="yes","1","0")</f>
        <v>0</v>
      </c>
      <c r="P118" s="4" t="str">
        <f>IF(Table1_1[[#This Row],[Income]]&lt;=30000,"Low ",IF(Table1_1[[#This Row],[Income]]&lt;=70000,"Middle","High"))</f>
        <v xml:space="preserve">Low </v>
      </c>
      <c r="Q118" s="6" t="str">
        <f>IF(Table1_1[[#This Row],[Age]]&lt;30,"Young",IF(Table1_1[[#This Row],[Age]]&lt;50,"Middle aged","Senior citizen"))</f>
        <v>Middle aged</v>
      </c>
      <c r="R118" s="7">
        <f>IF(Table1_1[[#This Row],[Marriedarital SingletatuSingle]]="M",Table1_1[[#This Row],[Children]]+2,Table1_1[[#This Row],[Children]]+1)</f>
        <v>2</v>
      </c>
      <c r="S118" s="4" t="str">
        <f>IF(Table1_1[[#This Row],[Cars]]=0,"No","Yes")</f>
        <v>Yes</v>
      </c>
      <c r="T118" s="6" t="str">
        <f>IF(AND(Table1_1[[#This Row],[Income]]&gt;50000,Table1_1[[#This Row],[Home Owner]]="Yes"),"High stability","Low stability")</f>
        <v>Low stability</v>
      </c>
      <c r="U118" s="3">
        <f>Table1_1[[#This Row],[Income]]/Table1_1[[#This Row],[Family size]]</f>
        <v>15000</v>
      </c>
      <c r="V118" s="6" t="str">
        <f>IF(Table1_1[[#This Row],[Occupation]]="Skilled manual","Blue collar",IF(Table1_1[[#This Row],[Occupation]]="Manual","Blue collar","White collar"))</f>
        <v>Blue collar</v>
      </c>
    </row>
    <row r="119" spans="1:22" x14ac:dyDescent="0.3">
      <c r="A119" t="s">
        <v>153</v>
      </c>
      <c r="B119" s="6" t="s">
        <v>1044</v>
      </c>
      <c r="C119" s="6" t="s">
        <v>1045</v>
      </c>
      <c r="D119" s="3">
        <v>20000</v>
      </c>
      <c r="E119">
        <v>0</v>
      </c>
      <c r="F119" s="6" t="s">
        <v>27</v>
      </c>
      <c r="G119" s="6" t="s">
        <v>25</v>
      </c>
      <c r="H119" s="6" t="s">
        <v>15</v>
      </c>
      <c r="I119">
        <v>0</v>
      </c>
      <c r="J119" t="s">
        <v>16</v>
      </c>
      <c r="K1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19" s="6" t="s">
        <v>17</v>
      </c>
      <c r="M119" s="7">
        <v>40</v>
      </c>
      <c r="N119" t="s">
        <v>15</v>
      </c>
      <c r="O119" s="9" t="str">
        <f>IF(Table1_1[[#This Row],[Purchased Bike]]="yes","1","0")</f>
        <v>1</v>
      </c>
      <c r="P119" s="4" t="str">
        <f>IF(Table1_1[[#This Row],[Income]]&lt;=30000,"Low ",IF(Table1_1[[#This Row],[Income]]&lt;=70000,"Middle","High"))</f>
        <v xml:space="preserve">Low </v>
      </c>
      <c r="Q119" s="6" t="str">
        <f>IF(Table1_1[[#This Row],[Age]]&lt;30,"Young",IF(Table1_1[[#This Row],[Age]]&lt;50,"Middle aged","Senior citizen"))</f>
        <v>Middle aged</v>
      </c>
      <c r="R119" s="7">
        <f>IF(Table1_1[[#This Row],[Marriedarital SingletatuSingle]]="M",Table1_1[[#This Row],[Children]]+2,Table1_1[[#This Row],[Children]]+1)</f>
        <v>1</v>
      </c>
      <c r="S119" s="4" t="str">
        <f>IF(Table1_1[[#This Row],[Cars]]=0,"No","Yes")</f>
        <v>No</v>
      </c>
      <c r="T119" s="6" t="str">
        <f>IF(AND(Table1_1[[#This Row],[Income]]&gt;50000,Table1_1[[#This Row],[Home Owner]]="Yes"),"High stability","Low stability")</f>
        <v>Low stability</v>
      </c>
      <c r="U119" s="3">
        <f>Table1_1[[#This Row],[Income]]/Table1_1[[#This Row],[Family size]]</f>
        <v>20000</v>
      </c>
      <c r="V119" s="6" t="str">
        <f>IF(Table1_1[[#This Row],[Occupation]]="Skilled manual","Blue collar",IF(Table1_1[[#This Row],[Occupation]]="Manual","Blue collar","White collar"))</f>
        <v>Blue collar</v>
      </c>
    </row>
    <row r="120" spans="1:22" x14ac:dyDescent="0.3">
      <c r="A120" t="s">
        <v>154</v>
      </c>
      <c r="B120" s="6" t="s">
        <v>1042</v>
      </c>
      <c r="C120" s="6" t="s">
        <v>1046</v>
      </c>
      <c r="D120" s="3">
        <v>80000</v>
      </c>
      <c r="E120">
        <v>5</v>
      </c>
      <c r="F120" s="6" t="s">
        <v>13</v>
      </c>
      <c r="G120" s="6" t="s">
        <v>28</v>
      </c>
      <c r="H120" s="6" t="s">
        <v>15</v>
      </c>
      <c r="I120">
        <v>2</v>
      </c>
      <c r="J120" t="s">
        <v>22</v>
      </c>
      <c r="K1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20" s="6" t="s">
        <v>17</v>
      </c>
      <c r="M120" s="7">
        <v>62</v>
      </c>
      <c r="N120" t="s">
        <v>18</v>
      </c>
      <c r="O120" s="9" t="str">
        <f>IF(Table1_1[[#This Row],[Purchased Bike]]="yes","1","0")</f>
        <v>0</v>
      </c>
      <c r="P120" s="4" t="str">
        <f>IF(Table1_1[[#This Row],[Income]]&lt;=30000,"Low ",IF(Table1_1[[#This Row],[Income]]&lt;=70000,"Middle","High"))</f>
        <v>High</v>
      </c>
      <c r="Q120" s="6" t="str">
        <f>IF(Table1_1[[#This Row],[Age]]&lt;30,"Young",IF(Table1_1[[#This Row],[Age]]&lt;50,"Middle aged","Senior citizen"))</f>
        <v>Senior citizen</v>
      </c>
      <c r="R120" s="7">
        <f>IF(Table1_1[[#This Row],[Marriedarital SingletatuSingle]]="M",Table1_1[[#This Row],[Children]]+2,Table1_1[[#This Row],[Children]]+1)</f>
        <v>6</v>
      </c>
      <c r="S120" s="4" t="str">
        <f>IF(Table1_1[[#This Row],[Cars]]=0,"No","Yes")</f>
        <v>Yes</v>
      </c>
      <c r="T120" s="6" t="str">
        <f>IF(AND(Table1_1[[#This Row],[Income]]&gt;50000,Table1_1[[#This Row],[Home Owner]]="Yes"),"High stability","Low stability")</f>
        <v>High stability</v>
      </c>
      <c r="U120" s="3">
        <f>Table1_1[[#This Row],[Income]]/Table1_1[[#This Row],[Family size]]</f>
        <v>13333.333333333334</v>
      </c>
      <c r="V120" s="6" t="str">
        <f>IF(Table1_1[[#This Row],[Occupation]]="Skilled manual","Blue collar",IF(Table1_1[[#This Row],[Occupation]]="Manual","Blue collar","White collar"))</f>
        <v>White collar</v>
      </c>
    </row>
    <row r="121" spans="1:22" x14ac:dyDescent="0.3">
      <c r="A121" t="s">
        <v>155</v>
      </c>
      <c r="B121" s="6" t="s">
        <v>1044</v>
      </c>
      <c r="C121" s="6" t="s">
        <v>1045</v>
      </c>
      <c r="D121" s="3">
        <v>30000</v>
      </c>
      <c r="E121">
        <v>0</v>
      </c>
      <c r="F121" s="6" t="s">
        <v>19</v>
      </c>
      <c r="G121" s="6" t="s">
        <v>20</v>
      </c>
      <c r="H121" s="6" t="s">
        <v>18</v>
      </c>
      <c r="I121">
        <v>1</v>
      </c>
      <c r="J121" t="s">
        <v>22</v>
      </c>
      <c r="K1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21" s="6" t="s">
        <v>17</v>
      </c>
      <c r="M121" s="7">
        <v>29</v>
      </c>
      <c r="N121" t="s">
        <v>18</v>
      </c>
      <c r="O121" s="9" t="str">
        <f>IF(Table1_1[[#This Row],[Purchased Bike]]="yes","1","0")</f>
        <v>0</v>
      </c>
      <c r="P121" s="4" t="str">
        <f>IF(Table1_1[[#This Row],[Income]]&lt;=30000,"Low ",IF(Table1_1[[#This Row],[Income]]&lt;=70000,"Middle","High"))</f>
        <v xml:space="preserve">Low </v>
      </c>
      <c r="Q121" s="6" t="str">
        <f>IF(Table1_1[[#This Row],[Age]]&lt;30,"Young",IF(Table1_1[[#This Row],[Age]]&lt;50,"Middle aged","Senior citizen"))</f>
        <v>Young</v>
      </c>
      <c r="R121" s="7">
        <f>IF(Table1_1[[#This Row],[Marriedarital SingletatuSingle]]="M",Table1_1[[#This Row],[Children]]+2,Table1_1[[#This Row],[Children]]+1)</f>
        <v>1</v>
      </c>
      <c r="S121" s="4" t="str">
        <f>IF(Table1_1[[#This Row],[Cars]]=0,"No","Yes")</f>
        <v>Yes</v>
      </c>
      <c r="T121" s="6" t="str">
        <f>IF(AND(Table1_1[[#This Row],[Income]]&gt;50000,Table1_1[[#This Row],[Home Owner]]="Yes"),"High stability","Low stability")</f>
        <v>Low stability</v>
      </c>
      <c r="U121" s="3">
        <f>Table1_1[[#This Row],[Income]]/Table1_1[[#This Row],[Family size]]</f>
        <v>30000</v>
      </c>
      <c r="V121" s="6" t="str">
        <f>IF(Table1_1[[#This Row],[Occupation]]="Skilled manual","Blue collar",IF(Table1_1[[#This Row],[Occupation]]="Manual","Blue collar","White collar"))</f>
        <v>White collar</v>
      </c>
    </row>
    <row r="122" spans="1:22" x14ac:dyDescent="0.3">
      <c r="A122" t="s">
        <v>156</v>
      </c>
      <c r="B122" s="6" t="s">
        <v>1042</v>
      </c>
      <c r="C122" s="6" t="s">
        <v>1045</v>
      </c>
      <c r="D122" s="3">
        <v>40000</v>
      </c>
      <c r="E122">
        <v>2</v>
      </c>
      <c r="F122" s="6" t="s">
        <v>13</v>
      </c>
      <c r="G122" s="6" t="s">
        <v>28</v>
      </c>
      <c r="H122" s="6" t="s">
        <v>15</v>
      </c>
      <c r="I122">
        <v>2</v>
      </c>
      <c r="J122" t="s">
        <v>23</v>
      </c>
      <c r="K1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22" s="6" t="s">
        <v>24</v>
      </c>
      <c r="M122" s="7">
        <v>66</v>
      </c>
      <c r="N122" t="s">
        <v>15</v>
      </c>
      <c r="O122" s="9" t="str">
        <f>IF(Table1_1[[#This Row],[Purchased Bike]]="yes","1","0")</f>
        <v>1</v>
      </c>
      <c r="P122" s="4" t="str">
        <f>IF(Table1_1[[#This Row],[Income]]&lt;=30000,"Low ",IF(Table1_1[[#This Row],[Income]]&lt;=70000,"Middle","High"))</f>
        <v>Middle</v>
      </c>
      <c r="Q122" s="6" t="str">
        <f>IF(Table1_1[[#This Row],[Age]]&lt;30,"Young",IF(Table1_1[[#This Row],[Age]]&lt;50,"Middle aged","Senior citizen"))</f>
        <v>Senior citizen</v>
      </c>
      <c r="R122" s="7">
        <f>IF(Table1_1[[#This Row],[Marriedarital SingletatuSingle]]="M",Table1_1[[#This Row],[Children]]+2,Table1_1[[#This Row],[Children]]+1)</f>
        <v>3</v>
      </c>
      <c r="S122" s="4" t="str">
        <f>IF(Table1_1[[#This Row],[Cars]]=0,"No","Yes")</f>
        <v>Yes</v>
      </c>
      <c r="T122" s="6" t="str">
        <f>IF(AND(Table1_1[[#This Row],[Income]]&gt;50000,Table1_1[[#This Row],[Home Owner]]="Yes"),"High stability","Low stability")</f>
        <v>Low stability</v>
      </c>
      <c r="U122" s="3">
        <f>Table1_1[[#This Row],[Income]]/Table1_1[[#This Row],[Family size]]</f>
        <v>13333.333333333334</v>
      </c>
      <c r="V122" s="6" t="str">
        <f>IF(Table1_1[[#This Row],[Occupation]]="Skilled manual","Blue collar",IF(Table1_1[[#This Row],[Occupation]]="Manual","Blue collar","White collar"))</f>
        <v>White collar</v>
      </c>
    </row>
    <row r="123" spans="1:22" x14ac:dyDescent="0.3">
      <c r="A123" t="s">
        <v>157</v>
      </c>
      <c r="B123" s="6" t="s">
        <v>1042</v>
      </c>
      <c r="C123" s="6" t="s">
        <v>1046</v>
      </c>
      <c r="D123" s="3">
        <v>150000</v>
      </c>
      <c r="E123">
        <v>2</v>
      </c>
      <c r="F123" s="6" t="s">
        <v>27</v>
      </c>
      <c r="G123" s="6" t="s">
        <v>21</v>
      </c>
      <c r="H123" s="6" t="s">
        <v>15</v>
      </c>
      <c r="I123">
        <v>4</v>
      </c>
      <c r="J123" t="s">
        <v>16</v>
      </c>
      <c r="K1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23" s="6" t="s">
        <v>17</v>
      </c>
      <c r="M123" s="7">
        <v>48</v>
      </c>
      <c r="N123" t="s">
        <v>18</v>
      </c>
      <c r="O123" s="9" t="str">
        <f>IF(Table1_1[[#This Row],[Purchased Bike]]="yes","1","0")</f>
        <v>0</v>
      </c>
      <c r="P123" s="4" t="str">
        <f>IF(Table1_1[[#This Row],[Income]]&lt;=30000,"Low ",IF(Table1_1[[#This Row],[Income]]&lt;=70000,"Middle","High"))</f>
        <v>High</v>
      </c>
      <c r="Q123" s="6" t="str">
        <f>IF(Table1_1[[#This Row],[Age]]&lt;30,"Young",IF(Table1_1[[#This Row],[Age]]&lt;50,"Middle aged","Senior citizen"))</f>
        <v>Middle aged</v>
      </c>
      <c r="R123" s="7">
        <f>IF(Table1_1[[#This Row],[Marriedarital SingletatuSingle]]="M",Table1_1[[#This Row],[Children]]+2,Table1_1[[#This Row],[Children]]+1)</f>
        <v>3</v>
      </c>
      <c r="S123" s="4" t="str">
        <f>IF(Table1_1[[#This Row],[Cars]]=0,"No","Yes")</f>
        <v>Yes</v>
      </c>
      <c r="T123" s="6" t="str">
        <f>IF(AND(Table1_1[[#This Row],[Income]]&gt;50000,Table1_1[[#This Row],[Home Owner]]="Yes"),"High stability","Low stability")</f>
        <v>High stability</v>
      </c>
      <c r="U123" s="3">
        <f>Table1_1[[#This Row],[Income]]/Table1_1[[#This Row],[Family size]]</f>
        <v>50000</v>
      </c>
      <c r="V123" s="6" t="str">
        <f>IF(Table1_1[[#This Row],[Occupation]]="Skilled manual","Blue collar",IF(Table1_1[[#This Row],[Occupation]]="Manual","Blue collar","White collar"))</f>
        <v>White collar</v>
      </c>
    </row>
    <row r="124" spans="1:22" x14ac:dyDescent="0.3">
      <c r="A124" t="s">
        <v>158</v>
      </c>
      <c r="B124" s="6" t="s">
        <v>1044</v>
      </c>
      <c r="C124" s="6" t="s">
        <v>1045</v>
      </c>
      <c r="D124" s="3">
        <v>80000</v>
      </c>
      <c r="E124">
        <v>0</v>
      </c>
      <c r="F124" s="6" t="s">
        <v>13</v>
      </c>
      <c r="G124" s="6" t="s">
        <v>21</v>
      </c>
      <c r="H124" s="6" t="s">
        <v>18</v>
      </c>
      <c r="I124">
        <v>3</v>
      </c>
      <c r="J124" t="s">
        <v>30</v>
      </c>
      <c r="K1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24" s="6" t="s">
        <v>24</v>
      </c>
      <c r="M124" s="7">
        <v>31</v>
      </c>
      <c r="N124" t="s">
        <v>18</v>
      </c>
      <c r="O124" s="9" t="str">
        <f>IF(Table1_1[[#This Row],[Purchased Bike]]="yes","1","0")</f>
        <v>0</v>
      </c>
      <c r="P124" s="4" t="str">
        <f>IF(Table1_1[[#This Row],[Income]]&lt;=30000,"Low ",IF(Table1_1[[#This Row],[Income]]&lt;=70000,"Middle","High"))</f>
        <v>High</v>
      </c>
      <c r="Q124" s="6" t="str">
        <f>IF(Table1_1[[#This Row],[Age]]&lt;30,"Young",IF(Table1_1[[#This Row],[Age]]&lt;50,"Middle aged","Senior citizen"))</f>
        <v>Middle aged</v>
      </c>
      <c r="R124" s="7">
        <f>IF(Table1_1[[#This Row],[Marriedarital SingletatuSingle]]="M",Table1_1[[#This Row],[Children]]+2,Table1_1[[#This Row],[Children]]+1)</f>
        <v>1</v>
      </c>
      <c r="S124" s="4" t="str">
        <f>IF(Table1_1[[#This Row],[Cars]]=0,"No","Yes")</f>
        <v>Yes</v>
      </c>
      <c r="T124" s="6" t="str">
        <f>IF(AND(Table1_1[[#This Row],[Income]]&gt;50000,Table1_1[[#This Row],[Home Owner]]="Yes"),"High stability","Low stability")</f>
        <v>Low stability</v>
      </c>
      <c r="U124" s="3">
        <f>Table1_1[[#This Row],[Income]]/Table1_1[[#This Row],[Family size]]</f>
        <v>80000</v>
      </c>
      <c r="V124" s="6" t="str">
        <f>IF(Table1_1[[#This Row],[Occupation]]="Skilled manual","Blue collar",IF(Table1_1[[#This Row],[Occupation]]="Manual","Blue collar","White collar"))</f>
        <v>White collar</v>
      </c>
    </row>
    <row r="125" spans="1:22" x14ac:dyDescent="0.3">
      <c r="A125" t="s">
        <v>159</v>
      </c>
      <c r="B125" s="6" t="s">
        <v>1044</v>
      </c>
      <c r="C125" s="6" t="s">
        <v>1045</v>
      </c>
      <c r="D125" s="3">
        <v>100000</v>
      </c>
      <c r="E125">
        <v>3</v>
      </c>
      <c r="F125" s="6" t="s">
        <v>19</v>
      </c>
      <c r="G125" s="6" t="s">
        <v>28</v>
      </c>
      <c r="H125" s="6" t="s">
        <v>18</v>
      </c>
      <c r="I125">
        <v>4</v>
      </c>
      <c r="J125" t="s">
        <v>23</v>
      </c>
      <c r="K1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25" s="6" t="s">
        <v>17</v>
      </c>
      <c r="M125" s="7">
        <v>56</v>
      </c>
      <c r="N125" t="s">
        <v>18</v>
      </c>
      <c r="O125" s="9" t="str">
        <f>IF(Table1_1[[#This Row],[Purchased Bike]]="yes","1","0")</f>
        <v>0</v>
      </c>
      <c r="P125" s="4" t="str">
        <f>IF(Table1_1[[#This Row],[Income]]&lt;=30000,"Low ",IF(Table1_1[[#This Row],[Income]]&lt;=70000,"Middle","High"))</f>
        <v>High</v>
      </c>
      <c r="Q125" s="6" t="str">
        <f>IF(Table1_1[[#This Row],[Age]]&lt;30,"Young",IF(Table1_1[[#This Row],[Age]]&lt;50,"Middle aged","Senior citizen"))</f>
        <v>Senior citizen</v>
      </c>
      <c r="R125" s="7">
        <f>IF(Table1_1[[#This Row],[Marriedarital SingletatuSingle]]="M",Table1_1[[#This Row],[Children]]+2,Table1_1[[#This Row],[Children]]+1)</f>
        <v>4</v>
      </c>
      <c r="S125" s="4" t="str">
        <f>IF(Table1_1[[#This Row],[Cars]]=0,"No","Yes")</f>
        <v>Yes</v>
      </c>
      <c r="T125" s="6" t="str">
        <f>IF(AND(Table1_1[[#This Row],[Income]]&gt;50000,Table1_1[[#This Row],[Home Owner]]="Yes"),"High stability","Low stability")</f>
        <v>Low stability</v>
      </c>
      <c r="U125" s="3">
        <f>Table1_1[[#This Row],[Income]]/Table1_1[[#This Row],[Family size]]</f>
        <v>25000</v>
      </c>
      <c r="V125" s="6" t="str">
        <f>IF(Table1_1[[#This Row],[Occupation]]="Skilled manual","Blue collar",IF(Table1_1[[#This Row],[Occupation]]="Manual","Blue collar","White collar"))</f>
        <v>White collar</v>
      </c>
    </row>
    <row r="126" spans="1:22" x14ac:dyDescent="0.3">
      <c r="A126" t="s">
        <v>160</v>
      </c>
      <c r="B126" s="6" t="s">
        <v>1044</v>
      </c>
      <c r="C126" s="6" t="s">
        <v>1045</v>
      </c>
      <c r="D126" s="3">
        <v>40000</v>
      </c>
      <c r="E126">
        <v>0</v>
      </c>
      <c r="F126" s="6" t="s">
        <v>13</v>
      </c>
      <c r="G126" s="6" t="s">
        <v>20</v>
      </c>
      <c r="H126" s="6" t="s">
        <v>18</v>
      </c>
      <c r="I126">
        <v>0</v>
      </c>
      <c r="J126" t="s">
        <v>16</v>
      </c>
      <c r="K1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26" s="6" t="s">
        <v>17</v>
      </c>
      <c r="M126" s="7">
        <v>38</v>
      </c>
      <c r="N126" t="s">
        <v>15</v>
      </c>
      <c r="O126" s="9" t="str">
        <f>IF(Table1_1[[#This Row],[Purchased Bike]]="yes","1","0")</f>
        <v>1</v>
      </c>
      <c r="P126" s="4" t="str">
        <f>IF(Table1_1[[#This Row],[Income]]&lt;=30000,"Low ",IF(Table1_1[[#This Row],[Income]]&lt;=70000,"Middle","High"))</f>
        <v>Middle</v>
      </c>
      <c r="Q126" s="6" t="str">
        <f>IF(Table1_1[[#This Row],[Age]]&lt;30,"Young",IF(Table1_1[[#This Row],[Age]]&lt;50,"Middle aged","Senior citizen"))</f>
        <v>Middle aged</v>
      </c>
      <c r="R126" s="7">
        <f>IF(Table1_1[[#This Row],[Marriedarital SingletatuSingle]]="M",Table1_1[[#This Row],[Children]]+2,Table1_1[[#This Row],[Children]]+1)</f>
        <v>1</v>
      </c>
      <c r="S126" s="4" t="str">
        <f>IF(Table1_1[[#This Row],[Cars]]=0,"No","Yes")</f>
        <v>No</v>
      </c>
      <c r="T126" s="6" t="str">
        <f>IF(AND(Table1_1[[#This Row],[Income]]&gt;50000,Table1_1[[#This Row],[Home Owner]]="Yes"),"High stability","Low stability")</f>
        <v>Low stability</v>
      </c>
      <c r="U126" s="3">
        <f>Table1_1[[#This Row],[Income]]/Table1_1[[#This Row],[Family size]]</f>
        <v>40000</v>
      </c>
      <c r="V126" s="6" t="str">
        <f>IF(Table1_1[[#This Row],[Occupation]]="Skilled manual","Blue collar",IF(Table1_1[[#This Row],[Occupation]]="Manual","Blue collar","White collar"))</f>
        <v>White collar</v>
      </c>
    </row>
    <row r="127" spans="1:22" x14ac:dyDescent="0.3">
      <c r="A127" t="s">
        <v>161</v>
      </c>
      <c r="B127" s="6" t="s">
        <v>1042</v>
      </c>
      <c r="C127" s="6" t="s">
        <v>1046</v>
      </c>
      <c r="D127" s="3">
        <v>80000</v>
      </c>
      <c r="E127">
        <v>5</v>
      </c>
      <c r="F127" s="6" t="s">
        <v>13</v>
      </c>
      <c r="G127" s="6" t="s">
        <v>21</v>
      </c>
      <c r="H127" s="6" t="s">
        <v>15</v>
      </c>
      <c r="I127">
        <v>4</v>
      </c>
      <c r="J127" t="s">
        <v>26</v>
      </c>
      <c r="K1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27" s="6" t="s">
        <v>24</v>
      </c>
      <c r="M127" s="7">
        <v>40</v>
      </c>
      <c r="N127" t="s">
        <v>18</v>
      </c>
      <c r="O127" s="9" t="str">
        <f>IF(Table1_1[[#This Row],[Purchased Bike]]="yes","1","0")</f>
        <v>0</v>
      </c>
      <c r="P127" s="4" t="str">
        <f>IF(Table1_1[[#This Row],[Income]]&lt;=30000,"Low ",IF(Table1_1[[#This Row],[Income]]&lt;=70000,"Middle","High"))</f>
        <v>High</v>
      </c>
      <c r="Q127" s="6" t="str">
        <f>IF(Table1_1[[#This Row],[Age]]&lt;30,"Young",IF(Table1_1[[#This Row],[Age]]&lt;50,"Middle aged","Senior citizen"))</f>
        <v>Middle aged</v>
      </c>
      <c r="R127" s="7">
        <f>IF(Table1_1[[#This Row],[Marriedarital SingletatuSingle]]="M",Table1_1[[#This Row],[Children]]+2,Table1_1[[#This Row],[Children]]+1)</f>
        <v>6</v>
      </c>
      <c r="S127" s="4" t="str">
        <f>IF(Table1_1[[#This Row],[Cars]]=0,"No","Yes")</f>
        <v>Yes</v>
      </c>
      <c r="T127" s="6" t="str">
        <f>IF(AND(Table1_1[[#This Row],[Income]]&gt;50000,Table1_1[[#This Row],[Home Owner]]="Yes"),"High stability","Low stability")</f>
        <v>High stability</v>
      </c>
      <c r="U127" s="3">
        <f>Table1_1[[#This Row],[Income]]/Table1_1[[#This Row],[Family size]]</f>
        <v>13333.333333333334</v>
      </c>
      <c r="V127" s="6" t="str">
        <f>IF(Table1_1[[#This Row],[Occupation]]="Skilled manual","Blue collar",IF(Table1_1[[#This Row],[Occupation]]="Manual","Blue collar","White collar"))</f>
        <v>White collar</v>
      </c>
    </row>
    <row r="128" spans="1:22" x14ac:dyDescent="0.3">
      <c r="A128" t="s">
        <v>162</v>
      </c>
      <c r="B128" s="6" t="s">
        <v>1044</v>
      </c>
      <c r="C128" s="6" t="s">
        <v>1046</v>
      </c>
      <c r="D128" s="3">
        <v>30000</v>
      </c>
      <c r="E128">
        <v>0</v>
      </c>
      <c r="F128" s="6" t="s">
        <v>19</v>
      </c>
      <c r="G128" s="6" t="s">
        <v>20</v>
      </c>
      <c r="H128" s="6" t="s">
        <v>15</v>
      </c>
      <c r="I128">
        <v>1</v>
      </c>
      <c r="J128" t="s">
        <v>22</v>
      </c>
      <c r="K1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28" s="6" t="s">
        <v>17</v>
      </c>
      <c r="M128" s="7">
        <v>32</v>
      </c>
      <c r="N128" t="s">
        <v>18</v>
      </c>
      <c r="O128" s="9" t="str">
        <f>IF(Table1_1[[#This Row],[Purchased Bike]]="yes","1","0")</f>
        <v>0</v>
      </c>
      <c r="P128" s="4" t="str">
        <f>IF(Table1_1[[#This Row],[Income]]&lt;=30000,"Low ",IF(Table1_1[[#This Row],[Income]]&lt;=70000,"Middle","High"))</f>
        <v xml:space="preserve">Low </v>
      </c>
      <c r="Q128" s="6" t="str">
        <f>IF(Table1_1[[#This Row],[Age]]&lt;30,"Young",IF(Table1_1[[#This Row],[Age]]&lt;50,"Middle aged","Senior citizen"))</f>
        <v>Middle aged</v>
      </c>
      <c r="R128" s="7">
        <f>IF(Table1_1[[#This Row],[Marriedarital SingletatuSingle]]="M",Table1_1[[#This Row],[Children]]+2,Table1_1[[#This Row],[Children]]+1)</f>
        <v>1</v>
      </c>
      <c r="S128" s="4" t="str">
        <f>IF(Table1_1[[#This Row],[Cars]]=0,"No","Yes")</f>
        <v>Yes</v>
      </c>
      <c r="T128" s="6" t="str">
        <f>IF(AND(Table1_1[[#This Row],[Income]]&gt;50000,Table1_1[[#This Row],[Home Owner]]="Yes"),"High stability","Low stability")</f>
        <v>Low stability</v>
      </c>
      <c r="U128" s="3">
        <f>Table1_1[[#This Row],[Income]]/Table1_1[[#This Row],[Family size]]</f>
        <v>30000</v>
      </c>
      <c r="V128" s="6" t="str">
        <f>IF(Table1_1[[#This Row],[Occupation]]="Skilled manual","Blue collar",IF(Table1_1[[#This Row],[Occupation]]="Manual","Blue collar","White collar"))</f>
        <v>White collar</v>
      </c>
    </row>
    <row r="129" spans="1:22" x14ac:dyDescent="0.3">
      <c r="A129" t="s">
        <v>163</v>
      </c>
      <c r="B129" s="6" t="s">
        <v>1042</v>
      </c>
      <c r="C129" s="6" t="s">
        <v>1046</v>
      </c>
      <c r="D129" s="3">
        <v>30000</v>
      </c>
      <c r="E129">
        <v>1</v>
      </c>
      <c r="F129" s="6" t="s">
        <v>13</v>
      </c>
      <c r="G129" s="6" t="s">
        <v>20</v>
      </c>
      <c r="H129" s="6" t="s">
        <v>15</v>
      </c>
      <c r="I129">
        <v>1</v>
      </c>
      <c r="J129" t="s">
        <v>22</v>
      </c>
      <c r="K1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29" s="6" t="s">
        <v>17</v>
      </c>
      <c r="M129" s="7">
        <v>39</v>
      </c>
      <c r="N129" t="s">
        <v>18</v>
      </c>
      <c r="O129" s="9" t="str">
        <f>IF(Table1_1[[#This Row],[Purchased Bike]]="yes","1","0")</f>
        <v>0</v>
      </c>
      <c r="P129" s="4" t="str">
        <f>IF(Table1_1[[#This Row],[Income]]&lt;=30000,"Low ",IF(Table1_1[[#This Row],[Income]]&lt;=70000,"Middle","High"))</f>
        <v xml:space="preserve">Low </v>
      </c>
      <c r="Q129" s="6" t="str">
        <f>IF(Table1_1[[#This Row],[Age]]&lt;30,"Young",IF(Table1_1[[#This Row],[Age]]&lt;50,"Middle aged","Senior citizen"))</f>
        <v>Middle aged</v>
      </c>
      <c r="R129" s="7">
        <f>IF(Table1_1[[#This Row],[Marriedarital SingletatuSingle]]="M",Table1_1[[#This Row],[Children]]+2,Table1_1[[#This Row],[Children]]+1)</f>
        <v>2</v>
      </c>
      <c r="S129" s="4" t="str">
        <f>IF(Table1_1[[#This Row],[Cars]]=0,"No","Yes")</f>
        <v>Yes</v>
      </c>
      <c r="T129" s="6" t="str">
        <f>IF(AND(Table1_1[[#This Row],[Income]]&gt;50000,Table1_1[[#This Row],[Home Owner]]="Yes"),"High stability","Low stability")</f>
        <v>Low stability</v>
      </c>
      <c r="U129" s="3">
        <f>Table1_1[[#This Row],[Income]]/Table1_1[[#This Row],[Family size]]</f>
        <v>15000</v>
      </c>
      <c r="V129" s="6" t="str">
        <f>IF(Table1_1[[#This Row],[Occupation]]="Skilled manual","Blue collar",IF(Table1_1[[#This Row],[Occupation]]="Manual","Blue collar","White collar"))</f>
        <v>White collar</v>
      </c>
    </row>
    <row r="130" spans="1:22" x14ac:dyDescent="0.3">
      <c r="A130" t="s">
        <v>164</v>
      </c>
      <c r="B130" s="6" t="s">
        <v>1044</v>
      </c>
      <c r="C130" s="6" t="s">
        <v>1046</v>
      </c>
      <c r="D130" s="3">
        <v>10000</v>
      </c>
      <c r="E130">
        <v>2</v>
      </c>
      <c r="F130" s="6" t="s">
        <v>19</v>
      </c>
      <c r="G130" s="6" t="s">
        <v>25</v>
      </c>
      <c r="H130" s="6" t="s">
        <v>15</v>
      </c>
      <c r="I130">
        <v>1</v>
      </c>
      <c r="J130" t="s">
        <v>16</v>
      </c>
      <c r="K1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30" s="6" t="s">
        <v>17</v>
      </c>
      <c r="M130" s="7">
        <v>52</v>
      </c>
      <c r="N130" t="s">
        <v>15</v>
      </c>
      <c r="O130" s="9" t="str">
        <f>IF(Table1_1[[#This Row],[Purchased Bike]]="yes","1","0")</f>
        <v>1</v>
      </c>
      <c r="P130" s="4" t="str">
        <f>IF(Table1_1[[#This Row],[Income]]&lt;=30000,"Low ",IF(Table1_1[[#This Row],[Income]]&lt;=70000,"Middle","High"))</f>
        <v xml:space="preserve">Low </v>
      </c>
      <c r="Q130" s="6" t="str">
        <f>IF(Table1_1[[#This Row],[Age]]&lt;30,"Young",IF(Table1_1[[#This Row],[Age]]&lt;50,"Middle aged","Senior citizen"))</f>
        <v>Senior citizen</v>
      </c>
      <c r="R130" s="7">
        <f>IF(Table1_1[[#This Row],[Marriedarital SingletatuSingle]]="M",Table1_1[[#This Row],[Children]]+2,Table1_1[[#This Row],[Children]]+1)</f>
        <v>3</v>
      </c>
      <c r="S130" s="4" t="str">
        <f>IF(Table1_1[[#This Row],[Cars]]=0,"No","Yes")</f>
        <v>Yes</v>
      </c>
      <c r="T130" s="6" t="str">
        <f>IF(AND(Table1_1[[#This Row],[Income]]&gt;50000,Table1_1[[#This Row],[Home Owner]]="Yes"),"High stability","Low stability")</f>
        <v>Low stability</v>
      </c>
      <c r="U130" s="3">
        <f>Table1_1[[#This Row],[Income]]/Table1_1[[#This Row],[Family size]]</f>
        <v>3333.3333333333335</v>
      </c>
      <c r="V130" s="6" t="str">
        <f>IF(Table1_1[[#This Row],[Occupation]]="Skilled manual","Blue collar",IF(Table1_1[[#This Row],[Occupation]]="Manual","Blue collar","White collar"))</f>
        <v>Blue collar</v>
      </c>
    </row>
    <row r="131" spans="1:22" x14ac:dyDescent="0.3">
      <c r="A131" t="s">
        <v>165</v>
      </c>
      <c r="B131" s="6" t="s">
        <v>1044</v>
      </c>
      <c r="C131" s="6" t="s">
        <v>1046</v>
      </c>
      <c r="D131" s="3">
        <v>10000</v>
      </c>
      <c r="E131">
        <v>3</v>
      </c>
      <c r="F131" s="6" t="s">
        <v>27</v>
      </c>
      <c r="G131" s="6" t="s">
        <v>25</v>
      </c>
      <c r="H131" s="6" t="s">
        <v>15</v>
      </c>
      <c r="I131">
        <v>1</v>
      </c>
      <c r="J131" t="s">
        <v>16</v>
      </c>
      <c r="K1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31" s="6" t="s">
        <v>17</v>
      </c>
      <c r="M131" s="7">
        <v>39</v>
      </c>
      <c r="N131" t="s">
        <v>15</v>
      </c>
      <c r="O131" s="9" t="str">
        <f>IF(Table1_1[[#This Row],[Purchased Bike]]="yes","1","0")</f>
        <v>1</v>
      </c>
      <c r="P131" s="4" t="str">
        <f>IF(Table1_1[[#This Row],[Income]]&lt;=30000,"Low ",IF(Table1_1[[#This Row],[Income]]&lt;=70000,"Middle","High"))</f>
        <v xml:space="preserve">Low </v>
      </c>
      <c r="Q131" s="6" t="str">
        <f>IF(Table1_1[[#This Row],[Age]]&lt;30,"Young",IF(Table1_1[[#This Row],[Age]]&lt;50,"Middle aged","Senior citizen"))</f>
        <v>Middle aged</v>
      </c>
      <c r="R131" s="7">
        <f>IF(Table1_1[[#This Row],[Marriedarital SingletatuSingle]]="M",Table1_1[[#This Row],[Children]]+2,Table1_1[[#This Row],[Children]]+1)</f>
        <v>4</v>
      </c>
      <c r="S131" s="4" t="str">
        <f>IF(Table1_1[[#This Row],[Cars]]=0,"No","Yes")</f>
        <v>Yes</v>
      </c>
      <c r="T131" s="6" t="str">
        <f>IF(AND(Table1_1[[#This Row],[Income]]&gt;50000,Table1_1[[#This Row],[Home Owner]]="Yes"),"High stability","Low stability")</f>
        <v>Low stability</v>
      </c>
      <c r="U131" s="3">
        <f>Table1_1[[#This Row],[Income]]/Table1_1[[#This Row],[Family size]]</f>
        <v>2500</v>
      </c>
      <c r="V131" s="6" t="str">
        <f>IF(Table1_1[[#This Row],[Occupation]]="Skilled manual","Blue collar",IF(Table1_1[[#This Row],[Occupation]]="Manual","Blue collar","White collar"))</f>
        <v>Blue collar</v>
      </c>
    </row>
    <row r="132" spans="1:22" x14ac:dyDescent="0.3">
      <c r="A132" t="s">
        <v>166</v>
      </c>
      <c r="B132" s="6" t="s">
        <v>1042</v>
      </c>
      <c r="C132" s="6" t="s">
        <v>1046</v>
      </c>
      <c r="D132" s="3">
        <v>60000</v>
      </c>
      <c r="E132">
        <v>2</v>
      </c>
      <c r="F132" s="6" t="s">
        <v>13</v>
      </c>
      <c r="G132" s="6" t="s">
        <v>21</v>
      </c>
      <c r="H132" s="6" t="s">
        <v>15</v>
      </c>
      <c r="I132">
        <v>1</v>
      </c>
      <c r="J132" t="s">
        <v>22</v>
      </c>
      <c r="K1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32" s="6" t="s">
        <v>24</v>
      </c>
      <c r="M132" s="7">
        <v>37</v>
      </c>
      <c r="N132" t="s">
        <v>18</v>
      </c>
      <c r="O132" s="9" t="str">
        <f>IF(Table1_1[[#This Row],[Purchased Bike]]="yes","1","0")</f>
        <v>0</v>
      </c>
      <c r="P132" s="4" t="str">
        <f>IF(Table1_1[[#This Row],[Income]]&lt;=30000,"Low ",IF(Table1_1[[#This Row],[Income]]&lt;=70000,"Middle","High"))</f>
        <v>Middle</v>
      </c>
      <c r="Q132" s="6" t="str">
        <f>IF(Table1_1[[#This Row],[Age]]&lt;30,"Young",IF(Table1_1[[#This Row],[Age]]&lt;50,"Middle aged","Senior citizen"))</f>
        <v>Middle aged</v>
      </c>
      <c r="R132" s="7">
        <f>IF(Table1_1[[#This Row],[Marriedarital SingletatuSingle]]="M",Table1_1[[#This Row],[Children]]+2,Table1_1[[#This Row],[Children]]+1)</f>
        <v>3</v>
      </c>
      <c r="S132" s="4" t="str">
        <f>IF(Table1_1[[#This Row],[Cars]]=0,"No","Yes")</f>
        <v>Yes</v>
      </c>
      <c r="T132" s="6" t="str">
        <f>IF(AND(Table1_1[[#This Row],[Income]]&gt;50000,Table1_1[[#This Row],[Home Owner]]="Yes"),"High stability","Low stability")</f>
        <v>High stability</v>
      </c>
      <c r="U132" s="3">
        <f>Table1_1[[#This Row],[Income]]/Table1_1[[#This Row],[Family size]]</f>
        <v>20000</v>
      </c>
      <c r="V132" s="6" t="str">
        <f>IF(Table1_1[[#This Row],[Occupation]]="Skilled manual","Blue collar",IF(Table1_1[[#This Row],[Occupation]]="Manual","Blue collar","White collar"))</f>
        <v>White collar</v>
      </c>
    </row>
    <row r="133" spans="1:22" x14ac:dyDescent="0.3">
      <c r="A133" t="s">
        <v>167</v>
      </c>
      <c r="B133" s="6" t="s">
        <v>1042</v>
      </c>
      <c r="C133" s="6" t="s">
        <v>1046</v>
      </c>
      <c r="D133" s="3">
        <v>90000</v>
      </c>
      <c r="E133">
        <v>4</v>
      </c>
      <c r="F133" s="6" t="s">
        <v>27</v>
      </c>
      <c r="G133" s="6" t="s">
        <v>28</v>
      </c>
      <c r="H133" s="6" t="s">
        <v>15</v>
      </c>
      <c r="I133">
        <v>3</v>
      </c>
      <c r="J133" t="s">
        <v>23</v>
      </c>
      <c r="K1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33" s="6" t="s">
        <v>17</v>
      </c>
      <c r="M133" s="7">
        <v>56</v>
      </c>
      <c r="N133" t="s">
        <v>15</v>
      </c>
      <c r="O133" s="9" t="str">
        <f>IF(Table1_1[[#This Row],[Purchased Bike]]="yes","1","0")</f>
        <v>1</v>
      </c>
      <c r="P133" s="4" t="str">
        <f>IF(Table1_1[[#This Row],[Income]]&lt;=30000,"Low ",IF(Table1_1[[#This Row],[Income]]&lt;=70000,"Middle","High"))</f>
        <v>High</v>
      </c>
      <c r="Q133" s="6" t="str">
        <f>IF(Table1_1[[#This Row],[Age]]&lt;30,"Young",IF(Table1_1[[#This Row],[Age]]&lt;50,"Middle aged","Senior citizen"))</f>
        <v>Senior citizen</v>
      </c>
      <c r="R133" s="7">
        <f>IF(Table1_1[[#This Row],[Marriedarital SingletatuSingle]]="M",Table1_1[[#This Row],[Children]]+2,Table1_1[[#This Row],[Children]]+1)</f>
        <v>5</v>
      </c>
      <c r="S133" s="4" t="str">
        <f>IF(Table1_1[[#This Row],[Cars]]=0,"No","Yes")</f>
        <v>Yes</v>
      </c>
      <c r="T133" s="6" t="str">
        <f>IF(AND(Table1_1[[#This Row],[Income]]&gt;50000,Table1_1[[#This Row],[Home Owner]]="Yes"),"High stability","Low stability")</f>
        <v>High stability</v>
      </c>
      <c r="U133" s="3">
        <f>Table1_1[[#This Row],[Income]]/Table1_1[[#This Row],[Family size]]</f>
        <v>18000</v>
      </c>
      <c r="V133" s="6" t="str">
        <f>IF(Table1_1[[#This Row],[Occupation]]="Skilled manual","Blue collar",IF(Table1_1[[#This Row],[Occupation]]="Manual","Blue collar","White collar"))</f>
        <v>White collar</v>
      </c>
    </row>
    <row r="134" spans="1:22" x14ac:dyDescent="0.3">
      <c r="A134" t="s">
        <v>168</v>
      </c>
      <c r="B134" s="6" t="s">
        <v>1042</v>
      </c>
      <c r="C134" s="6" t="s">
        <v>1046</v>
      </c>
      <c r="D134" s="3">
        <v>40000</v>
      </c>
      <c r="E134">
        <v>0</v>
      </c>
      <c r="F134" s="6" t="s">
        <v>13</v>
      </c>
      <c r="G134" s="6" t="s">
        <v>21</v>
      </c>
      <c r="H134" s="6" t="s">
        <v>15</v>
      </c>
      <c r="I134">
        <v>0</v>
      </c>
      <c r="J134" t="s">
        <v>16</v>
      </c>
      <c r="K1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34" s="6" t="s">
        <v>17</v>
      </c>
      <c r="M134" s="7">
        <v>40</v>
      </c>
      <c r="N134" t="s">
        <v>15</v>
      </c>
      <c r="O134" s="9" t="str">
        <f>IF(Table1_1[[#This Row],[Purchased Bike]]="yes","1","0")</f>
        <v>1</v>
      </c>
      <c r="P134" s="4" t="str">
        <f>IF(Table1_1[[#This Row],[Income]]&lt;=30000,"Low ",IF(Table1_1[[#This Row],[Income]]&lt;=70000,"Middle","High"))</f>
        <v>Middle</v>
      </c>
      <c r="Q134" s="6" t="str">
        <f>IF(Table1_1[[#This Row],[Age]]&lt;30,"Young",IF(Table1_1[[#This Row],[Age]]&lt;50,"Middle aged","Senior citizen"))</f>
        <v>Middle aged</v>
      </c>
      <c r="R134" s="7">
        <f>IF(Table1_1[[#This Row],[Marriedarital SingletatuSingle]]="M",Table1_1[[#This Row],[Children]]+2,Table1_1[[#This Row],[Children]]+1)</f>
        <v>1</v>
      </c>
      <c r="S134" s="4" t="str">
        <f>IF(Table1_1[[#This Row],[Cars]]=0,"No","Yes")</f>
        <v>No</v>
      </c>
      <c r="T134" s="6" t="str">
        <f>IF(AND(Table1_1[[#This Row],[Income]]&gt;50000,Table1_1[[#This Row],[Home Owner]]="Yes"),"High stability","Low stability")</f>
        <v>Low stability</v>
      </c>
      <c r="U134" s="3">
        <f>Table1_1[[#This Row],[Income]]/Table1_1[[#This Row],[Family size]]</f>
        <v>40000</v>
      </c>
      <c r="V134" s="6" t="str">
        <f>IF(Table1_1[[#This Row],[Occupation]]="Skilled manual","Blue collar",IF(Table1_1[[#This Row],[Occupation]]="Manual","Blue collar","White collar"))</f>
        <v>White collar</v>
      </c>
    </row>
    <row r="135" spans="1:22" x14ac:dyDescent="0.3">
      <c r="A135" t="s">
        <v>169</v>
      </c>
      <c r="B135" s="6" t="s">
        <v>1044</v>
      </c>
      <c r="C135" s="6" t="s">
        <v>1046</v>
      </c>
      <c r="D135" s="3">
        <v>40000</v>
      </c>
      <c r="E135">
        <v>2</v>
      </c>
      <c r="F135" s="6" t="s">
        <v>13</v>
      </c>
      <c r="G135" s="6" t="s">
        <v>28</v>
      </c>
      <c r="H135" s="6" t="s">
        <v>15</v>
      </c>
      <c r="I135">
        <v>2</v>
      </c>
      <c r="J135" t="s">
        <v>23</v>
      </c>
      <c r="K1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35" s="6" t="s">
        <v>24</v>
      </c>
      <c r="M135" s="7">
        <v>65</v>
      </c>
      <c r="N135" t="s">
        <v>15</v>
      </c>
      <c r="O135" s="9" t="str">
        <f>IF(Table1_1[[#This Row],[Purchased Bike]]="yes","1","0")</f>
        <v>1</v>
      </c>
      <c r="P135" s="4" t="str">
        <f>IF(Table1_1[[#This Row],[Income]]&lt;=30000,"Low ",IF(Table1_1[[#This Row],[Income]]&lt;=70000,"Middle","High"))</f>
        <v>Middle</v>
      </c>
      <c r="Q135" s="6" t="str">
        <f>IF(Table1_1[[#This Row],[Age]]&lt;30,"Young",IF(Table1_1[[#This Row],[Age]]&lt;50,"Middle aged","Senior citizen"))</f>
        <v>Senior citizen</v>
      </c>
      <c r="R135" s="7">
        <f>IF(Table1_1[[#This Row],[Marriedarital SingletatuSingle]]="M",Table1_1[[#This Row],[Children]]+2,Table1_1[[#This Row],[Children]]+1)</f>
        <v>3</v>
      </c>
      <c r="S135" s="4" t="str">
        <f>IF(Table1_1[[#This Row],[Cars]]=0,"No","Yes")</f>
        <v>Yes</v>
      </c>
      <c r="T135" s="6" t="str">
        <f>IF(AND(Table1_1[[#This Row],[Income]]&gt;50000,Table1_1[[#This Row],[Home Owner]]="Yes"),"High stability","Low stability")</f>
        <v>Low stability</v>
      </c>
      <c r="U135" s="3">
        <f>Table1_1[[#This Row],[Income]]/Table1_1[[#This Row],[Family size]]</f>
        <v>13333.333333333334</v>
      </c>
      <c r="V135" s="6" t="str">
        <f>IF(Table1_1[[#This Row],[Occupation]]="Skilled manual","Blue collar",IF(Table1_1[[#This Row],[Occupation]]="Manual","Blue collar","White collar"))</f>
        <v>White collar</v>
      </c>
    </row>
    <row r="136" spans="1:22" x14ac:dyDescent="0.3">
      <c r="A136" t="s">
        <v>170</v>
      </c>
      <c r="B136" s="6" t="s">
        <v>1044</v>
      </c>
      <c r="C136" s="6" t="s">
        <v>1045</v>
      </c>
      <c r="D136" s="3">
        <v>30000</v>
      </c>
      <c r="E136">
        <v>2</v>
      </c>
      <c r="F136" s="6" t="s">
        <v>19</v>
      </c>
      <c r="G136" s="6" t="s">
        <v>20</v>
      </c>
      <c r="H136" s="6" t="s">
        <v>15</v>
      </c>
      <c r="I136">
        <v>2</v>
      </c>
      <c r="J136" t="s">
        <v>16</v>
      </c>
      <c r="K1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36" s="6" t="s">
        <v>17</v>
      </c>
      <c r="M136" s="7">
        <v>42</v>
      </c>
      <c r="N136" t="s">
        <v>18</v>
      </c>
      <c r="O136" s="9" t="str">
        <f>IF(Table1_1[[#This Row],[Purchased Bike]]="yes","1","0")</f>
        <v>0</v>
      </c>
      <c r="P136" s="4" t="str">
        <f>IF(Table1_1[[#This Row],[Income]]&lt;=30000,"Low ",IF(Table1_1[[#This Row],[Income]]&lt;=70000,"Middle","High"))</f>
        <v xml:space="preserve">Low </v>
      </c>
      <c r="Q136" s="6" t="str">
        <f>IF(Table1_1[[#This Row],[Age]]&lt;30,"Young",IF(Table1_1[[#This Row],[Age]]&lt;50,"Middle aged","Senior citizen"))</f>
        <v>Middle aged</v>
      </c>
      <c r="R136" s="7">
        <f>IF(Table1_1[[#This Row],[Marriedarital SingletatuSingle]]="M",Table1_1[[#This Row],[Children]]+2,Table1_1[[#This Row],[Children]]+1)</f>
        <v>3</v>
      </c>
      <c r="S136" s="4" t="str">
        <f>IF(Table1_1[[#This Row],[Cars]]=0,"No","Yes")</f>
        <v>Yes</v>
      </c>
      <c r="T136" s="6" t="str">
        <f>IF(AND(Table1_1[[#This Row],[Income]]&gt;50000,Table1_1[[#This Row],[Home Owner]]="Yes"),"High stability","Low stability")</f>
        <v>Low stability</v>
      </c>
      <c r="U136" s="3">
        <f>Table1_1[[#This Row],[Income]]/Table1_1[[#This Row],[Family size]]</f>
        <v>10000</v>
      </c>
      <c r="V136" s="6" t="str">
        <f>IF(Table1_1[[#This Row],[Occupation]]="Skilled manual","Blue collar",IF(Table1_1[[#This Row],[Occupation]]="Manual","Blue collar","White collar"))</f>
        <v>White collar</v>
      </c>
    </row>
    <row r="137" spans="1:22" x14ac:dyDescent="0.3">
      <c r="A137" t="s">
        <v>171</v>
      </c>
      <c r="B137" s="6" t="s">
        <v>1042</v>
      </c>
      <c r="C137" s="6" t="s">
        <v>1046</v>
      </c>
      <c r="D137" s="3">
        <v>10000</v>
      </c>
      <c r="E137">
        <v>2</v>
      </c>
      <c r="F137" s="6" t="s">
        <v>19</v>
      </c>
      <c r="G137" s="6" t="s">
        <v>25</v>
      </c>
      <c r="H137" s="6" t="s">
        <v>15</v>
      </c>
      <c r="I137">
        <v>1</v>
      </c>
      <c r="J137" t="s">
        <v>22</v>
      </c>
      <c r="K1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37" s="6" t="s">
        <v>17</v>
      </c>
      <c r="M137" s="7">
        <v>52</v>
      </c>
      <c r="N137" t="s">
        <v>18</v>
      </c>
      <c r="O137" s="9" t="str">
        <f>IF(Table1_1[[#This Row],[Purchased Bike]]="yes","1","0")</f>
        <v>0</v>
      </c>
      <c r="P137" s="4" t="str">
        <f>IF(Table1_1[[#This Row],[Income]]&lt;=30000,"Low ",IF(Table1_1[[#This Row],[Income]]&lt;=70000,"Middle","High"))</f>
        <v xml:space="preserve">Low </v>
      </c>
      <c r="Q137" s="6" t="str">
        <f>IF(Table1_1[[#This Row],[Age]]&lt;30,"Young",IF(Table1_1[[#This Row],[Age]]&lt;50,"Middle aged","Senior citizen"))</f>
        <v>Senior citizen</v>
      </c>
      <c r="R137" s="7">
        <f>IF(Table1_1[[#This Row],[Marriedarital SingletatuSingle]]="M",Table1_1[[#This Row],[Children]]+2,Table1_1[[#This Row],[Children]]+1)</f>
        <v>3</v>
      </c>
      <c r="S137" s="4" t="str">
        <f>IF(Table1_1[[#This Row],[Cars]]=0,"No","Yes")</f>
        <v>Yes</v>
      </c>
      <c r="T137" s="6" t="str">
        <f>IF(AND(Table1_1[[#This Row],[Income]]&gt;50000,Table1_1[[#This Row],[Home Owner]]="Yes"),"High stability","Low stability")</f>
        <v>Low stability</v>
      </c>
      <c r="U137" s="3">
        <f>Table1_1[[#This Row],[Income]]/Table1_1[[#This Row],[Family size]]</f>
        <v>3333.3333333333335</v>
      </c>
      <c r="V137" s="6" t="str">
        <f>IF(Table1_1[[#This Row],[Occupation]]="Skilled manual","Blue collar",IF(Table1_1[[#This Row],[Occupation]]="Manual","Blue collar","White collar"))</f>
        <v>Blue collar</v>
      </c>
    </row>
    <row r="138" spans="1:22" x14ac:dyDescent="0.3">
      <c r="A138" t="s">
        <v>172</v>
      </c>
      <c r="B138" s="6" t="s">
        <v>1044</v>
      </c>
      <c r="C138" s="6" t="s">
        <v>1045</v>
      </c>
      <c r="D138" s="3">
        <v>10000</v>
      </c>
      <c r="E138">
        <v>1</v>
      </c>
      <c r="F138" s="6" t="s">
        <v>27</v>
      </c>
      <c r="G138" s="6" t="s">
        <v>25</v>
      </c>
      <c r="H138" s="6" t="s">
        <v>18</v>
      </c>
      <c r="I138">
        <v>1</v>
      </c>
      <c r="J138" t="s">
        <v>23</v>
      </c>
      <c r="K1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38" s="6" t="s">
        <v>17</v>
      </c>
      <c r="M138" s="7">
        <v>35</v>
      </c>
      <c r="N138" t="s">
        <v>15</v>
      </c>
      <c r="O138" s="9" t="str">
        <f>IF(Table1_1[[#This Row],[Purchased Bike]]="yes","1","0")</f>
        <v>1</v>
      </c>
      <c r="P138" s="4" t="str">
        <f>IF(Table1_1[[#This Row],[Income]]&lt;=30000,"Low ",IF(Table1_1[[#This Row],[Income]]&lt;=70000,"Middle","High"))</f>
        <v xml:space="preserve">Low </v>
      </c>
      <c r="Q138" s="6" t="str">
        <f>IF(Table1_1[[#This Row],[Age]]&lt;30,"Young",IF(Table1_1[[#This Row],[Age]]&lt;50,"Middle aged","Senior citizen"))</f>
        <v>Middle aged</v>
      </c>
      <c r="R138" s="7">
        <f>IF(Table1_1[[#This Row],[Marriedarital SingletatuSingle]]="M",Table1_1[[#This Row],[Children]]+2,Table1_1[[#This Row],[Children]]+1)</f>
        <v>2</v>
      </c>
      <c r="S138" s="4" t="str">
        <f>IF(Table1_1[[#This Row],[Cars]]=0,"No","Yes")</f>
        <v>Yes</v>
      </c>
      <c r="T138" s="6" t="str">
        <f>IF(AND(Table1_1[[#This Row],[Income]]&gt;50000,Table1_1[[#This Row],[Home Owner]]="Yes"),"High stability","Low stability")</f>
        <v>Low stability</v>
      </c>
      <c r="U138" s="3">
        <f>Table1_1[[#This Row],[Income]]/Table1_1[[#This Row],[Family size]]</f>
        <v>5000</v>
      </c>
      <c r="V138" s="6" t="str">
        <f>IF(Table1_1[[#This Row],[Occupation]]="Skilled manual","Blue collar",IF(Table1_1[[#This Row],[Occupation]]="Manual","Blue collar","White collar"))</f>
        <v>Blue collar</v>
      </c>
    </row>
    <row r="139" spans="1:22" x14ac:dyDescent="0.3">
      <c r="A139" t="s">
        <v>173</v>
      </c>
      <c r="B139" s="6" t="s">
        <v>1044</v>
      </c>
      <c r="C139" s="6" t="s">
        <v>1046</v>
      </c>
      <c r="D139" s="3">
        <v>20000</v>
      </c>
      <c r="E139">
        <v>2</v>
      </c>
      <c r="F139" s="6" t="s">
        <v>27</v>
      </c>
      <c r="G139" s="6" t="s">
        <v>25</v>
      </c>
      <c r="H139" s="6" t="s">
        <v>15</v>
      </c>
      <c r="I139">
        <v>2</v>
      </c>
      <c r="J139" t="s">
        <v>16</v>
      </c>
      <c r="K1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39" s="6" t="s">
        <v>17</v>
      </c>
      <c r="M139" s="7">
        <v>42</v>
      </c>
      <c r="N139" t="s">
        <v>18</v>
      </c>
      <c r="O139" s="9" t="str">
        <f>IF(Table1_1[[#This Row],[Purchased Bike]]="yes","1","0")</f>
        <v>0</v>
      </c>
      <c r="P139" s="4" t="str">
        <f>IF(Table1_1[[#This Row],[Income]]&lt;=30000,"Low ",IF(Table1_1[[#This Row],[Income]]&lt;=70000,"Middle","High"))</f>
        <v xml:space="preserve">Low </v>
      </c>
      <c r="Q139" s="6" t="str">
        <f>IF(Table1_1[[#This Row],[Age]]&lt;30,"Young",IF(Table1_1[[#This Row],[Age]]&lt;50,"Middle aged","Senior citizen"))</f>
        <v>Middle aged</v>
      </c>
      <c r="R139" s="7">
        <f>IF(Table1_1[[#This Row],[Marriedarital SingletatuSingle]]="M",Table1_1[[#This Row],[Children]]+2,Table1_1[[#This Row],[Children]]+1)</f>
        <v>3</v>
      </c>
      <c r="S139" s="4" t="str">
        <f>IF(Table1_1[[#This Row],[Cars]]=0,"No","Yes")</f>
        <v>Yes</v>
      </c>
      <c r="T139" s="6" t="str">
        <f>IF(AND(Table1_1[[#This Row],[Income]]&gt;50000,Table1_1[[#This Row],[Home Owner]]="Yes"),"High stability","Low stability")</f>
        <v>Low stability</v>
      </c>
      <c r="U139" s="3">
        <f>Table1_1[[#This Row],[Income]]/Table1_1[[#This Row],[Family size]]</f>
        <v>6666.666666666667</v>
      </c>
      <c r="V139" s="6" t="str">
        <f>IF(Table1_1[[#This Row],[Occupation]]="Skilled manual","Blue collar",IF(Table1_1[[#This Row],[Occupation]]="Manual","Blue collar","White collar"))</f>
        <v>Blue collar</v>
      </c>
    </row>
    <row r="140" spans="1:22" x14ac:dyDescent="0.3">
      <c r="A140" t="s">
        <v>174</v>
      </c>
      <c r="B140" s="6" t="s">
        <v>1042</v>
      </c>
      <c r="C140" s="6" t="s">
        <v>1045</v>
      </c>
      <c r="D140" s="3">
        <v>20000</v>
      </c>
      <c r="E140">
        <v>2</v>
      </c>
      <c r="F140" s="6" t="s">
        <v>29</v>
      </c>
      <c r="G140" s="6" t="s">
        <v>20</v>
      </c>
      <c r="H140" s="6" t="s">
        <v>15</v>
      </c>
      <c r="I140">
        <v>2</v>
      </c>
      <c r="J140" t="s">
        <v>23</v>
      </c>
      <c r="K1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40" s="6" t="s">
        <v>24</v>
      </c>
      <c r="M140" s="7">
        <v>55</v>
      </c>
      <c r="N140" t="s">
        <v>15</v>
      </c>
      <c r="O140" s="9" t="str">
        <f>IF(Table1_1[[#This Row],[Purchased Bike]]="yes","1","0")</f>
        <v>1</v>
      </c>
      <c r="P140" s="4" t="str">
        <f>IF(Table1_1[[#This Row],[Income]]&lt;=30000,"Low ",IF(Table1_1[[#This Row],[Income]]&lt;=70000,"Middle","High"))</f>
        <v xml:space="preserve">Low </v>
      </c>
      <c r="Q140" s="6" t="str">
        <f>IF(Table1_1[[#This Row],[Age]]&lt;30,"Young",IF(Table1_1[[#This Row],[Age]]&lt;50,"Middle aged","Senior citizen"))</f>
        <v>Senior citizen</v>
      </c>
      <c r="R140" s="7">
        <f>IF(Table1_1[[#This Row],[Marriedarital SingletatuSingle]]="M",Table1_1[[#This Row],[Children]]+2,Table1_1[[#This Row],[Children]]+1)</f>
        <v>3</v>
      </c>
      <c r="S140" s="4" t="str">
        <f>IF(Table1_1[[#This Row],[Cars]]=0,"No","Yes")</f>
        <v>Yes</v>
      </c>
      <c r="T140" s="6" t="str">
        <f>IF(AND(Table1_1[[#This Row],[Income]]&gt;50000,Table1_1[[#This Row],[Home Owner]]="Yes"),"High stability","Low stability")</f>
        <v>Low stability</v>
      </c>
      <c r="U140" s="3">
        <f>Table1_1[[#This Row],[Income]]/Table1_1[[#This Row],[Family size]]</f>
        <v>6666.666666666667</v>
      </c>
      <c r="V140" s="6" t="str">
        <f>IF(Table1_1[[#This Row],[Occupation]]="Skilled manual","Blue collar",IF(Table1_1[[#This Row],[Occupation]]="Manual","Blue collar","White collar"))</f>
        <v>White collar</v>
      </c>
    </row>
    <row r="141" spans="1:22" x14ac:dyDescent="0.3">
      <c r="A141" t="s">
        <v>175</v>
      </c>
      <c r="B141" s="6" t="s">
        <v>1044</v>
      </c>
      <c r="C141" s="6" t="s">
        <v>1045</v>
      </c>
      <c r="D141" s="3">
        <v>30000</v>
      </c>
      <c r="E141">
        <v>2</v>
      </c>
      <c r="F141" s="6" t="s">
        <v>19</v>
      </c>
      <c r="G141" s="6" t="s">
        <v>20</v>
      </c>
      <c r="H141" s="6" t="s">
        <v>18</v>
      </c>
      <c r="I141">
        <v>2</v>
      </c>
      <c r="J141" t="s">
        <v>23</v>
      </c>
      <c r="K1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41" s="6" t="s">
        <v>24</v>
      </c>
      <c r="M141" s="7">
        <v>60</v>
      </c>
      <c r="N141" t="s">
        <v>15</v>
      </c>
      <c r="O141" s="9" t="str">
        <f>IF(Table1_1[[#This Row],[Purchased Bike]]="yes","1","0")</f>
        <v>1</v>
      </c>
      <c r="P141" s="4" t="str">
        <f>IF(Table1_1[[#This Row],[Income]]&lt;=30000,"Low ",IF(Table1_1[[#This Row],[Income]]&lt;=70000,"Middle","High"))</f>
        <v xml:space="preserve">Low </v>
      </c>
      <c r="Q141" s="6" t="str">
        <f>IF(Table1_1[[#This Row],[Age]]&lt;30,"Young",IF(Table1_1[[#This Row],[Age]]&lt;50,"Middle aged","Senior citizen"))</f>
        <v>Senior citizen</v>
      </c>
      <c r="R141" s="7">
        <f>IF(Table1_1[[#This Row],[Marriedarital SingletatuSingle]]="M",Table1_1[[#This Row],[Children]]+2,Table1_1[[#This Row],[Children]]+1)</f>
        <v>3</v>
      </c>
      <c r="S141" s="4" t="str">
        <f>IF(Table1_1[[#This Row],[Cars]]=0,"No","Yes")</f>
        <v>Yes</v>
      </c>
      <c r="T141" s="6" t="str">
        <f>IF(AND(Table1_1[[#This Row],[Income]]&gt;50000,Table1_1[[#This Row],[Home Owner]]="Yes"),"High stability","Low stability")</f>
        <v>Low stability</v>
      </c>
      <c r="U141" s="3">
        <f>Table1_1[[#This Row],[Income]]/Table1_1[[#This Row],[Family size]]</f>
        <v>10000</v>
      </c>
      <c r="V141" s="6" t="str">
        <f>IF(Table1_1[[#This Row],[Occupation]]="Skilled manual","Blue collar",IF(Table1_1[[#This Row],[Occupation]]="Manual","Blue collar","White collar"))</f>
        <v>White collar</v>
      </c>
    </row>
    <row r="142" spans="1:22" x14ac:dyDescent="0.3">
      <c r="A142" t="s">
        <v>176</v>
      </c>
      <c r="B142" s="6" t="s">
        <v>1044</v>
      </c>
      <c r="C142" s="6" t="s">
        <v>1046</v>
      </c>
      <c r="D142" s="3">
        <v>40000</v>
      </c>
      <c r="E142">
        <v>0</v>
      </c>
      <c r="F142" s="6" t="s">
        <v>13</v>
      </c>
      <c r="G142" s="6" t="s">
        <v>21</v>
      </c>
      <c r="H142" s="6" t="s">
        <v>18</v>
      </c>
      <c r="I142">
        <v>0</v>
      </c>
      <c r="J142" t="s">
        <v>16</v>
      </c>
      <c r="K1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42" s="6" t="s">
        <v>17</v>
      </c>
      <c r="M142" s="7">
        <v>40</v>
      </c>
      <c r="N142" t="s">
        <v>15</v>
      </c>
      <c r="O142" s="9" t="str">
        <f>IF(Table1_1[[#This Row],[Purchased Bike]]="yes","1","0")</f>
        <v>1</v>
      </c>
      <c r="P142" s="4" t="str">
        <f>IF(Table1_1[[#This Row],[Income]]&lt;=30000,"Low ",IF(Table1_1[[#This Row],[Income]]&lt;=70000,"Middle","High"))</f>
        <v>Middle</v>
      </c>
      <c r="Q142" s="6" t="str">
        <f>IF(Table1_1[[#This Row],[Age]]&lt;30,"Young",IF(Table1_1[[#This Row],[Age]]&lt;50,"Middle aged","Senior citizen"))</f>
        <v>Middle aged</v>
      </c>
      <c r="R142" s="7">
        <f>IF(Table1_1[[#This Row],[Marriedarital SingletatuSingle]]="M",Table1_1[[#This Row],[Children]]+2,Table1_1[[#This Row],[Children]]+1)</f>
        <v>1</v>
      </c>
      <c r="S142" s="4" t="str">
        <f>IF(Table1_1[[#This Row],[Cars]]=0,"No","Yes")</f>
        <v>No</v>
      </c>
      <c r="T142" s="6" t="str">
        <f>IF(AND(Table1_1[[#This Row],[Income]]&gt;50000,Table1_1[[#This Row],[Home Owner]]="Yes"),"High stability","Low stability")</f>
        <v>Low stability</v>
      </c>
      <c r="U142" s="3">
        <f>Table1_1[[#This Row],[Income]]/Table1_1[[#This Row],[Family size]]</f>
        <v>40000</v>
      </c>
      <c r="V142" s="6" t="str">
        <f>IF(Table1_1[[#This Row],[Occupation]]="Skilled manual","Blue collar",IF(Table1_1[[#This Row],[Occupation]]="Manual","Blue collar","White collar"))</f>
        <v>White collar</v>
      </c>
    </row>
    <row r="143" spans="1:22" x14ac:dyDescent="0.3">
      <c r="A143" t="s">
        <v>177</v>
      </c>
      <c r="B143" s="6" t="s">
        <v>1044</v>
      </c>
      <c r="C143" s="6" t="s">
        <v>1045</v>
      </c>
      <c r="D143" s="3">
        <v>10000</v>
      </c>
      <c r="E143">
        <v>0</v>
      </c>
      <c r="F143" s="6" t="s">
        <v>19</v>
      </c>
      <c r="G143" s="6" t="s">
        <v>25</v>
      </c>
      <c r="H143" s="6" t="s">
        <v>18</v>
      </c>
      <c r="I143">
        <v>1</v>
      </c>
      <c r="J143" t="s">
        <v>16</v>
      </c>
      <c r="K1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43" s="6" t="s">
        <v>24</v>
      </c>
      <c r="M143" s="7">
        <v>26</v>
      </c>
      <c r="N143" t="s">
        <v>15</v>
      </c>
      <c r="O143" s="9" t="str">
        <f>IF(Table1_1[[#This Row],[Purchased Bike]]="yes","1","0")</f>
        <v>1</v>
      </c>
      <c r="P143" s="4" t="str">
        <f>IF(Table1_1[[#This Row],[Income]]&lt;=30000,"Low ",IF(Table1_1[[#This Row],[Income]]&lt;=70000,"Middle","High"))</f>
        <v xml:space="preserve">Low </v>
      </c>
      <c r="Q143" s="6" t="str">
        <f>IF(Table1_1[[#This Row],[Age]]&lt;30,"Young",IF(Table1_1[[#This Row],[Age]]&lt;50,"Middle aged","Senior citizen"))</f>
        <v>Young</v>
      </c>
      <c r="R143" s="7">
        <f>IF(Table1_1[[#This Row],[Marriedarital SingletatuSingle]]="M",Table1_1[[#This Row],[Children]]+2,Table1_1[[#This Row],[Children]]+1)</f>
        <v>1</v>
      </c>
      <c r="S143" s="4" t="str">
        <f>IF(Table1_1[[#This Row],[Cars]]=0,"No","Yes")</f>
        <v>Yes</v>
      </c>
      <c r="T143" s="6" t="str">
        <f>IF(AND(Table1_1[[#This Row],[Income]]&gt;50000,Table1_1[[#This Row],[Home Owner]]="Yes"),"High stability","Low stability")</f>
        <v>Low stability</v>
      </c>
      <c r="U143" s="3">
        <f>Table1_1[[#This Row],[Income]]/Table1_1[[#This Row],[Family size]]</f>
        <v>10000</v>
      </c>
      <c r="V143" s="6" t="str">
        <f>IF(Table1_1[[#This Row],[Occupation]]="Skilled manual","Blue collar",IF(Table1_1[[#This Row],[Occupation]]="Manual","Blue collar","White collar"))</f>
        <v>Blue collar</v>
      </c>
    </row>
    <row r="144" spans="1:22" x14ac:dyDescent="0.3">
      <c r="A144" t="s">
        <v>178</v>
      </c>
      <c r="B144" s="6" t="s">
        <v>1042</v>
      </c>
      <c r="C144" s="6" t="s">
        <v>1046</v>
      </c>
      <c r="D144" s="3">
        <v>40000</v>
      </c>
      <c r="E144">
        <v>1</v>
      </c>
      <c r="F144" s="6" t="s">
        <v>13</v>
      </c>
      <c r="G144" s="6" t="s">
        <v>14</v>
      </c>
      <c r="H144" s="6" t="s">
        <v>15</v>
      </c>
      <c r="I144">
        <v>0</v>
      </c>
      <c r="J144" t="s">
        <v>16</v>
      </c>
      <c r="K1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44" s="6" t="s">
        <v>17</v>
      </c>
      <c r="M144" s="7">
        <v>42</v>
      </c>
      <c r="N144" t="s">
        <v>15</v>
      </c>
      <c r="O144" s="9" t="str">
        <f>IF(Table1_1[[#This Row],[Purchased Bike]]="yes","1","0")</f>
        <v>1</v>
      </c>
      <c r="P144" s="4" t="str">
        <f>IF(Table1_1[[#This Row],[Income]]&lt;=30000,"Low ",IF(Table1_1[[#This Row],[Income]]&lt;=70000,"Middle","High"))</f>
        <v>Middle</v>
      </c>
      <c r="Q144" s="6" t="str">
        <f>IF(Table1_1[[#This Row],[Age]]&lt;30,"Young",IF(Table1_1[[#This Row],[Age]]&lt;50,"Middle aged","Senior citizen"))</f>
        <v>Middle aged</v>
      </c>
      <c r="R144" s="7">
        <f>IF(Table1_1[[#This Row],[Marriedarital SingletatuSingle]]="M",Table1_1[[#This Row],[Children]]+2,Table1_1[[#This Row],[Children]]+1)</f>
        <v>2</v>
      </c>
      <c r="S144" s="4" t="str">
        <f>IF(Table1_1[[#This Row],[Cars]]=0,"No","Yes")</f>
        <v>No</v>
      </c>
      <c r="T144" s="6" t="str">
        <f>IF(AND(Table1_1[[#This Row],[Income]]&gt;50000,Table1_1[[#This Row],[Home Owner]]="Yes"),"High stability","Low stability")</f>
        <v>Low stability</v>
      </c>
      <c r="U144" s="3">
        <f>Table1_1[[#This Row],[Income]]/Table1_1[[#This Row],[Family size]]</f>
        <v>20000</v>
      </c>
      <c r="V144" s="6" t="str">
        <f>IF(Table1_1[[#This Row],[Occupation]]="Skilled manual","Blue collar",IF(Table1_1[[#This Row],[Occupation]]="Manual","Blue collar","White collar"))</f>
        <v>Blue collar</v>
      </c>
    </row>
    <row r="145" spans="1:22" x14ac:dyDescent="0.3">
      <c r="A145" t="s">
        <v>179</v>
      </c>
      <c r="B145" s="6" t="s">
        <v>1042</v>
      </c>
      <c r="C145" s="6" t="s">
        <v>1045</v>
      </c>
      <c r="D145" s="3">
        <v>80000</v>
      </c>
      <c r="E145">
        <v>0</v>
      </c>
      <c r="F145" s="6" t="s">
        <v>13</v>
      </c>
      <c r="G145" s="6" t="s">
        <v>21</v>
      </c>
      <c r="H145" s="6" t="s">
        <v>15</v>
      </c>
      <c r="I145">
        <v>3</v>
      </c>
      <c r="J145" t="s">
        <v>30</v>
      </c>
      <c r="K1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45" s="6" t="s">
        <v>24</v>
      </c>
      <c r="M145" s="7">
        <v>32</v>
      </c>
      <c r="N145" t="s">
        <v>18</v>
      </c>
      <c r="O145" s="9" t="str">
        <f>IF(Table1_1[[#This Row],[Purchased Bike]]="yes","1","0")</f>
        <v>0</v>
      </c>
      <c r="P145" s="4" t="str">
        <f>IF(Table1_1[[#This Row],[Income]]&lt;=30000,"Low ",IF(Table1_1[[#This Row],[Income]]&lt;=70000,"Middle","High"))</f>
        <v>High</v>
      </c>
      <c r="Q145" s="6" t="str">
        <f>IF(Table1_1[[#This Row],[Age]]&lt;30,"Young",IF(Table1_1[[#This Row],[Age]]&lt;50,"Middle aged","Senior citizen"))</f>
        <v>Middle aged</v>
      </c>
      <c r="R145" s="7">
        <f>IF(Table1_1[[#This Row],[Marriedarital SingletatuSingle]]="M",Table1_1[[#This Row],[Children]]+2,Table1_1[[#This Row],[Children]]+1)</f>
        <v>1</v>
      </c>
      <c r="S145" s="4" t="str">
        <f>IF(Table1_1[[#This Row],[Cars]]=0,"No","Yes")</f>
        <v>Yes</v>
      </c>
      <c r="T145" s="6" t="str">
        <f>IF(AND(Table1_1[[#This Row],[Income]]&gt;50000,Table1_1[[#This Row],[Home Owner]]="Yes"),"High stability","Low stability")</f>
        <v>High stability</v>
      </c>
      <c r="U145" s="3">
        <f>Table1_1[[#This Row],[Income]]/Table1_1[[#This Row],[Family size]]</f>
        <v>80000</v>
      </c>
      <c r="V145" s="6" t="str">
        <f>IF(Table1_1[[#This Row],[Occupation]]="Skilled manual","Blue collar",IF(Table1_1[[#This Row],[Occupation]]="Manual","Blue collar","White collar"))</f>
        <v>White collar</v>
      </c>
    </row>
    <row r="146" spans="1:22" x14ac:dyDescent="0.3">
      <c r="A146" t="s">
        <v>180</v>
      </c>
      <c r="B146" s="6" t="s">
        <v>1044</v>
      </c>
      <c r="C146" s="6" t="s">
        <v>1046</v>
      </c>
      <c r="D146" s="3">
        <v>30000</v>
      </c>
      <c r="E146">
        <v>1</v>
      </c>
      <c r="F146" s="6" t="s">
        <v>13</v>
      </c>
      <c r="G146" s="6" t="s">
        <v>20</v>
      </c>
      <c r="H146" s="6" t="s">
        <v>15</v>
      </c>
      <c r="I146">
        <v>0</v>
      </c>
      <c r="J146" t="s">
        <v>26</v>
      </c>
      <c r="K1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46" s="6" t="s">
        <v>17</v>
      </c>
      <c r="M146" s="7">
        <v>37</v>
      </c>
      <c r="N146" t="s">
        <v>15</v>
      </c>
      <c r="O146" s="9" t="str">
        <f>IF(Table1_1[[#This Row],[Purchased Bike]]="yes","1","0")</f>
        <v>1</v>
      </c>
      <c r="P146" s="4" t="str">
        <f>IF(Table1_1[[#This Row],[Income]]&lt;=30000,"Low ",IF(Table1_1[[#This Row],[Income]]&lt;=70000,"Middle","High"))</f>
        <v xml:space="preserve">Low </v>
      </c>
      <c r="Q146" s="6" t="str">
        <f>IF(Table1_1[[#This Row],[Age]]&lt;30,"Young",IF(Table1_1[[#This Row],[Age]]&lt;50,"Middle aged","Senior citizen"))</f>
        <v>Middle aged</v>
      </c>
      <c r="R146" s="7">
        <f>IF(Table1_1[[#This Row],[Marriedarital SingletatuSingle]]="M",Table1_1[[#This Row],[Children]]+2,Table1_1[[#This Row],[Children]]+1)</f>
        <v>2</v>
      </c>
      <c r="S146" s="4" t="str">
        <f>IF(Table1_1[[#This Row],[Cars]]=0,"No","Yes")</f>
        <v>No</v>
      </c>
      <c r="T146" s="6" t="str">
        <f>IF(AND(Table1_1[[#This Row],[Income]]&gt;50000,Table1_1[[#This Row],[Home Owner]]="Yes"),"High stability","Low stability")</f>
        <v>Low stability</v>
      </c>
      <c r="U146" s="3">
        <f>Table1_1[[#This Row],[Income]]/Table1_1[[#This Row],[Family size]]</f>
        <v>15000</v>
      </c>
      <c r="V146" s="6" t="str">
        <f>IF(Table1_1[[#This Row],[Occupation]]="Skilled manual","Blue collar",IF(Table1_1[[#This Row],[Occupation]]="Manual","Blue collar","White collar"))</f>
        <v>White collar</v>
      </c>
    </row>
    <row r="147" spans="1:22" x14ac:dyDescent="0.3">
      <c r="A147" t="s">
        <v>181</v>
      </c>
      <c r="B147" s="6" t="s">
        <v>1042</v>
      </c>
      <c r="C147" s="6" t="s">
        <v>1045</v>
      </c>
      <c r="D147" s="3">
        <v>40000</v>
      </c>
      <c r="E147">
        <v>2</v>
      </c>
      <c r="F147" s="6" t="s">
        <v>19</v>
      </c>
      <c r="G147" s="6" t="s">
        <v>20</v>
      </c>
      <c r="H147" s="6" t="s">
        <v>18</v>
      </c>
      <c r="I147">
        <v>1</v>
      </c>
      <c r="J147" t="s">
        <v>16</v>
      </c>
      <c r="K1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47" s="6" t="s">
        <v>17</v>
      </c>
      <c r="M147" s="7">
        <v>34</v>
      </c>
      <c r="N147" t="s">
        <v>18</v>
      </c>
      <c r="O147" s="9" t="str">
        <f>IF(Table1_1[[#This Row],[Purchased Bike]]="yes","1","0")</f>
        <v>0</v>
      </c>
      <c r="P147" s="4" t="str">
        <f>IF(Table1_1[[#This Row],[Income]]&lt;=30000,"Low ",IF(Table1_1[[#This Row],[Income]]&lt;=70000,"Middle","High"))</f>
        <v>Middle</v>
      </c>
      <c r="Q147" s="6" t="str">
        <f>IF(Table1_1[[#This Row],[Age]]&lt;30,"Young",IF(Table1_1[[#This Row],[Age]]&lt;50,"Middle aged","Senior citizen"))</f>
        <v>Middle aged</v>
      </c>
      <c r="R147" s="7">
        <f>IF(Table1_1[[#This Row],[Marriedarital SingletatuSingle]]="M",Table1_1[[#This Row],[Children]]+2,Table1_1[[#This Row],[Children]]+1)</f>
        <v>3</v>
      </c>
      <c r="S147" s="4" t="str">
        <f>IF(Table1_1[[#This Row],[Cars]]=0,"No","Yes")</f>
        <v>Yes</v>
      </c>
      <c r="T147" s="6" t="str">
        <f>IF(AND(Table1_1[[#This Row],[Income]]&gt;50000,Table1_1[[#This Row],[Home Owner]]="Yes"),"High stability","Low stability")</f>
        <v>Low stability</v>
      </c>
      <c r="U147" s="3">
        <f>Table1_1[[#This Row],[Income]]/Table1_1[[#This Row],[Family size]]</f>
        <v>13333.333333333334</v>
      </c>
      <c r="V147" s="6" t="str">
        <f>IF(Table1_1[[#This Row],[Occupation]]="Skilled manual","Blue collar",IF(Table1_1[[#This Row],[Occupation]]="Manual","Blue collar","White collar"))</f>
        <v>White collar</v>
      </c>
    </row>
    <row r="148" spans="1:22" x14ac:dyDescent="0.3">
      <c r="A148" t="s">
        <v>182</v>
      </c>
      <c r="B148" s="6" t="s">
        <v>1042</v>
      </c>
      <c r="C148" s="6" t="s">
        <v>1046</v>
      </c>
      <c r="D148" s="3">
        <v>40000</v>
      </c>
      <c r="E148">
        <v>0</v>
      </c>
      <c r="F148" s="6" t="s">
        <v>31</v>
      </c>
      <c r="G148" s="6" t="s">
        <v>20</v>
      </c>
      <c r="H148" s="6" t="s">
        <v>15</v>
      </c>
      <c r="I148">
        <v>0</v>
      </c>
      <c r="J148" t="s">
        <v>16</v>
      </c>
      <c r="K1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48" s="6" t="s">
        <v>17</v>
      </c>
      <c r="M148" s="7">
        <v>37</v>
      </c>
      <c r="N148" t="s">
        <v>15</v>
      </c>
      <c r="O148" s="9" t="str">
        <f>IF(Table1_1[[#This Row],[Purchased Bike]]="yes","1","0")</f>
        <v>1</v>
      </c>
      <c r="P148" s="4" t="str">
        <f>IF(Table1_1[[#This Row],[Income]]&lt;=30000,"Low ",IF(Table1_1[[#This Row],[Income]]&lt;=70000,"Middle","High"))</f>
        <v>Middle</v>
      </c>
      <c r="Q148" s="6" t="str">
        <f>IF(Table1_1[[#This Row],[Age]]&lt;30,"Young",IF(Table1_1[[#This Row],[Age]]&lt;50,"Middle aged","Senior citizen"))</f>
        <v>Middle aged</v>
      </c>
      <c r="R148" s="7">
        <f>IF(Table1_1[[#This Row],[Marriedarital SingletatuSingle]]="M",Table1_1[[#This Row],[Children]]+2,Table1_1[[#This Row],[Children]]+1)</f>
        <v>1</v>
      </c>
      <c r="S148" s="4" t="str">
        <f>IF(Table1_1[[#This Row],[Cars]]=0,"No","Yes")</f>
        <v>No</v>
      </c>
      <c r="T148" s="6" t="str">
        <f>IF(AND(Table1_1[[#This Row],[Income]]&gt;50000,Table1_1[[#This Row],[Home Owner]]="Yes"),"High stability","Low stability")</f>
        <v>Low stability</v>
      </c>
      <c r="U148" s="3">
        <f>Table1_1[[#This Row],[Income]]/Table1_1[[#This Row],[Family size]]</f>
        <v>40000</v>
      </c>
      <c r="V148" s="6" t="str">
        <f>IF(Table1_1[[#This Row],[Occupation]]="Skilled manual","Blue collar",IF(Table1_1[[#This Row],[Occupation]]="Manual","Blue collar","White collar"))</f>
        <v>White collar</v>
      </c>
    </row>
    <row r="149" spans="1:22" x14ac:dyDescent="0.3">
      <c r="A149" t="s">
        <v>183</v>
      </c>
      <c r="B149" s="6" t="s">
        <v>1042</v>
      </c>
      <c r="C149" s="6" t="s">
        <v>1045</v>
      </c>
      <c r="D149" s="3">
        <v>40000</v>
      </c>
      <c r="E149">
        <v>0</v>
      </c>
      <c r="F149" s="6" t="s">
        <v>13</v>
      </c>
      <c r="G149" s="6" t="s">
        <v>21</v>
      </c>
      <c r="H149" s="6" t="s">
        <v>18</v>
      </c>
      <c r="I149">
        <v>0</v>
      </c>
      <c r="J149" t="s">
        <v>16</v>
      </c>
      <c r="K1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49" s="6" t="s">
        <v>17</v>
      </c>
      <c r="M149" s="7">
        <v>40</v>
      </c>
      <c r="N149" t="s">
        <v>15</v>
      </c>
      <c r="O149" s="9" t="str">
        <f>IF(Table1_1[[#This Row],[Purchased Bike]]="yes","1","0")</f>
        <v>1</v>
      </c>
      <c r="P149" s="4" t="str">
        <f>IF(Table1_1[[#This Row],[Income]]&lt;=30000,"Low ",IF(Table1_1[[#This Row],[Income]]&lt;=70000,"Middle","High"))</f>
        <v>Middle</v>
      </c>
      <c r="Q149" s="6" t="str">
        <f>IF(Table1_1[[#This Row],[Age]]&lt;30,"Young",IF(Table1_1[[#This Row],[Age]]&lt;50,"Middle aged","Senior citizen"))</f>
        <v>Middle aged</v>
      </c>
      <c r="R149" s="7">
        <f>IF(Table1_1[[#This Row],[Marriedarital SingletatuSingle]]="M",Table1_1[[#This Row],[Children]]+2,Table1_1[[#This Row],[Children]]+1)</f>
        <v>1</v>
      </c>
      <c r="S149" s="4" t="str">
        <f>IF(Table1_1[[#This Row],[Cars]]=0,"No","Yes")</f>
        <v>No</v>
      </c>
      <c r="T149" s="6" t="str">
        <f>IF(AND(Table1_1[[#This Row],[Income]]&gt;50000,Table1_1[[#This Row],[Home Owner]]="Yes"),"High stability","Low stability")</f>
        <v>Low stability</v>
      </c>
      <c r="U149" s="3">
        <f>Table1_1[[#This Row],[Income]]/Table1_1[[#This Row],[Family size]]</f>
        <v>40000</v>
      </c>
      <c r="V149" s="6" t="str">
        <f>IF(Table1_1[[#This Row],[Occupation]]="Skilled manual","Blue collar",IF(Table1_1[[#This Row],[Occupation]]="Manual","Blue collar","White collar"))</f>
        <v>White collar</v>
      </c>
    </row>
    <row r="150" spans="1:22" x14ac:dyDescent="0.3">
      <c r="A150" t="s">
        <v>184</v>
      </c>
      <c r="B150" s="6" t="s">
        <v>1042</v>
      </c>
      <c r="C150" s="6" t="s">
        <v>1046</v>
      </c>
      <c r="D150" s="3">
        <v>20000</v>
      </c>
      <c r="E150">
        <v>4</v>
      </c>
      <c r="F150" s="6" t="s">
        <v>27</v>
      </c>
      <c r="G150" s="6" t="s">
        <v>14</v>
      </c>
      <c r="H150" s="6" t="s">
        <v>15</v>
      </c>
      <c r="I150">
        <v>2</v>
      </c>
      <c r="J150" t="s">
        <v>23</v>
      </c>
      <c r="K1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50" s="6" t="s">
        <v>24</v>
      </c>
      <c r="M150" s="7">
        <v>60</v>
      </c>
      <c r="N150" t="s">
        <v>18</v>
      </c>
      <c r="O150" s="9" t="str">
        <f>IF(Table1_1[[#This Row],[Purchased Bike]]="yes","1","0")</f>
        <v>0</v>
      </c>
      <c r="P150" s="4" t="str">
        <f>IF(Table1_1[[#This Row],[Income]]&lt;=30000,"Low ",IF(Table1_1[[#This Row],[Income]]&lt;=70000,"Middle","High"))</f>
        <v xml:space="preserve">Low </v>
      </c>
      <c r="Q150" s="6" t="str">
        <f>IF(Table1_1[[#This Row],[Age]]&lt;30,"Young",IF(Table1_1[[#This Row],[Age]]&lt;50,"Middle aged","Senior citizen"))</f>
        <v>Senior citizen</v>
      </c>
      <c r="R150" s="7">
        <f>IF(Table1_1[[#This Row],[Marriedarital SingletatuSingle]]="M",Table1_1[[#This Row],[Children]]+2,Table1_1[[#This Row],[Children]]+1)</f>
        <v>5</v>
      </c>
      <c r="S150" s="4" t="str">
        <f>IF(Table1_1[[#This Row],[Cars]]=0,"No","Yes")</f>
        <v>Yes</v>
      </c>
      <c r="T150" s="6" t="str">
        <f>IF(AND(Table1_1[[#This Row],[Income]]&gt;50000,Table1_1[[#This Row],[Home Owner]]="Yes"),"High stability","Low stability")</f>
        <v>Low stability</v>
      </c>
      <c r="U150" s="3">
        <f>Table1_1[[#This Row],[Income]]/Table1_1[[#This Row],[Family size]]</f>
        <v>4000</v>
      </c>
      <c r="V150" s="6" t="str">
        <f>IF(Table1_1[[#This Row],[Occupation]]="Skilled manual","Blue collar",IF(Table1_1[[#This Row],[Occupation]]="Manual","Blue collar","White collar"))</f>
        <v>Blue collar</v>
      </c>
    </row>
    <row r="151" spans="1:22" x14ac:dyDescent="0.3">
      <c r="A151" t="s">
        <v>185</v>
      </c>
      <c r="B151" s="6" t="s">
        <v>1044</v>
      </c>
      <c r="C151" s="6" t="s">
        <v>1046</v>
      </c>
      <c r="D151" s="3">
        <v>30000</v>
      </c>
      <c r="E151">
        <v>0</v>
      </c>
      <c r="F151" s="6" t="s">
        <v>19</v>
      </c>
      <c r="G151" s="6" t="s">
        <v>20</v>
      </c>
      <c r="H151" s="6" t="s">
        <v>18</v>
      </c>
      <c r="I151">
        <v>1</v>
      </c>
      <c r="J151" t="s">
        <v>26</v>
      </c>
      <c r="K1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51" s="6" t="s">
        <v>17</v>
      </c>
      <c r="M151" s="7">
        <v>27</v>
      </c>
      <c r="N151" t="s">
        <v>18</v>
      </c>
      <c r="O151" s="9" t="str">
        <f>IF(Table1_1[[#This Row],[Purchased Bike]]="yes","1","0")</f>
        <v>0</v>
      </c>
      <c r="P151" s="4" t="str">
        <f>IF(Table1_1[[#This Row],[Income]]&lt;=30000,"Low ",IF(Table1_1[[#This Row],[Income]]&lt;=70000,"Middle","High"))</f>
        <v xml:space="preserve">Low </v>
      </c>
      <c r="Q151" s="6" t="str">
        <f>IF(Table1_1[[#This Row],[Age]]&lt;30,"Young",IF(Table1_1[[#This Row],[Age]]&lt;50,"Middle aged","Senior citizen"))</f>
        <v>Young</v>
      </c>
      <c r="R151" s="7">
        <f>IF(Table1_1[[#This Row],[Marriedarital SingletatuSingle]]="M",Table1_1[[#This Row],[Children]]+2,Table1_1[[#This Row],[Children]]+1)</f>
        <v>1</v>
      </c>
      <c r="S151" s="4" t="str">
        <f>IF(Table1_1[[#This Row],[Cars]]=0,"No","Yes")</f>
        <v>Yes</v>
      </c>
      <c r="T151" s="6" t="str">
        <f>IF(AND(Table1_1[[#This Row],[Income]]&gt;50000,Table1_1[[#This Row],[Home Owner]]="Yes"),"High stability","Low stability")</f>
        <v>Low stability</v>
      </c>
      <c r="U151" s="3">
        <f>Table1_1[[#This Row],[Income]]/Table1_1[[#This Row],[Family size]]</f>
        <v>30000</v>
      </c>
      <c r="V151" s="6" t="str">
        <f>IF(Table1_1[[#This Row],[Occupation]]="Skilled manual","Blue collar",IF(Table1_1[[#This Row],[Occupation]]="Manual","Blue collar","White collar"))</f>
        <v>White collar</v>
      </c>
    </row>
    <row r="152" spans="1:22" x14ac:dyDescent="0.3">
      <c r="A152" t="s">
        <v>186</v>
      </c>
      <c r="B152" s="6" t="s">
        <v>1042</v>
      </c>
      <c r="C152" s="6" t="s">
        <v>1046</v>
      </c>
      <c r="D152" s="3">
        <v>60000</v>
      </c>
      <c r="E152">
        <v>1</v>
      </c>
      <c r="F152" s="6" t="s">
        <v>19</v>
      </c>
      <c r="G152" s="6" t="s">
        <v>14</v>
      </c>
      <c r="H152" s="6" t="s">
        <v>15</v>
      </c>
      <c r="I152">
        <v>1</v>
      </c>
      <c r="J152" t="s">
        <v>23</v>
      </c>
      <c r="K1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52" s="6" t="s">
        <v>24</v>
      </c>
      <c r="M152" s="7">
        <v>43</v>
      </c>
      <c r="N152" t="s">
        <v>15</v>
      </c>
      <c r="O152" s="9" t="str">
        <f>IF(Table1_1[[#This Row],[Purchased Bike]]="yes","1","0")</f>
        <v>1</v>
      </c>
      <c r="P152" s="4" t="str">
        <f>IF(Table1_1[[#This Row],[Income]]&lt;=30000,"Low ",IF(Table1_1[[#This Row],[Income]]&lt;=70000,"Middle","High"))</f>
        <v>Middle</v>
      </c>
      <c r="Q152" s="6" t="str">
        <f>IF(Table1_1[[#This Row],[Age]]&lt;30,"Young",IF(Table1_1[[#This Row],[Age]]&lt;50,"Middle aged","Senior citizen"))</f>
        <v>Middle aged</v>
      </c>
      <c r="R152" s="7">
        <f>IF(Table1_1[[#This Row],[Marriedarital SingletatuSingle]]="M",Table1_1[[#This Row],[Children]]+2,Table1_1[[#This Row],[Children]]+1)</f>
        <v>2</v>
      </c>
      <c r="S152" s="4" t="str">
        <f>IF(Table1_1[[#This Row],[Cars]]=0,"No","Yes")</f>
        <v>Yes</v>
      </c>
      <c r="T152" s="6" t="str">
        <f>IF(AND(Table1_1[[#This Row],[Income]]&gt;50000,Table1_1[[#This Row],[Home Owner]]="Yes"),"High stability","Low stability")</f>
        <v>High stability</v>
      </c>
      <c r="U152" s="3">
        <f>Table1_1[[#This Row],[Income]]/Table1_1[[#This Row],[Family size]]</f>
        <v>30000</v>
      </c>
      <c r="V152" s="6" t="str">
        <f>IF(Table1_1[[#This Row],[Occupation]]="Skilled manual","Blue collar",IF(Table1_1[[#This Row],[Occupation]]="Manual","Blue collar","White collar"))</f>
        <v>Blue collar</v>
      </c>
    </row>
    <row r="153" spans="1:22" x14ac:dyDescent="0.3">
      <c r="A153" t="s">
        <v>187</v>
      </c>
      <c r="B153" s="6" t="s">
        <v>1044</v>
      </c>
      <c r="C153" s="6" t="s">
        <v>1046</v>
      </c>
      <c r="D153" s="3">
        <v>100000</v>
      </c>
      <c r="E153">
        <v>1</v>
      </c>
      <c r="F153" s="6" t="s">
        <v>13</v>
      </c>
      <c r="G153" s="6" t="s">
        <v>28</v>
      </c>
      <c r="H153" s="6" t="s">
        <v>18</v>
      </c>
      <c r="I153">
        <v>3</v>
      </c>
      <c r="J153" t="s">
        <v>16</v>
      </c>
      <c r="K1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53" s="6" t="s">
        <v>24</v>
      </c>
      <c r="M153" s="7">
        <v>48</v>
      </c>
      <c r="N153" t="s">
        <v>18</v>
      </c>
      <c r="O153" s="9" t="str">
        <f>IF(Table1_1[[#This Row],[Purchased Bike]]="yes","1","0")</f>
        <v>0</v>
      </c>
      <c r="P153" s="4" t="str">
        <f>IF(Table1_1[[#This Row],[Income]]&lt;=30000,"Low ",IF(Table1_1[[#This Row],[Income]]&lt;=70000,"Middle","High"))</f>
        <v>High</v>
      </c>
      <c r="Q153" s="6" t="str">
        <f>IF(Table1_1[[#This Row],[Age]]&lt;30,"Young",IF(Table1_1[[#This Row],[Age]]&lt;50,"Middle aged","Senior citizen"))</f>
        <v>Middle aged</v>
      </c>
      <c r="R153" s="7">
        <f>IF(Table1_1[[#This Row],[Marriedarital SingletatuSingle]]="M",Table1_1[[#This Row],[Children]]+2,Table1_1[[#This Row],[Children]]+1)</f>
        <v>2</v>
      </c>
      <c r="S153" s="4" t="str">
        <f>IF(Table1_1[[#This Row],[Cars]]=0,"No","Yes")</f>
        <v>Yes</v>
      </c>
      <c r="T153" s="6" t="str">
        <f>IF(AND(Table1_1[[#This Row],[Income]]&gt;50000,Table1_1[[#This Row],[Home Owner]]="Yes"),"High stability","Low stability")</f>
        <v>Low stability</v>
      </c>
      <c r="U153" s="3">
        <f>Table1_1[[#This Row],[Income]]/Table1_1[[#This Row],[Family size]]</f>
        <v>50000</v>
      </c>
      <c r="V153" s="6" t="str">
        <f>IF(Table1_1[[#This Row],[Occupation]]="Skilled manual","Blue collar",IF(Table1_1[[#This Row],[Occupation]]="Manual","Blue collar","White collar"))</f>
        <v>White collar</v>
      </c>
    </row>
    <row r="154" spans="1:22" x14ac:dyDescent="0.3">
      <c r="A154" t="s">
        <v>188</v>
      </c>
      <c r="B154" s="6" t="s">
        <v>1044</v>
      </c>
      <c r="C154" s="6" t="s">
        <v>1045</v>
      </c>
      <c r="D154" s="3">
        <v>20000</v>
      </c>
      <c r="E154">
        <v>0</v>
      </c>
      <c r="F154" s="6" t="s">
        <v>29</v>
      </c>
      <c r="G154" s="6" t="s">
        <v>25</v>
      </c>
      <c r="H154" s="6" t="s">
        <v>18</v>
      </c>
      <c r="I154">
        <v>2</v>
      </c>
      <c r="J154" t="s">
        <v>26</v>
      </c>
      <c r="K1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54" s="6" t="s">
        <v>17</v>
      </c>
      <c r="M154" s="7">
        <v>32</v>
      </c>
      <c r="N154" t="s">
        <v>18</v>
      </c>
      <c r="O154" s="9" t="str">
        <f>IF(Table1_1[[#This Row],[Purchased Bike]]="yes","1","0")</f>
        <v>0</v>
      </c>
      <c r="P154" s="4" t="str">
        <f>IF(Table1_1[[#This Row],[Income]]&lt;=30000,"Low ",IF(Table1_1[[#This Row],[Income]]&lt;=70000,"Middle","High"))</f>
        <v xml:space="preserve">Low </v>
      </c>
      <c r="Q154" s="6" t="str">
        <f>IF(Table1_1[[#This Row],[Age]]&lt;30,"Young",IF(Table1_1[[#This Row],[Age]]&lt;50,"Middle aged","Senior citizen"))</f>
        <v>Middle aged</v>
      </c>
      <c r="R154" s="7">
        <f>IF(Table1_1[[#This Row],[Marriedarital SingletatuSingle]]="M",Table1_1[[#This Row],[Children]]+2,Table1_1[[#This Row],[Children]]+1)</f>
        <v>1</v>
      </c>
      <c r="S154" s="4" t="str">
        <f>IF(Table1_1[[#This Row],[Cars]]=0,"No","Yes")</f>
        <v>Yes</v>
      </c>
      <c r="T154" s="6" t="str">
        <f>IF(AND(Table1_1[[#This Row],[Income]]&gt;50000,Table1_1[[#This Row],[Home Owner]]="Yes"),"High stability","Low stability")</f>
        <v>Low stability</v>
      </c>
      <c r="U154" s="3">
        <f>Table1_1[[#This Row],[Income]]/Table1_1[[#This Row],[Family size]]</f>
        <v>20000</v>
      </c>
      <c r="V154" s="6" t="str">
        <f>IF(Table1_1[[#This Row],[Occupation]]="Skilled manual","Blue collar",IF(Table1_1[[#This Row],[Occupation]]="Manual","Blue collar","White collar"))</f>
        <v>Blue collar</v>
      </c>
    </row>
    <row r="155" spans="1:22" x14ac:dyDescent="0.3">
      <c r="A155" t="s">
        <v>189</v>
      </c>
      <c r="B155" s="6" t="s">
        <v>1042</v>
      </c>
      <c r="C155" s="6" t="s">
        <v>1046</v>
      </c>
      <c r="D155" s="3">
        <v>100000</v>
      </c>
      <c r="E155">
        <v>1</v>
      </c>
      <c r="F155" s="6" t="s">
        <v>13</v>
      </c>
      <c r="G155" s="6" t="s">
        <v>28</v>
      </c>
      <c r="H155" s="6" t="s">
        <v>15</v>
      </c>
      <c r="I155">
        <v>3</v>
      </c>
      <c r="J155" t="s">
        <v>22</v>
      </c>
      <c r="K1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55" s="6" t="s">
        <v>24</v>
      </c>
      <c r="M155" s="7">
        <v>47</v>
      </c>
      <c r="N155" t="s">
        <v>18</v>
      </c>
      <c r="O155" s="9" t="str">
        <f>IF(Table1_1[[#This Row],[Purchased Bike]]="yes","1","0")</f>
        <v>0</v>
      </c>
      <c r="P155" s="4" t="str">
        <f>IF(Table1_1[[#This Row],[Income]]&lt;=30000,"Low ",IF(Table1_1[[#This Row],[Income]]&lt;=70000,"Middle","High"))</f>
        <v>High</v>
      </c>
      <c r="Q155" s="6" t="str">
        <f>IF(Table1_1[[#This Row],[Age]]&lt;30,"Young",IF(Table1_1[[#This Row],[Age]]&lt;50,"Middle aged","Senior citizen"))</f>
        <v>Middle aged</v>
      </c>
      <c r="R155" s="7">
        <f>IF(Table1_1[[#This Row],[Marriedarital SingletatuSingle]]="M",Table1_1[[#This Row],[Children]]+2,Table1_1[[#This Row],[Children]]+1)</f>
        <v>2</v>
      </c>
      <c r="S155" s="4" t="str">
        <f>IF(Table1_1[[#This Row],[Cars]]=0,"No","Yes")</f>
        <v>Yes</v>
      </c>
      <c r="T155" s="6" t="str">
        <f>IF(AND(Table1_1[[#This Row],[Income]]&gt;50000,Table1_1[[#This Row],[Home Owner]]="Yes"),"High stability","Low stability")</f>
        <v>High stability</v>
      </c>
      <c r="U155" s="3">
        <f>Table1_1[[#This Row],[Income]]/Table1_1[[#This Row],[Family size]]</f>
        <v>50000</v>
      </c>
      <c r="V155" s="6" t="str">
        <f>IF(Table1_1[[#This Row],[Occupation]]="Skilled manual","Blue collar",IF(Table1_1[[#This Row],[Occupation]]="Manual","Blue collar","White collar"))</f>
        <v>White collar</v>
      </c>
    </row>
    <row r="156" spans="1:22" x14ac:dyDescent="0.3">
      <c r="A156" t="s">
        <v>190</v>
      </c>
      <c r="B156" s="6" t="s">
        <v>1044</v>
      </c>
      <c r="C156" s="6" t="s">
        <v>1046</v>
      </c>
      <c r="D156" s="3">
        <v>80000</v>
      </c>
      <c r="E156">
        <v>5</v>
      </c>
      <c r="F156" s="6" t="s">
        <v>31</v>
      </c>
      <c r="G156" s="6" t="s">
        <v>28</v>
      </c>
      <c r="H156" s="6" t="s">
        <v>15</v>
      </c>
      <c r="I156">
        <v>3</v>
      </c>
      <c r="J156" t="s">
        <v>16</v>
      </c>
      <c r="K1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56" s="6" t="s">
        <v>24</v>
      </c>
      <c r="M156" s="7">
        <v>40</v>
      </c>
      <c r="N156" t="s">
        <v>18</v>
      </c>
      <c r="O156" s="9" t="str">
        <f>IF(Table1_1[[#This Row],[Purchased Bike]]="yes","1","0")</f>
        <v>0</v>
      </c>
      <c r="P156" s="4" t="str">
        <f>IF(Table1_1[[#This Row],[Income]]&lt;=30000,"Low ",IF(Table1_1[[#This Row],[Income]]&lt;=70000,"Middle","High"))</f>
        <v>High</v>
      </c>
      <c r="Q156" s="6" t="str">
        <f>IF(Table1_1[[#This Row],[Age]]&lt;30,"Young",IF(Table1_1[[#This Row],[Age]]&lt;50,"Middle aged","Senior citizen"))</f>
        <v>Middle aged</v>
      </c>
      <c r="R156" s="7">
        <f>IF(Table1_1[[#This Row],[Marriedarital SingletatuSingle]]="M",Table1_1[[#This Row],[Children]]+2,Table1_1[[#This Row],[Children]]+1)</f>
        <v>6</v>
      </c>
      <c r="S156" s="4" t="str">
        <f>IF(Table1_1[[#This Row],[Cars]]=0,"No","Yes")</f>
        <v>Yes</v>
      </c>
      <c r="T156" s="6" t="str">
        <f>IF(AND(Table1_1[[#This Row],[Income]]&gt;50000,Table1_1[[#This Row],[Home Owner]]="Yes"),"High stability","Low stability")</f>
        <v>High stability</v>
      </c>
      <c r="U156" s="3">
        <f>Table1_1[[#This Row],[Income]]/Table1_1[[#This Row],[Family size]]</f>
        <v>13333.333333333334</v>
      </c>
      <c r="V156" s="6" t="str">
        <f>IF(Table1_1[[#This Row],[Occupation]]="Skilled manual","Blue collar",IF(Table1_1[[#This Row],[Occupation]]="Manual","Blue collar","White collar"))</f>
        <v>White collar</v>
      </c>
    </row>
    <row r="157" spans="1:22" x14ac:dyDescent="0.3">
      <c r="A157" t="s">
        <v>191</v>
      </c>
      <c r="B157" s="6" t="s">
        <v>1044</v>
      </c>
      <c r="C157" s="6" t="s">
        <v>1045</v>
      </c>
      <c r="D157" s="3">
        <v>10000</v>
      </c>
      <c r="E157">
        <v>4</v>
      </c>
      <c r="F157" s="6" t="s">
        <v>29</v>
      </c>
      <c r="G157" s="6" t="s">
        <v>25</v>
      </c>
      <c r="H157" s="6" t="s">
        <v>15</v>
      </c>
      <c r="I157">
        <v>2</v>
      </c>
      <c r="J157" t="s">
        <v>16</v>
      </c>
      <c r="K1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57" s="6" t="s">
        <v>17</v>
      </c>
      <c r="M157" s="7">
        <v>41</v>
      </c>
      <c r="N157" t="s">
        <v>15</v>
      </c>
      <c r="O157" s="9" t="str">
        <f>IF(Table1_1[[#This Row],[Purchased Bike]]="yes","1","0")</f>
        <v>1</v>
      </c>
      <c r="P157" s="4" t="str">
        <f>IF(Table1_1[[#This Row],[Income]]&lt;=30000,"Low ",IF(Table1_1[[#This Row],[Income]]&lt;=70000,"Middle","High"))</f>
        <v xml:space="preserve">Low </v>
      </c>
      <c r="Q157" s="6" t="str">
        <f>IF(Table1_1[[#This Row],[Age]]&lt;30,"Young",IF(Table1_1[[#This Row],[Age]]&lt;50,"Middle aged","Senior citizen"))</f>
        <v>Middle aged</v>
      </c>
      <c r="R157" s="7">
        <f>IF(Table1_1[[#This Row],[Marriedarital SingletatuSingle]]="M",Table1_1[[#This Row],[Children]]+2,Table1_1[[#This Row],[Children]]+1)</f>
        <v>5</v>
      </c>
      <c r="S157" s="4" t="str">
        <f>IF(Table1_1[[#This Row],[Cars]]=0,"No","Yes")</f>
        <v>Yes</v>
      </c>
      <c r="T157" s="6" t="str">
        <f>IF(AND(Table1_1[[#This Row],[Income]]&gt;50000,Table1_1[[#This Row],[Home Owner]]="Yes"),"High stability","Low stability")</f>
        <v>Low stability</v>
      </c>
      <c r="U157" s="3">
        <f>Table1_1[[#This Row],[Income]]/Table1_1[[#This Row],[Family size]]</f>
        <v>2000</v>
      </c>
      <c r="V157" s="6" t="str">
        <f>IF(Table1_1[[#This Row],[Occupation]]="Skilled manual","Blue collar",IF(Table1_1[[#This Row],[Occupation]]="Manual","Blue collar","White collar"))</f>
        <v>Blue collar</v>
      </c>
    </row>
    <row r="158" spans="1:22" x14ac:dyDescent="0.3">
      <c r="A158" t="s">
        <v>192</v>
      </c>
      <c r="B158" s="6" t="s">
        <v>1042</v>
      </c>
      <c r="C158" s="6" t="s">
        <v>1045</v>
      </c>
      <c r="D158" s="3">
        <v>130000</v>
      </c>
      <c r="E158">
        <v>5</v>
      </c>
      <c r="F158" s="6" t="s">
        <v>19</v>
      </c>
      <c r="G158" s="6" t="s">
        <v>21</v>
      </c>
      <c r="H158" s="6" t="s">
        <v>15</v>
      </c>
      <c r="I158">
        <v>4</v>
      </c>
      <c r="J158" t="s">
        <v>16</v>
      </c>
      <c r="K1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58" s="6" t="s">
        <v>17</v>
      </c>
      <c r="M158" s="7">
        <v>59</v>
      </c>
      <c r="N158" t="s">
        <v>18</v>
      </c>
      <c r="O158" s="9" t="str">
        <f>IF(Table1_1[[#This Row],[Purchased Bike]]="yes","1","0")</f>
        <v>0</v>
      </c>
      <c r="P158" s="4" t="str">
        <f>IF(Table1_1[[#This Row],[Income]]&lt;=30000,"Low ",IF(Table1_1[[#This Row],[Income]]&lt;=70000,"Middle","High"))</f>
        <v>High</v>
      </c>
      <c r="Q158" s="6" t="str">
        <f>IF(Table1_1[[#This Row],[Age]]&lt;30,"Young",IF(Table1_1[[#This Row],[Age]]&lt;50,"Middle aged","Senior citizen"))</f>
        <v>Senior citizen</v>
      </c>
      <c r="R158" s="7">
        <f>IF(Table1_1[[#This Row],[Marriedarital SingletatuSingle]]="M",Table1_1[[#This Row],[Children]]+2,Table1_1[[#This Row],[Children]]+1)</f>
        <v>6</v>
      </c>
      <c r="S158" s="4" t="str">
        <f>IF(Table1_1[[#This Row],[Cars]]=0,"No","Yes")</f>
        <v>Yes</v>
      </c>
      <c r="T158" s="6" t="str">
        <f>IF(AND(Table1_1[[#This Row],[Income]]&gt;50000,Table1_1[[#This Row],[Home Owner]]="Yes"),"High stability","Low stability")</f>
        <v>High stability</v>
      </c>
      <c r="U158" s="3">
        <f>Table1_1[[#This Row],[Income]]/Table1_1[[#This Row],[Family size]]</f>
        <v>21666.666666666668</v>
      </c>
      <c r="V158" s="6" t="str">
        <f>IF(Table1_1[[#This Row],[Occupation]]="Skilled manual","Blue collar",IF(Table1_1[[#This Row],[Occupation]]="Manual","Blue collar","White collar"))</f>
        <v>White collar</v>
      </c>
    </row>
    <row r="159" spans="1:22" x14ac:dyDescent="0.3">
      <c r="A159" t="s">
        <v>193</v>
      </c>
      <c r="B159" s="6" t="s">
        <v>1044</v>
      </c>
      <c r="C159" s="6" t="s">
        <v>1046</v>
      </c>
      <c r="D159" s="3">
        <v>10000</v>
      </c>
      <c r="E159">
        <v>2</v>
      </c>
      <c r="F159" s="6" t="s">
        <v>19</v>
      </c>
      <c r="G159" s="6" t="s">
        <v>25</v>
      </c>
      <c r="H159" s="6" t="s">
        <v>18</v>
      </c>
      <c r="I159">
        <v>0</v>
      </c>
      <c r="J159" t="s">
        <v>16</v>
      </c>
      <c r="K1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59" s="6" t="s">
        <v>17</v>
      </c>
      <c r="M159" s="7">
        <v>50</v>
      </c>
      <c r="N159" t="s">
        <v>18</v>
      </c>
      <c r="O159" s="9" t="str">
        <f>IF(Table1_1[[#This Row],[Purchased Bike]]="yes","1","0")</f>
        <v>0</v>
      </c>
      <c r="P159" s="4" t="str">
        <f>IF(Table1_1[[#This Row],[Income]]&lt;=30000,"Low ",IF(Table1_1[[#This Row],[Income]]&lt;=70000,"Middle","High"))</f>
        <v xml:space="preserve">Low </v>
      </c>
      <c r="Q159" s="6" t="str">
        <f>IF(Table1_1[[#This Row],[Age]]&lt;30,"Young",IF(Table1_1[[#This Row],[Age]]&lt;50,"Middle aged","Senior citizen"))</f>
        <v>Senior citizen</v>
      </c>
      <c r="R159" s="7">
        <f>IF(Table1_1[[#This Row],[Marriedarital SingletatuSingle]]="M",Table1_1[[#This Row],[Children]]+2,Table1_1[[#This Row],[Children]]+1)</f>
        <v>3</v>
      </c>
      <c r="S159" s="4" t="str">
        <f>IF(Table1_1[[#This Row],[Cars]]=0,"No","Yes")</f>
        <v>No</v>
      </c>
      <c r="T159" s="6" t="str">
        <f>IF(AND(Table1_1[[#This Row],[Income]]&gt;50000,Table1_1[[#This Row],[Home Owner]]="Yes"),"High stability","Low stability")</f>
        <v>Low stability</v>
      </c>
      <c r="U159" s="3">
        <f>Table1_1[[#This Row],[Income]]/Table1_1[[#This Row],[Family size]]</f>
        <v>3333.3333333333335</v>
      </c>
      <c r="V159" s="6" t="str">
        <f>IF(Table1_1[[#This Row],[Occupation]]="Skilled manual","Blue collar",IF(Table1_1[[#This Row],[Occupation]]="Manual","Blue collar","White collar"))</f>
        <v>Blue collar</v>
      </c>
    </row>
    <row r="160" spans="1:22" x14ac:dyDescent="0.3">
      <c r="A160" t="s">
        <v>194</v>
      </c>
      <c r="B160" s="6" t="s">
        <v>1044</v>
      </c>
      <c r="C160" s="6" t="s">
        <v>1045</v>
      </c>
      <c r="D160" s="3">
        <v>20000</v>
      </c>
      <c r="E160">
        <v>2</v>
      </c>
      <c r="F160" s="6" t="s">
        <v>19</v>
      </c>
      <c r="G160" s="6" t="s">
        <v>25</v>
      </c>
      <c r="H160" s="6" t="s">
        <v>18</v>
      </c>
      <c r="I160">
        <v>1</v>
      </c>
      <c r="J160" t="s">
        <v>16</v>
      </c>
      <c r="K1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60" s="6" t="s">
        <v>17</v>
      </c>
      <c r="M160" s="7">
        <v>54</v>
      </c>
      <c r="N160" t="s">
        <v>15</v>
      </c>
      <c r="O160" s="9" t="str">
        <f>IF(Table1_1[[#This Row],[Purchased Bike]]="yes","1","0")</f>
        <v>1</v>
      </c>
      <c r="P160" s="4" t="str">
        <f>IF(Table1_1[[#This Row],[Income]]&lt;=30000,"Low ",IF(Table1_1[[#This Row],[Income]]&lt;=70000,"Middle","High"))</f>
        <v xml:space="preserve">Low </v>
      </c>
      <c r="Q160" s="6" t="str">
        <f>IF(Table1_1[[#This Row],[Age]]&lt;30,"Young",IF(Table1_1[[#This Row],[Age]]&lt;50,"Middle aged","Senior citizen"))</f>
        <v>Senior citizen</v>
      </c>
      <c r="R160" s="7">
        <f>IF(Table1_1[[#This Row],[Marriedarital SingletatuSingle]]="M",Table1_1[[#This Row],[Children]]+2,Table1_1[[#This Row],[Children]]+1)</f>
        <v>3</v>
      </c>
      <c r="S160" s="4" t="str">
        <f>IF(Table1_1[[#This Row],[Cars]]=0,"No","Yes")</f>
        <v>Yes</v>
      </c>
      <c r="T160" s="6" t="str">
        <f>IF(AND(Table1_1[[#This Row],[Income]]&gt;50000,Table1_1[[#This Row],[Home Owner]]="Yes"),"High stability","Low stability")</f>
        <v>Low stability</v>
      </c>
      <c r="U160" s="3">
        <f>Table1_1[[#This Row],[Income]]/Table1_1[[#This Row],[Family size]]</f>
        <v>6666.666666666667</v>
      </c>
      <c r="V160" s="6" t="str">
        <f>IF(Table1_1[[#This Row],[Occupation]]="Skilled manual","Blue collar",IF(Table1_1[[#This Row],[Occupation]]="Manual","Blue collar","White collar"))</f>
        <v>Blue collar</v>
      </c>
    </row>
    <row r="161" spans="1:22" x14ac:dyDescent="0.3">
      <c r="A161" t="s">
        <v>195</v>
      </c>
      <c r="B161" s="6" t="s">
        <v>1042</v>
      </c>
      <c r="C161" s="6" t="s">
        <v>1045</v>
      </c>
      <c r="D161" s="3">
        <v>10000</v>
      </c>
      <c r="E161">
        <v>1</v>
      </c>
      <c r="F161" s="6" t="s">
        <v>13</v>
      </c>
      <c r="G161" s="6" t="s">
        <v>25</v>
      </c>
      <c r="H161" s="6" t="s">
        <v>15</v>
      </c>
      <c r="I161">
        <v>0</v>
      </c>
      <c r="J161" t="s">
        <v>16</v>
      </c>
      <c r="K1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61" s="6" t="s">
        <v>17</v>
      </c>
      <c r="M161" s="7">
        <v>48</v>
      </c>
      <c r="N161" t="s">
        <v>18</v>
      </c>
      <c r="O161" s="9" t="str">
        <f>IF(Table1_1[[#This Row],[Purchased Bike]]="yes","1","0")</f>
        <v>0</v>
      </c>
      <c r="P161" s="4" t="str">
        <f>IF(Table1_1[[#This Row],[Income]]&lt;=30000,"Low ",IF(Table1_1[[#This Row],[Income]]&lt;=70000,"Middle","High"))</f>
        <v xml:space="preserve">Low </v>
      </c>
      <c r="Q161" s="6" t="str">
        <f>IF(Table1_1[[#This Row],[Age]]&lt;30,"Young",IF(Table1_1[[#This Row],[Age]]&lt;50,"Middle aged","Senior citizen"))</f>
        <v>Middle aged</v>
      </c>
      <c r="R161" s="7">
        <f>IF(Table1_1[[#This Row],[Marriedarital SingletatuSingle]]="M",Table1_1[[#This Row],[Children]]+2,Table1_1[[#This Row],[Children]]+1)</f>
        <v>2</v>
      </c>
      <c r="S161" s="4" t="str">
        <f>IF(Table1_1[[#This Row],[Cars]]=0,"No","Yes")</f>
        <v>No</v>
      </c>
      <c r="T161" s="6" t="str">
        <f>IF(AND(Table1_1[[#This Row],[Income]]&gt;50000,Table1_1[[#This Row],[Home Owner]]="Yes"),"High stability","Low stability")</f>
        <v>Low stability</v>
      </c>
      <c r="U161" s="3">
        <f>Table1_1[[#This Row],[Income]]/Table1_1[[#This Row],[Family size]]</f>
        <v>5000</v>
      </c>
      <c r="V161" s="6" t="str">
        <f>IF(Table1_1[[#This Row],[Occupation]]="Skilled manual","Blue collar",IF(Table1_1[[#This Row],[Occupation]]="Manual","Blue collar","White collar"))</f>
        <v>Blue collar</v>
      </c>
    </row>
    <row r="162" spans="1:22" x14ac:dyDescent="0.3">
      <c r="A162" t="s">
        <v>196</v>
      </c>
      <c r="B162" s="6" t="s">
        <v>1044</v>
      </c>
      <c r="C162" s="6" t="s">
        <v>1045</v>
      </c>
      <c r="D162" s="3">
        <v>60000</v>
      </c>
      <c r="E162">
        <v>1</v>
      </c>
      <c r="F162" s="6" t="s">
        <v>13</v>
      </c>
      <c r="G162" s="6" t="s">
        <v>21</v>
      </c>
      <c r="H162" s="6" t="s">
        <v>15</v>
      </c>
      <c r="I162">
        <v>1</v>
      </c>
      <c r="J162" t="s">
        <v>23</v>
      </c>
      <c r="K1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62" s="6" t="s">
        <v>24</v>
      </c>
      <c r="M162" s="7">
        <v>44</v>
      </c>
      <c r="N162" t="s">
        <v>15</v>
      </c>
      <c r="O162" s="9" t="str">
        <f>IF(Table1_1[[#This Row],[Purchased Bike]]="yes","1","0")</f>
        <v>1</v>
      </c>
      <c r="P162" s="4" t="str">
        <f>IF(Table1_1[[#This Row],[Income]]&lt;=30000,"Low ",IF(Table1_1[[#This Row],[Income]]&lt;=70000,"Middle","High"))</f>
        <v>Middle</v>
      </c>
      <c r="Q162" s="6" t="str">
        <f>IF(Table1_1[[#This Row],[Age]]&lt;30,"Young",IF(Table1_1[[#This Row],[Age]]&lt;50,"Middle aged","Senior citizen"))</f>
        <v>Middle aged</v>
      </c>
      <c r="R162" s="7">
        <f>IF(Table1_1[[#This Row],[Marriedarital SingletatuSingle]]="M",Table1_1[[#This Row],[Children]]+2,Table1_1[[#This Row],[Children]]+1)</f>
        <v>2</v>
      </c>
      <c r="S162" s="4" t="str">
        <f>IF(Table1_1[[#This Row],[Cars]]=0,"No","Yes")</f>
        <v>Yes</v>
      </c>
      <c r="T162" s="6" t="str">
        <f>IF(AND(Table1_1[[#This Row],[Income]]&gt;50000,Table1_1[[#This Row],[Home Owner]]="Yes"),"High stability","Low stability")</f>
        <v>High stability</v>
      </c>
      <c r="U162" s="3">
        <f>Table1_1[[#This Row],[Income]]/Table1_1[[#This Row],[Family size]]</f>
        <v>30000</v>
      </c>
      <c r="V162" s="6" t="str">
        <f>IF(Table1_1[[#This Row],[Occupation]]="Skilled manual","Blue collar",IF(Table1_1[[#This Row],[Occupation]]="Manual","Blue collar","White collar"))</f>
        <v>White collar</v>
      </c>
    </row>
    <row r="163" spans="1:22" x14ac:dyDescent="0.3">
      <c r="A163" t="s">
        <v>197</v>
      </c>
      <c r="B163" s="6" t="s">
        <v>1042</v>
      </c>
      <c r="C163" s="6" t="s">
        <v>1045</v>
      </c>
      <c r="D163" s="3">
        <v>20000</v>
      </c>
      <c r="E163">
        <v>2</v>
      </c>
      <c r="F163" s="6" t="s">
        <v>27</v>
      </c>
      <c r="G163" s="6" t="s">
        <v>25</v>
      </c>
      <c r="H163" s="6" t="s">
        <v>15</v>
      </c>
      <c r="I163">
        <v>0</v>
      </c>
      <c r="J163" t="s">
        <v>16</v>
      </c>
      <c r="K1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63" s="6" t="s">
        <v>17</v>
      </c>
      <c r="M163" s="7">
        <v>40</v>
      </c>
      <c r="N163" t="s">
        <v>15</v>
      </c>
      <c r="O163" s="9" t="str">
        <f>IF(Table1_1[[#This Row],[Purchased Bike]]="yes","1","0")</f>
        <v>1</v>
      </c>
      <c r="P163" s="4" t="str">
        <f>IF(Table1_1[[#This Row],[Income]]&lt;=30000,"Low ",IF(Table1_1[[#This Row],[Income]]&lt;=70000,"Middle","High"))</f>
        <v xml:space="preserve">Low </v>
      </c>
      <c r="Q163" s="6" t="str">
        <f>IF(Table1_1[[#This Row],[Age]]&lt;30,"Young",IF(Table1_1[[#This Row],[Age]]&lt;50,"Middle aged","Senior citizen"))</f>
        <v>Middle aged</v>
      </c>
      <c r="R163" s="7">
        <f>IF(Table1_1[[#This Row],[Marriedarital SingletatuSingle]]="M",Table1_1[[#This Row],[Children]]+2,Table1_1[[#This Row],[Children]]+1)</f>
        <v>3</v>
      </c>
      <c r="S163" s="4" t="str">
        <f>IF(Table1_1[[#This Row],[Cars]]=0,"No","Yes")</f>
        <v>No</v>
      </c>
      <c r="T163" s="6" t="str">
        <f>IF(AND(Table1_1[[#This Row],[Income]]&gt;50000,Table1_1[[#This Row],[Home Owner]]="Yes"),"High stability","Low stability")</f>
        <v>Low stability</v>
      </c>
      <c r="U163" s="3">
        <f>Table1_1[[#This Row],[Income]]/Table1_1[[#This Row],[Family size]]</f>
        <v>6666.666666666667</v>
      </c>
      <c r="V163" s="6" t="str">
        <f>IF(Table1_1[[#This Row],[Occupation]]="Skilled manual","Blue collar",IF(Table1_1[[#This Row],[Occupation]]="Manual","Blue collar","White collar"))</f>
        <v>Blue collar</v>
      </c>
    </row>
    <row r="164" spans="1:22" x14ac:dyDescent="0.3">
      <c r="A164" t="s">
        <v>198</v>
      </c>
      <c r="B164" s="6" t="s">
        <v>1044</v>
      </c>
      <c r="C164" s="6" t="s">
        <v>1045</v>
      </c>
      <c r="D164" s="3">
        <v>60000</v>
      </c>
      <c r="E164">
        <v>2</v>
      </c>
      <c r="F164" s="6" t="s">
        <v>13</v>
      </c>
      <c r="G164" s="6" t="s">
        <v>21</v>
      </c>
      <c r="H164" s="6" t="s">
        <v>18</v>
      </c>
      <c r="I164">
        <v>1</v>
      </c>
      <c r="J164" t="s">
        <v>16</v>
      </c>
      <c r="K1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64" s="6" t="s">
        <v>24</v>
      </c>
      <c r="M164" s="7">
        <v>38</v>
      </c>
      <c r="N164" t="s">
        <v>15</v>
      </c>
      <c r="O164" s="9" t="str">
        <f>IF(Table1_1[[#This Row],[Purchased Bike]]="yes","1","0")</f>
        <v>1</v>
      </c>
      <c r="P164" s="4" t="str">
        <f>IF(Table1_1[[#This Row],[Income]]&lt;=30000,"Low ",IF(Table1_1[[#This Row],[Income]]&lt;=70000,"Middle","High"))</f>
        <v>Middle</v>
      </c>
      <c r="Q164" s="6" t="str">
        <f>IF(Table1_1[[#This Row],[Age]]&lt;30,"Young",IF(Table1_1[[#This Row],[Age]]&lt;50,"Middle aged","Senior citizen"))</f>
        <v>Middle aged</v>
      </c>
      <c r="R164" s="7">
        <f>IF(Table1_1[[#This Row],[Marriedarital SingletatuSingle]]="M",Table1_1[[#This Row],[Children]]+2,Table1_1[[#This Row],[Children]]+1)</f>
        <v>3</v>
      </c>
      <c r="S164" s="4" t="str">
        <f>IF(Table1_1[[#This Row],[Cars]]=0,"No","Yes")</f>
        <v>Yes</v>
      </c>
      <c r="T164" s="6" t="str">
        <f>IF(AND(Table1_1[[#This Row],[Income]]&gt;50000,Table1_1[[#This Row],[Home Owner]]="Yes"),"High stability","Low stability")</f>
        <v>Low stability</v>
      </c>
      <c r="U164" s="3">
        <f>Table1_1[[#This Row],[Income]]/Table1_1[[#This Row],[Family size]]</f>
        <v>20000</v>
      </c>
      <c r="V164" s="6" t="str">
        <f>IF(Table1_1[[#This Row],[Occupation]]="Skilled manual","Blue collar",IF(Table1_1[[#This Row],[Occupation]]="Manual","Blue collar","White collar"))</f>
        <v>White collar</v>
      </c>
    </row>
    <row r="165" spans="1:22" x14ac:dyDescent="0.3">
      <c r="A165" t="s">
        <v>199</v>
      </c>
      <c r="B165" s="6" t="s">
        <v>1044</v>
      </c>
      <c r="C165" s="6" t="s">
        <v>1046</v>
      </c>
      <c r="D165" s="3">
        <v>40000</v>
      </c>
      <c r="E165">
        <v>2</v>
      </c>
      <c r="F165" s="6" t="s">
        <v>19</v>
      </c>
      <c r="G165" s="6" t="s">
        <v>14</v>
      </c>
      <c r="H165" s="6" t="s">
        <v>18</v>
      </c>
      <c r="I165">
        <v>2</v>
      </c>
      <c r="J165" t="s">
        <v>26</v>
      </c>
      <c r="K1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65" s="6" t="s">
        <v>24</v>
      </c>
      <c r="M165" s="7">
        <v>52</v>
      </c>
      <c r="N165" t="s">
        <v>18</v>
      </c>
      <c r="O165" s="9" t="str">
        <f>IF(Table1_1[[#This Row],[Purchased Bike]]="yes","1","0")</f>
        <v>0</v>
      </c>
      <c r="P165" s="4" t="str">
        <f>IF(Table1_1[[#This Row],[Income]]&lt;=30000,"Low ",IF(Table1_1[[#This Row],[Income]]&lt;=70000,"Middle","High"))</f>
        <v>Middle</v>
      </c>
      <c r="Q165" s="6" t="str">
        <f>IF(Table1_1[[#This Row],[Age]]&lt;30,"Young",IF(Table1_1[[#This Row],[Age]]&lt;50,"Middle aged","Senior citizen"))</f>
        <v>Senior citizen</v>
      </c>
      <c r="R165" s="7">
        <f>IF(Table1_1[[#This Row],[Marriedarital SingletatuSingle]]="M",Table1_1[[#This Row],[Children]]+2,Table1_1[[#This Row],[Children]]+1)</f>
        <v>3</v>
      </c>
      <c r="S165" s="4" t="str">
        <f>IF(Table1_1[[#This Row],[Cars]]=0,"No","Yes")</f>
        <v>Yes</v>
      </c>
      <c r="T165" s="6" t="str">
        <f>IF(AND(Table1_1[[#This Row],[Income]]&gt;50000,Table1_1[[#This Row],[Home Owner]]="Yes"),"High stability","Low stability")</f>
        <v>Low stability</v>
      </c>
      <c r="U165" s="3">
        <f>Table1_1[[#This Row],[Income]]/Table1_1[[#This Row],[Family size]]</f>
        <v>13333.333333333334</v>
      </c>
      <c r="V165" s="6" t="str">
        <f>IF(Table1_1[[#This Row],[Occupation]]="Skilled manual","Blue collar",IF(Table1_1[[#This Row],[Occupation]]="Manual","Blue collar","White collar"))</f>
        <v>Blue collar</v>
      </c>
    </row>
    <row r="166" spans="1:22" x14ac:dyDescent="0.3">
      <c r="A166" t="s">
        <v>200</v>
      </c>
      <c r="B166" s="6" t="s">
        <v>1042</v>
      </c>
      <c r="C166" s="6" t="s">
        <v>1046</v>
      </c>
      <c r="D166" s="3">
        <v>10000</v>
      </c>
      <c r="E166">
        <v>0</v>
      </c>
      <c r="F166" s="6" t="s">
        <v>19</v>
      </c>
      <c r="G166" s="6" t="s">
        <v>25</v>
      </c>
      <c r="H166" s="6" t="s">
        <v>15</v>
      </c>
      <c r="I166">
        <v>1</v>
      </c>
      <c r="J166" t="s">
        <v>22</v>
      </c>
      <c r="K1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66" s="6" t="s">
        <v>24</v>
      </c>
      <c r="M166" s="7">
        <v>25</v>
      </c>
      <c r="N166" t="s">
        <v>15</v>
      </c>
      <c r="O166" s="9" t="str">
        <f>IF(Table1_1[[#This Row],[Purchased Bike]]="yes","1","0")</f>
        <v>1</v>
      </c>
      <c r="P166" s="4" t="str">
        <f>IF(Table1_1[[#This Row],[Income]]&lt;=30000,"Low ",IF(Table1_1[[#This Row],[Income]]&lt;=70000,"Middle","High"))</f>
        <v xml:space="preserve">Low </v>
      </c>
      <c r="Q166" s="6" t="str">
        <f>IF(Table1_1[[#This Row],[Age]]&lt;30,"Young",IF(Table1_1[[#This Row],[Age]]&lt;50,"Middle aged","Senior citizen"))</f>
        <v>Young</v>
      </c>
      <c r="R166" s="7">
        <f>IF(Table1_1[[#This Row],[Marriedarital SingletatuSingle]]="M",Table1_1[[#This Row],[Children]]+2,Table1_1[[#This Row],[Children]]+1)</f>
        <v>1</v>
      </c>
      <c r="S166" s="4" t="str">
        <f>IF(Table1_1[[#This Row],[Cars]]=0,"No","Yes")</f>
        <v>Yes</v>
      </c>
      <c r="T166" s="6" t="str">
        <f>IF(AND(Table1_1[[#This Row],[Income]]&gt;50000,Table1_1[[#This Row],[Home Owner]]="Yes"),"High stability","Low stability")</f>
        <v>Low stability</v>
      </c>
      <c r="U166" s="3">
        <f>Table1_1[[#This Row],[Income]]/Table1_1[[#This Row],[Family size]]</f>
        <v>10000</v>
      </c>
      <c r="V166" s="6" t="str">
        <f>IF(Table1_1[[#This Row],[Occupation]]="Skilled manual","Blue collar",IF(Table1_1[[#This Row],[Occupation]]="Manual","Blue collar","White collar"))</f>
        <v>Blue collar</v>
      </c>
    </row>
    <row r="167" spans="1:22" x14ac:dyDescent="0.3">
      <c r="A167" t="s">
        <v>201</v>
      </c>
      <c r="B167" s="6" t="s">
        <v>1042</v>
      </c>
      <c r="C167" s="6" t="s">
        <v>1045</v>
      </c>
      <c r="D167" s="3">
        <v>10000</v>
      </c>
      <c r="E167">
        <v>0</v>
      </c>
      <c r="F167" s="6" t="s">
        <v>19</v>
      </c>
      <c r="G167" s="6" t="s">
        <v>25</v>
      </c>
      <c r="H167" s="6" t="s">
        <v>18</v>
      </c>
      <c r="I167">
        <v>1</v>
      </c>
      <c r="J167" t="s">
        <v>16</v>
      </c>
      <c r="K1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67" s="6" t="s">
        <v>24</v>
      </c>
      <c r="M167" s="7">
        <v>25</v>
      </c>
      <c r="N167" t="s">
        <v>18</v>
      </c>
      <c r="O167" s="9" t="str">
        <f>IF(Table1_1[[#This Row],[Purchased Bike]]="yes","1","0")</f>
        <v>0</v>
      </c>
      <c r="P167" s="4" t="str">
        <f>IF(Table1_1[[#This Row],[Income]]&lt;=30000,"Low ",IF(Table1_1[[#This Row],[Income]]&lt;=70000,"Middle","High"))</f>
        <v xml:space="preserve">Low </v>
      </c>
      <c r="Q167" s="6" t="str">
        <f>IF(Table1_1[[#This Row],[Age]]&lt;30,"Young",IF(Table1_1[[#This Row],[Age]]&lt;50,"Middle aged","Senior citizen"))</f>
        <v>Young</v>
      </c>
      <c r="R167" s="7">
        <f>IF(Table1_1[[#This Row],[Marriedarital SingletatuSingle]]="M",Table1_1[[#This Row],[Children]]+2,Table1_1[[#This Row],[Children]]+1)</f>
        <v>1</v>
      </c>
      <c r="S167" s="4" t="str">
        <f>IF(Table1_1[[#This Row],[Cars]]=0,"No","Yes")</f>
        <v>Yes</v>
      </c>
      <c r="T167" s="6" t="str">
        <f>IF(AND(Table1_1[[#This Row],[Income]]&gt;50000,Table1_1[[#This Row],[Home Owner]]="Yes"),"High stability","Low stability")</f>
        <v>Low stability</v>
      </c>
      <c r="U167" s="3">
        <f>Table1_1[[#This Row],[Income]]/Table1_1[[#This Row],[Family size]]</f>
        <v>10000</v>
      </c>
      <c r="V167" s="6" t="str">
        <f>IF(Table1_1[[#This Row],[Occupation]]="Skilled manual","Blue collar",IF(Table1_1[[#This Row],[Occupation]]="Manual","Blue collar","White collar"))</f>
        <v>Blue collar</v>
      </c>
    </row>
    <row r="168" spans="1:22" x14ac:dyDescent="0.3">
      <c r="A168" t="s">
        <v>202</v>
      </c>
      <c r="B168" s="6" t="s">
        <v>1044</v>
      </c>
      <c r="C168" s="6" t="s">
        <v>1046</v>
      </c>
      <c r="D168" s="3">
        <v>90000</v>
      </c>
      <c r="E168">
        <v>1</v>
      </c>
      <c r="F168" s="6" t="s">
        <v>13</v>
      </c>
      <c r="G168" s="6" t="s">
        <v>21</v>
      </c>
      <c r="H168" s="6" t="s">
        <v>15</v>
      </c>
      <c r="I168">
        <v>1</v>
      </c>
      <c r="J168" t="s">
        <v>22</v>
      </c>
      <c r="K1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68" s="6" t="s">
        <v>24</v>
      </c>
      <c r="M168" s="7">
        <v>47</v>
      </c>
      <c r="N168" t="s">
        <v>15</v>
      </c>
      <c r="O168" s="9" t="str">
        <f>IF(Table1_1[[#This Row],[Purchased Bike]]="yes","1","0")</f>
        <v>1</v>
      </c>
      <c r="P168" s="4" t="str">
        <f>IF(Table1_1[[#This Row],[Income]]&lt;=30000,"Low ",IF(Table1_1[[#This Row],[Income]]&lt;=70000,"Middle","High"))</f>
        <v>High</v>
      </c>
      <c r="Q168" s="6" t="str">
        <f>IF(Table1_1[[#This Row],[Age]]&lt;30,"Young",IF(Table1_1[[#This Row],[Age]]&lt;50,"Middle aged","Senior citizen"))</f>
        <v>Middle aged</v>
      </c>
      <c r="R168" s="7">
        <f>IF(Table1_1[[#This Row],[Marriedarital SingletatuSingle]]="M",Table1_1[[#This Row],[Children]]+2,Table1_1[[#This Row],[Children]]+1)</f>
        <v>2</v>
      </c>
      <c r="S168" s="4" t="str">
        <f>IF(Table1_1[[#This Row],[Cars]]=0,"No","Yes")</f>
        <v>Yes</v>
      </c>
      <c r="T168" s="6" t="str">
        <f>IF(AND(Table1_1[[#This Row],[Income]]&gt;50000,Table1_1[[#This Row],[Home Owner]]="Yes"),"High stability","Low stability")</f>
        <v>High stability</v>
      </c>
      <c r="U168" s="3">
        <f>Table1_1[[#This Row],[Income]]/Table1_1[[#This Row],[Family size]]</f>
        <v>45000</v>
      </c>
      <c r="V168" s="6" t="str">
        <f>IF(Table1_1[[#This Row],[Occupation]]="Skilled manual","Blue collar",IF(Table1_1[[#This Row],[Occupation]]="Manual","Blue collar","White collar"))</f>
        <v>White collar</v>
      </c>
    </row>
    <row r="169" spans="1:22" x14ac:dyDescent="0.3">
      <c r="A169" t="s">
        <v>203</v>
      </c>
      <c r="B169" s="6" t="s">
        <v>1044</v>
      </c>
      <c r="C169" s="6" t="s">
        <v>1046</v>
      </c>
      <c r="D169" s="3">
        <v>100000</v>
      </c>
      <c r="E169">
        <v>0</v>
      </c>
      <c r="F169" s="6" t="s">
        <v>27</v>
      </c>
      <c r="G169" s="6" t="s">
        <v>28</v>
      </c>
      <c r="H169" s="6" t="s">
        <v>15</v>
      </c>
      <c r="I169">
        <v>3</v>
      </c>
      <c r="J169" t="s">
        <v>30</v>
      </c>
      <c r="K1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69" s="6" t="s">
        <v>24</v>
      </c>
      <c r="M169" s="7">
        <v>35</v>
      </c>
      <c r="N169" t="s">
        <v>18</v>
      </c>
      <c r="O169" s="9" t="str">
        <f>IF(Table1_1[[#This Row],[Purchased Bike]]="yes","1","0")</f>
        <v>0</v>
      </c>
      <c r="P169" s="4" t="str">
        <f>IF(Table1_1[[#This Row],[Income]]&lt;=30000,"Low ",IF(Table1_1[[#This Row],[Income]]&lt;=70000,"Middle","High"))</f>
        <v>High</v>
      </c>
      <c r="Q169" s="6" t="str">
        <f>IF(Table1_1[[#This Row],[Age]]&lt;30,"Young",IF(Table1_1[[#This Row],[Age]]&lt;50,"Middle aged","Senior citizen"))</f>
        <v>Middle aged</v>
      </c>
      <c r="R169" s="7">
        <f>IF(Table1_1[[#This Row],[Marriedarital SingletatuSingle]]="M",Table1_1[[#This Row],[Children]]+2,Table1_1[[#This Row],[Children]]+1)</f>
        <v>1</v>
      </c>
      <c r="S169" s="4" t="str">
        <f>IF(Table1_1[[#This Row],[Cars]]=0,"No","Yes")</f>
        <v>Yes</v>
      </c>
      <c r="T169" s="6" t="str">
        <f>IF(AND(Table1_1[[#This Row],[Income]]&gt;50000,Table1_1[[#This Row],[Home Owner]]="Yes"),"High stability","Low stability")</f>
        <v>High stability</v>
      </c>
      <c r="U169" s="3">
        <f>Table1_1[[#This Row],[Income]]/Table1_1[[#This Row],[Family size]]</f>
        <v>100000</v>
      </c>
      <c r="V169" s="6" t="str">
        <f>IF(Table1_1[[#This Row],[Occupation]]="Skilled manual","Blue collar",IF(Table1_1[[#This Row],[Occupation]]="Manual","Blue collar","White collar"))</f>
        <v>White collar</v>
      </c>
    </row>
    <row r="170" spans="1:22" x14ac:dyDescent="0.3">
      <c r="A170" t="s">
        <v>204</v>
      </c>
      <c r="B170" s="6" t="s">
        <v>1044</v>
      </c>
      <c r="C170" s="6" t="s">
        <v>1046</v>
      </c>
      <c r="D170" s="3">
        <v>70000</v>
      </c>
      <c r="E170">
        <v>0</v>
      </c>
      <c r="F170" s="6" t="s">
        <v>13</v>
      </c>
      <c r="G170" s="6" t="s">
        <v>21</v>
      </c>
      <c r="H170" s="6" t="s">
        <v>18</v>
      </c>
      <c r="I170">
        <v>1</v>
      </c>
      <c r="J170" t="s">
        <v>23</v>
      </c>
      <c r="K1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70" s="6" t="s">
        <v>24</v>
      </c>
      <c r="M170" s="7">
        <v>41</v>
      </c>
      <c r="N170" t="s">
        <v>15</v>
      </c>
      <c r="O170" s="9" t="str">
        <f>IF(Table1_1[[#This Row],[Purchased Bike]]="yes","1","0")</f>
        <v>1</v>
      </c>
      <c r="P170" s="4" t="str">
        <f>IF(Table1_1[[#This Row],[Income]]&lt;=30000,"Low ",IF(Table1_1[[#This Row],[Income]]&lt;=70000,"Middle","High"))</f>
        <v>Middle</v>
      </c>
      <c r="Q170" s="6" t="str">
        <f>IF(Table1_1[[#This Row],[Age]]&lt;30,"Young",IF(Table1_1[[#This Row],[Age]]&lt;50,"Middle aged","Senior citizen"))</f>
        <v>Middle aged</v>
      </c>
      <c r="R170" s="7">
        <f>IF(Table1_1[[#This Row],[Marriedarital SingletatuSingle]]="M",Table1_1[[#This Row],[Children]]+2,Table1_1[[#This Row],[Children]]+1)</f>
        <v>1</v>
      </c>
      <c r="S170" s="4" t="str">
        <f>IF(Table1_1[[#This Row],[Cars]]=0,"No","Yes")</f>
        <v>Yes</v>
      </c>
      <c r="T170" s="6" t="str">
        <f>IF(AND(Table1_1[[#This Row],[Income]]&gt;50000,Table1_1[[#This Row],[Home Owner]]="Yes"),"High stability","Low stability")</f>
        <v>Low stability</v>
      </c>
      <c r="U170" s="3">
        <f>Table1_1[[#This Row],[Income]]/Table1_1[[#This Row],[Family size]]</f>
        <v>70000</v>
      </c>
      <c r="V170" s="6" t="str">
        <f>IF(Table1_1[[#This Row],[Occupation]]="Skilled manual","Blue collar",IF(Table1_1[[#This Row],[Occupation]]="Manual","Blue collar","White collar"))</f>
        <v>White collar</v>
      </c>
    </row>
    <row r="171" spans="1:22" x14ac:dyDescent="0.3">
      <c r="A171" t="s">
        <v>205</v>
      </c>
      <c r="B171" s="6" t="s">
        <v>1042</v>
      </c>
      <c r="C171" s="6" t="s">
        <v>1046</v>
      </c>
      <c r="D171" s="3">
        <v>30000</v>
      </c>
      <c r="E171">
        <v>1</v>
      </c>
      <c r="F171" s="6" t="s">
        <v>13</v>
      </c>
      <c r="G171" s="6" t="s">
        <v>20</v>
      </c>
      <c r="H171" s="6" t="s">
        <v>15</v>
      </c>
      <c r="I171">
        <v>0</v>
      </c>
      <c r="J171" t="s">
        <v>16</v>
      </c>
      <c r="K1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71" s="6" t="s">
        <v>17</v>
      </c>
      <c r="M171" s="7">
        <v>47</v>
      </c>
      <c r="N171" t="s">
        <v>18</v>
      </c>
      <c r="O171" s="9" t="str">
        <f>IF(Table1_1[[#This Row],[Purchased Bike]]="yes","1","0")</f>
        <v>0</v>
      </c>
      <c r="P171" s="4" t="str">
        <f>IF(Table1_1[[#This Row],[Income]]&lt;=30000,"Low ",IF(Table1_1[[#This Row],[Income]]&lt;=70000,"Middle","High"))</f>
        <v xml:space="preserve">Low </v>
      </c>
      <c r="Q171" s="6" t="str">
        <f>IF(Table1_1[[#This Row],[Age]]&lt;30,"Young",IF(Table1_1[[#This Row],[Age]]&lt;50,"Middle aged","Senior citizen"))</f>
        <v>Middle aged</v>
      </c>
      <c r="R171" s="7">
        <f>IF(Table1_1[[#This Row],[Marriedarital SingletatuSingle]]="M",Table1_1[[#This Row],[Children]]+2,Table1_1[[#This Row],[Children]]+1)</f>
        <v>2</v>
      </c>
      <c r="S171" s="4" t="str">
        <f>IF(Table1_1[[#This Row],[Cars]]=0,"No","Yes")</f>
        <v>No</v>
      </c>
      <c r="T171" s="6" t="str">
        <f>IF(AND(Table1_1[[#This Row],[Income]]&gt;50000,Table1_1[[#This Row],[Home Owner]]="Yes"),"High stability","Low stability")</f>
        <v>Low stability</v>
      </c>
      <c r="U171" s="3">
        <f>Table1_1[[#This Row],[Income]]/Table1_1[[#This Row],[Family size]]</f>
        <v>15000</v>
      </c>
      <c r="V171" s="6" t="str">
        <f>IF(Table1_1[[#This Row],[Occupation]]="Skilled manual","Blue collar",IF(Table1_1[[#This Row],[Occupation]]="Manual","Blue collar","White collar"))</f>
        <v>White collar</v>
      </c>
    </row>
    <row r="172" spans="1:22" x14ac:dyDescent="0.3">
      <c r="A172" t="s">
        <v>206</v>
      </c>
      <c r="B172" s="6" t="s">
        <v>1042</v>
      </c>
      <c r="C172" s="6" t="s">
        <v>1045</v>
      </c>
      <c r="D172" s="3">
        <v>130000</v>
      </c>
      <c r="E172">
        <v>4</v>
      </c>
      <c r="F172" s="6" t="s">
        <v>19</v>
      </c>
      <c r="G172" s="6" t="s">
        <v>21</v>
      </c>
      <c r="H172" s="6" t="s">
        <v>15</v>
      </c>
      <c r="I172">
        <v>4</v>
      </c>
      <c r="J172" t="s">
        <v>23</v>
      </c>
      <c r="K1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72" s="6" t="s">
        <v>17</v>
      </c>
      <c r="M172" s="7">
        <v>61</v>
      </c>
      <c r="N172" t="s">
        <v>15</v>
      </c>
      <c r="O172" s="9" t="str">
        <f>IF(Table1_1[[#This Row],[Purchased Bike]]="yes","1","0")</f>
        <v>1</v>
      </c>
      <c r="P172" s="4" t="str">
        <f>IF(Table1_1[[#This Row],[Income]]&lt;=30000,"Low ",IF(Table1_1[[#This Row],[Income]]&lt;=70000,"Middle","High"))</f>
        <v>High</v>
      </c>
      <c r="Q172" s="6" t="str">
        <f>IF(Table1_1[[#This Row],[Age]]&lt;30,"Young",IF(Table1_1[[#This Row],[Age]]&lt;50,"Middle aged","Senior citizen"))</f>
        <v>Senior citizen</v>
      </c>
      <c r="R172" s="7">
        <f>IF(Table1_1[[#This Row],[Marriedarital SingletatuSingle]]="M",Table1_1[[#This Row],[Children]]+2,Table1_1[[#This Row],[Children]]+1)</f>
        <v>5</v>
      </c>
      <c r="S172" s="4" t="str">
        <f>IF(Table1_1[[#This Row],[Cars]]=0,"No","Yes")</f>
        <v>Yes</v>
      </c>
      <c r="T172" s="6" t="str">
        <f>IF(AND(Table1_1[[#This Row],[Income]]&gt;50000,Table1_1[[#This Row],[Home Owner]]="Yes"),"High stability","Low stability")</f>
        <v>High stability</v>
      </c>
      <c r="U172" s="3">
        <f>Table1_1[[#This Row],[Income]]/Table1_1[[#This Row],[Family size]]</f>
        <v>26000</v>
      </c>
      <c r="V172" s="6" t="str">
        <f>IF(Table1_1[[#This Row],[Occupation]]="Skilled manual","Blue collar",IF(Table1_1[[#This Row],[Occupation]]="Manual","Blue collar","White collar"))</f>
        <v>White collar</v>
      </c>
    </row>
    <row r="173" spans="1:22" x14ac:dyDescent="0.3">
      <c r="A173" t="s">
        <v>207</v>
      </c>
      <c r="B173" s="6" t="s">
        <v>1042</v>
      </c>
      <c r="C173" s="6" t="s">
        <v>1045</v>
      </c>
      <c r="D173" s="3">
        <v>80000</v>
      </c>
      <c r="E173">
        <v>5</v>
      </c>
      <c r="F173" s="6" t="s">
        <v>13</v>
      </c>
      <c r="G173" s="6" t="s">
        <v>28</v>
      </c>
      <c r="H173" s="6" t="s">
        <v>15</v>
      </c>
      <c r="I173">
        <v>2</v>
      </c>
      <c r="J173" t="s">
        <v>22</v>
      </c>
      <c r="K1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73" s="6" t="s">
        <v>17</v>
      </c>
      <c r="M173" s="7">
        <v>61</v>
      </c>
      <c r="N173" t="s">
        <v>18</v>
      </c>
      <c r="O173" s="9" t="str">
        <f>IF(Table1_1[[#This Row],[Purchased Bike]]="yes","1","0")</f>
        <v>0</v>
      </c>
      <c r="P173" s="4" t="str">
        <f>IF(Table1_1[[#This Row],[Income]]&lt;=30000,"Low ",IF(Table1_1[[#This Row],[Income]]&lt;=70000,"Middle","High"))</f>
        <v>High</v>
      </c>
      <c r="Q173" s="6" t="str">
        <f>IF(Table1_1[[#This Row],[Age]]&lt;30,"Young",IF(Table1_1[[#This Row],[Age]]&lt;50,"Middle aged","Senior citizen"))</f>
        <v>Senior citizen</v>
      </c>
      <c r="R173" s="7">
        <f>IF(Table1_1[[#This Row],[Marriedarital SingletatuSingle]]="M",Table1_1[[#This Row],[Children]]+2,Table1_1[[#This Row],[Children]]+1)</f>
        <v>6</v>
      </c>
      <c r="S173" s="4" t="str">
        <f>IF(Table1_1[[#This Row],[Cars]]=0,"No","Yes")</f>
        <v>Yes</v>
      </c>
      <c r="T173" s="6" t="str">
        <f>IF(AND(Table1_1[[#This Row],[Income]]&gt;50000,Table1_1[[#This Row],[Home Owner]]="Yes"),"High stability","Low stability")</f>
        <v>High stability</v>
      </c>
      <c r="U173" s="3">
        <f>Table1_1[[#This Row],[Income]]/Table1_1[[#This Row],[Family size]]</f>
        <v>13333.333333333334</v>
      </c>
      <c r="V173" s="6" t="str">
        <f>IF(Table1_1[[#This Row],[Occupation]]="Skilled manual","Blue collar",IF(Table1_1[[#This Row],[Occupation]]="Manual","Blue collar","White collar"))</f>
        <v>White collar</v>
      </c>
    </row>
    <row r="174" spans="1:22" x14ac:dyDescent="0.3">
      <c r="A174" t="s">
        <v>208</v>
      </c>
      <c r="B174" s="6" t="s">
        <v>1042</v>
      </c>
      <c r="C174" s="6" t="s">
        <v>1046</v>
      </c>
      <c r="D174" s="3">
        <v>10000</v>
      </c>
      <c r="E174">
        <v>0</v>
      </c>
      <c r="F174" s="6" t="s">
        <v>29</v>
      </c>
      <c r="G174" s="6" t="s">
        <v>25</v>
      </c>
      <c r="H174" s="6" t="s">
        <v>18</v>
      </c>
      <c r="I174">
        <v>2</v>
      </c>
      <c r="J174" t="s">
        <v>16</v>
      </c>
      <c r="K1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74" s="6" t="s">
        <v>17</v>
      </c>
      <c r="M174" s="7">
        <v>33</v>
      </c>
      <c r="N174" t="s">
        <v>18</v>
      </c>
      <c r="O174" s="9" t="str">
        <f>IF(Table1_1[[#This Row],[Purchased Bike]]="yes","1","0")</f>
        <v>0</v>
      </c>
      <c r="P174" s="4" t="str">
        <f>IF(Table1_1[[#This Row],[Income]]&lt;=30000,"Low ",IF(Table1_1[[#This Row],[Income]]&lt;=70000,"Middle","High"))</f>
        <v xml:space="preserve">Low </v>
      </c>
      <c r="Q174" s="6" t="str">
        <f>IF(Table1_1[[#This Row],[Age]]&lt;30,"Young",IF(Table1_1[[#This Row],[Age]]&lt;50,"Middle aged","Senior citizen"))</f>
        <v>Middle aged</v>
      </c>
      <c r="R174" s="7">
        <f>IF(Table1_1[[#This Row],[Marriedarital SingletatuSingle]]="M",Table1_1[[#This Row],[Children]]+2,Table1_1[[#This Row],[Children]]+1)</f>
        <v>1</v>
      </c>
      <c r="S174" s="4" t="str">
        <f>IF(Table1_1[[#This Row],[Cars]]=0,"No","Yes")</f>
        <v>Yes</v>
      </c>
      <c r="T174" s="6" t="str">
        <f>IF(AND(Table1_1[[#This Row],[Income]]&gt;50000,Table1_1[[#This Row],[Home Owner]]="Yes"),"High stability","Low stability")</f>
        <v>Low stability</v>
      </c>
      <c r="U174" s="3">
        <f>Table1_1[[#This Row],[Income]]/Table1_1[[#This Row],[Family size]]</f>
        <v>10000</v>
      </c>
      <c r="V174" s="6" t="str">
        <f>IF(Table1_1[[#This Row],[Occupation]]="Skilled manual","Blue collar",IF(Table1_1[[#This Row],[Occupation]]="Manual","Blue collar","White collar"))</f>
        <v>Blue collar</v>
      </c>
    </row>
    <row r="175" spans="1:22" x14ac:dyDescent="0.3">
      <c r="A175" t="s">
        <v>209</v>
      </c>
      <c r="B175" s="6" t="s">
        <v>1042</v>
      </c>
      <c r="C175" s="6" t="s">
        <v>1045</v>
      </c>
      <c r="D175" s="3">
        <v>10000</v>
      </c>
      <c r="E175">
        <v>0</v>
      </c>
      <c r="F175" s="6" t="s">
        <v>19</v>
      </c>
      <c r="G175" s="6" t="s">
        <v>25</v>
      </c>
      <c r="H175" s="6" t="s">
        <v>15</v>
      </c>
      <c r="I175">
        <v>1</v>
      </c>
      <c r="J175" t="s">
        <v>22</v>
      </c>
      <c r="K1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75" s="6" t="s">
        <v>24</v>
      </c>
      <c r="M175" s="7">
        <v>27</v>
      </c>
      <c r="N175" t="s">
        <v>18</v>
      </c>
      <c r="O175" s="9" t="str">
        <f>IF(Table1_1[[#This Row],[Purchased Bike]]="yes","1","0")</f>
        <v>0</v>
      </c>
      <c r="P175" s="4" t="str">
        <f>IF(Table1_1[[#This Row],[Income]]&lt;=30000,"Low ",IF(Table1_1[[#This Row],[Income]]&lt;=70000,"Middle","High"))</f>
        <v xml:space="preserve">Low </v>
      </c>
      <c r="Q175" s="6" t="str">
        <f>IF(Table1_1[[#This Row],[Age]]&lt;30,"Young",IF(Table1_1[[#This Row],[Age]]&lt;50,"Middle aged","Senior citizen"))</f>
        <v>Young</v>
      </c>
      <c r="R175" s="7">
        <f>IF(Table1_1[[#This Row],[Marriedarital SingletatuSingle]]="M",Table1_1[[#This Row],[Children]]+2,Table1_1[[#This Row],[Children]]+1)</f>
        <v>1</v>
      </c>
      <c r="S175" s="4" t="str">
        <f>IF(Table1_1[[#This Row],[Cars]]=0,"No","Yes")</f>
        <v>Yes</v>
      </c>
      <c r="T175" s="6" t="str">
        <f>IF(AND(Table1_1[[#This Row],[Income]]&gt;50000,Table1_1[[#This Row],[Home Owner]]="Yes"),"High stability","Low stability")</f>
        <v>Low stability</v>
      </c>
      <c r="U175" s="3">
        <f>Table1_1[[#This Row],[Income]]/Table1_1[[#This Row],[Family size]]</f>
        <v>10000</v>
      </c>
      <c r="V175" s="6" t="str">
        <f>IF(Table1_1[[#This Row],[Occupation]]="Skilled manual","Blue collar",IF(Table1_1[[#This Row],[Occupation]]="Manual","Blue collar","White collar"))</f>
        <v>Blue collar</v>
      </c>
    </row>
    <row r="176" spans="1:22" x14ac:dyDescent="0.3">
      <c r="A176" t="s">
        <v>210</v>
      </c>
      <c r="B176" s="6" t="s">
        <v>1044</v>
      </c>
      <c r="C176" s="6" t="s">
        <v>1046</v>
      </c>
      <c r="D176" s="3">
        <v>50000</v>
      </c>
      <c r="E176">
        <v>0</v>
      </c>
      <c r="F176" s="6" t="s">
        <v>31</v>
      </c>
      <c r="G176" s="6" t="s">
        <v>14</v>
      </c>
      <c r="H176" s="6" t="s">
        <v>15</v>
      </c>
      <c r="I176">
        <v>0</v>
      </c>
      <c r="J176" t="s">
        <v>16</v>
      </c>
      <c r="K1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76" s="6" t="s">
        <v>17</v>
      </c>
      <c r="M176" s="7">
        <v>37</v>
      </c>
      <c r="N176" t="s">
        <v>15</v>
      </c>
      <c r="O176" s="9" t="str">
        <f>IF(Table1_1[[#This Row],[Purchased Bike]]="yes","1","0")</f>
        <v>1</v>
      </c>
      <c r="P176" s="4" t="str">
        <f>IF(Table1_1[[#This Row],[Income]]&lt;=30000,"Low ",IF(Table1_1[[#This Row],[Income]]&lt;=70000,"Middle","High"))</f>
        <v>Middle</v>
      </c>
      <c r="Q176" s="6" t="str">
        <f>IF(Table1_1[[#This Row],[Age]]&lt;30,"Young",IF(Table1_1[[#This Row],[Age]]&lt;50,"Middle aged","Senior citizen"))</f>
        <v>Middle aged</v>
      </c>
      <c r="R176" s="7">
        <f>IF(Table1_1[[#This Row],[Marriedarital SingletatuSingle]]="M",Table1_1[[#This Row],[Children]]+2,Table1_1[[#This Row],[Children]]+1)</f>
        <v>1</v>
      </c>
      <c r="S176" s="4" t="str">
        <f>IF(Table1_1[[#This Row],[Cars]]=0,"No","Yes")</f>
        <v>No</v>
      </c>
      <c r="T176" s="6" t="str">
        <f>IF(AND(Table1_1[[#This Row],[Income]]&gt;50000,Table1_1[[#This Row],[Home Owner]]="Yes"),"High stability","Low stability")</f>
        <v>Low stability</v>
      </c>
      <c r="U176" s="3">
        <f>Table1_1[[#This Row],[Income]]/Table1_1[[#This Row],[Family size]]</f>
        <v>50000</v>
      </c>
      <c r="V176" s="6" t="str">
        <f>IF(Table1_1[[#This Row],[Occupation]]="Skilled manual","Blue collar",IF(Table1_1[[#This Row],[Occupation]]="Manual","Blue collar","White collar"))</f>
        <v>Blue collar</v>
      </c>
    </row>
    <row r="177" spans="1:22" x14ac:dyDescent="0.3">
      <c r="A177" t="s">
        <v>211</v>
      </c>
      <c r="B177" s="6" t="s">
        <v>1044</v>
      </c>
      <c r="C177" s="6" t="s">
        <v>1045</v>
      </c>
      <c r="D177" s="3">
        <v>80000</v>
      </c>
      <c r="E177">
        <v>2</v>
      </c>
      <c r="F177" s="6" t="s">
        <v>19</v>
      </c>
      <c r="G177" s="6" t="s">
        <v>14</v>
      </c>
      <c r="H177" s="6" t="s">
        <v>15</v>
      </c>
      <c r="I177">
        <v>2</v>
      </c>
      <c r="J177" t="s">
        <v>23</v>
      </c>
      <c r="K1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77" s="6" t="s">
        <v>24</v>
      </c>
      <c r="M177" s="7">
        <v>52</v>
      </c>
      <c r="N177" t="s">
        <v>15</v>
      </c>
      <c r="O177" s="9" t="str">
        <f>IF(Table1_1[[#This Row],[Purchased Bike]]="yes","1","0")</f>
        <v>1</v>
      </c>
      <c r="P177" s="4" t="str">
        <f>IF(Table1_1[[#This Row],[Income]]&lt;=30000,"Low ",IF(Table1_1[[#This Row],[Income]]&lt;=70000,"Middle","High"))</f>
        <v>High</v>
      </c>
      <c r="Q177" s="6" t="str">
        <f>IF(Table1_1[[#This Row],[Age]]&lt;30,"Young",IF(Table1_1[[#This Row],[Age]]&lt;50,"Middle aged","Senior citizen"))</f>
        <v>Senior citizen</v>
      </c>
      <c r="R177" s="7">
        <f>IF(Table1_1[[#This Row],[Marriedarital SingletatuSingle]]="M",Table1_1[[#This Row],[Children]]+2,Table1_1[[#This Row],[Children]]+1)</f>
        <v>3</v>
      </c>
      <c r="S177" s="4" t="str">
        <f>IF(Table1_1[[#This Row],[Cars]]=0,"No","Yes")</f>
        <v>Yes</v>
      </c>
      <c r="T177" s="6" t="str">
        <f>IF(AND(Table1_1[[#This Row],[Income]]&gt;50000,Table1_1[[#This Row],[Home Owner]]="Yes"),"High stability","Low stability")</f>
        <v>High stability</v>
      </c>
      <c r="U177" s="3">
        <f>Table1_1[[#This Row],[Income]]/Table1_1[[#This Row],[Family size]]</f>
        <v>26666.666666666668</v>
      </c>
      <c r="V177" s="6" t="str">
        <f>IF(Table1_1[[#This Row],[Occupation]]="Skilled manual","Blue collar",IF(Table1_1[[#This Row],[Occupation]]="Manual","Blue collar","White collar"))</f>
        <v>Blue collar</v>
      </c>
    </row>
    <row r="178" spans="1:22" x14ac:dyDescent="0.3">
      <c r="A178" t="s">
        <v>212</v>
      </c>
      <c r="B178" s="6" t="s">
        <v>1044</v>
      </c>
      <c r="C178" s="6" t="s">
        <v>1045</v>
      </c>
      <c r="D178" s="3">
        <v>20000</v>
      </c>
      <c r="E178">
        <v>0</v>
      </c>
      <c r="F178" s="6" t="s">
        <v>19</v>
      </c>
      <c r="G178" s="6" t="s">
        <v>25</v>
      </c>
      <c r="H178" s="6" t="s">
        <v>15</v>
      </c>
      <c r="I178">
        <v>0</v>
      </c>
      <c r="J178" t="s">
        <v>16</v>
      </c>
      <c r="K1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78" s="6" t="s">
        <v>24</v>
      </c>
      <c r="M178" s="7">
        <v>29</v>
      </c>
      <c r="N178" t="s">
        <v>15</v>
      </c>
      <c r="O178" s="9" t="str">
        <f>IF(Table1_1[[#This Row],[Purchased Bike]]="yes","1","0")</f>
        <v>1</v>
      </c>
      <c r="P178" s="4" t="str">
        <f>IF(Table1_1[[#This Row],[Income]]&lt;=30000,"Low ",IF(Table1_1[[#This Row],[Income]]&lt;=70000,"Middle","High"))</f>
        <v xml:space="preserve">Low </v>
      </c>
      <c r="Q178" s="6" t="str">
        <f>IF(Table1_1[[#This Row],[Age]]&lt;30,"Young",IF(Table1_1[[#This Row],[Age]]&lt;50,"Middle aged","Senior citizen"))</f>
        <v>Young</v>
      </c>
      <c r="R178" s="7">
        <f>IF(Table1_1[[#This Row],[Marriedarital SingletatuSingle]]="M",Table1_1[[#This Row],[Children]]+2,Table1_1[[#This Row],[Children]]+1)</f>
        <v>1</v>
      </c>
      <c r="S178" s="4" t="str">
        <f>IF(Table1_1[[#This Row],[Cars]]=0,"No","Yes")</f>
        <v>No</v>
      </c>
      <c r="T178" s="6" t="str">
        <f>IF(AND(Table1_1[[#This Row],[Income]]&gt;50000,Table1_1[[#This Row],[Home Owner]]="Yes"),"High stability","Low stability")</f>
        <v>Low stability</v>
      </c>
      <c r="U178" s="3">
        <f>Table1_1[[#This Row],[Income]]/Table1_1[[#This Row],[Family size]]</f>
        <v>20000</v>
      </c>
      <c r="V178" s="6" t="str">
        <f>IF(Table1_1[[#This Row],[Occupation]]="Skilled manual","Blue collar",IF(Table1_1[[#This Row],[Occupation]]="Manual","Blue collar","White collar"))</f>
        <v>Blue collar</v>
      </c>
    </row>
    <row r="179" spans="1:22" x14ac:dyDescent="0.3">
      <c r="A179" t="s">
        <v>213</v>
      </c>
      <c r="B179" s="6" t="s">
        <v>1044</v>
      </c>
      <c r="C179" s="6" t="s">
        <v>1045</v>
      </c>
      <c r="D179" s="3">
        <v>110000</v>
      </c>
      <c r="E179">
        <v>2</v>
      </c>
      <c r="F179" s="6" t="s">
        <v>19</v>
      </c>
      <c r="G179" s="6" t="s">
        <v>21</v>
      </c>
      <c r="H179" s="6" t="s">
        <v>18</v>
      </c>
      <c r="I179">
        <v>3</v>
      </c>
      <c r="J179" t="s">
        <v>23</v>
      </c>
      <c r="K1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79" s="6" t="s">
        <v>17</v>
      </c>
      <c r="M179" s="7">
        <v>48</v>
      </c>
      <c r="N179" t="s">
        <v>18</v>
      </c>
      <c r="O179" s="9" t="str">
        <f>IF(Table1_1[[#This Row],[Purchased Bike]]="yes","1","0")</f>
        <v>0</v>
      </c>
      <c r="P179" s="4" t="str">
        <f>IF(Table1_1[[#This Row],[Income]]&lt;=30000,"Low ",IF(Table1_1[[#This Row],[Income]]&lt;=70000,"Middle","High"))</f>
        <v>High</v>
      </c>
      <c r="Q179" s="6" t="str">
        <f>IF(Table1_1[[#This Row],[Age]]&lt;30,"Young",IF(Table1_1[[#This Row],[Age]]&lt;50,"Middle aged","Senior citizen"))</f>
        <v>Middle aged</v>
      </c>
      <c r="R179" s="7">
        <f>IF(Table1_1[[#This Row],[Marriedarital SingletatuSingle]]="M",Table1_1[[#This Row],[Children]]+2,Table1_1[[#This Row],[Children]]+1)</f>
        <v>3</v>
      </c>
      <c r="S179" s="4" t="str">
        <f>IF(Table1_1[[#This Row],[Cars]]=0,"No","Yes")</f>
        <v>Yes</v>
      </c>
      <c r="T179" s="6" t="str">
        <f>IF(AND(Table1_1[[#This Row],[Income]]&gt;50000,Table1_1[[#This Row],[Home Owner]]="Yes"),"High stability","Low stability")</f>
        <v>Low stability</v>
      </c>
      <c r="U179" s="3">
        <f>Table1_1[[#This Row],[Income]]/Table1_1[[#This Row],[Family size]]</f>
        <v>36666.666666666664</v>
      </c>
      <c r="V179" s="6" t="str">
        <f>IF(Table1_1[[#This Row],[Occupation]]="Skilled manual","Blue collar",IF(Table1_1[[#This Row],[Occupation]]="Manual","Blue collar","White collar"))</f>
        <v>White collar</v>
      </c>
    </row>
    <row r="180" spans="1:22" x14ac:dyDescent="0.3">
      <c r="A180" t="s">
        <v>214</v>
      </c>
      <c r="B180" s="6" t="s">
        <v>1042</v>
      </c>
      <c r="C180" s="6" t="s">
        <v>1046</v>
      </c>
      <c r="D180" s="3">
        <v>160000</v>
      </c>
      <c r="E180">
        <v>4</v>
      </c>
      <c r="F180" s="6" t="s">
        <v>19</v>
      </c>
      <c r="G180" s="6" t="s">
        <v>21</v>
      </c>
      <c r="H180" s="6" t="s">
        <v>18</v>
      </c>
      <c r="I180">
        <v>2</v>
      </c>
      <c r="J180" t="s">
        <v>30</v>
      </c>
      <c r="K1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80" s="6" t="s">
        <v>17</v>
      </c>
      <c r="M180" s="7">
        <v>55</v>
      </c>
      <c r="N180" t="s">
        <v>15</v>
      </c>
      <c r="O180" s="9" t="str">
        <f>IF(Table1_1[[#This Row],[Purchased Bike]]="yes","1","0")</f>
        <v>1</v>
      </c>
      <c r="P180" s="4" t="str">
        <f>IF(Table1_1[[#This Row],[Income]]&lt;=30000,"Low ",IF(Table1_1[[#This Row],[Income]]&lt;=70000,"Middle","High"))</f>
        <v>High</v>
      </c>
      <c r="Q180" s="6" t="str">
        <f>IF(Table1_1[[#This Row],[Age]]&lt;30,"Young",IF(Table1_1[[#This Row],[Age]]&lt;50,"Middle aged","Senior citizen"))</f>
        <v>Senior citizen</v>
      </c>
      <c r="R180" s="7">
        <f>IF(Table1_1[[#This Row],[Marriedarital SingletatuSingle]]="M",Table1_1[[#This Row],[Children]]+2,Table1_1[[#This Row],[Children]]+1)</f>
        <v>5</v>
      </c>
      <c r="S180" s="4" t="str">
        <f>IF(Table1_1[[#This Row],[Cars]]=0,"No","Yes")</f>
        <v>Yes</v>
      </c>
      <c r="T180" s="6" t="str">
        <f>IF(AND(Table1_1[[#This Row],[Income]]&gt;50000,Table1_1[[#This Row],[Home Owner]]="Yes"),"High stability","Low stability")</f>
        <v>Low stability</v>
      </c>
      <c r="U180" s="3">
        <f>Table1_1[[#This Row],[Income]]/Table1_1[[#This Row],[Family size]]</f>
        <v>32000</v>
      </c>
      <c r="V180" s="6" t="str">
        <f>IF(Table1_1[[#This Row],[Occupation]]="Skilled manual","Blue collar",IF(Table1_1[[#This Row],[Occupation]]="Manual","Blue collar","White collar"))</f>
        <v>White collar</v>
      </c>
    </row>
    <row r="181" spans="1:22" x14ac:dyDescent="0.3">
      <c r="A181" t="s">
        <v>215</v>
      </c>
      <c r="B181" s="6" t="s">
        <v>1042</v>
      </c>
      <c r="C181" s="6" t="s">
        <v>1045</v>
      </c>
      <c r="D181" s="3">
        <v>10000</v>
      </c>
      <c r="E181">
        <v>0</v>
      </c>
      <c r="F181" s="6" t="s">
        <v>31</v>
      </c>
      <c r="G181" s="6" t="s">
        <v>25</v>
      </c>
      <c r="H181" s="6" t="s">
        <v>15</v>
      </c>
      <c r="I181">
        <v>0</v>
      </c>
      <c r="J181" t="s">
        <v>16</v>
      </c>
      <c r="K1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81" s="6" t="s">
        <v>17</v>
      </c>
      <c r="M181" s="7">
        <v>37</v>
      </c>
      <c r="N181" t="s">
        <v>15</v>
      </c>
      <c r="O181" s="9" t="str">
        <f>IF(Table1_1[[#This Row],[Purchased Bike]]="yes","1","0")</f>
        <v>1</v>
      </c>
      <c r="P181" s="4" t="str">
        <f>IF(Table1_1[[#This Row],[Income]]&lt;=30000,"Low ",IF(Table1_1[[#This Row],[Income]]&lt;=70000,"Middle","High"))</f>
        <v xml:space="preserve">Low </v>
      </c>
      <c r="Q181" s="6" t="str">
        <f>IF(Table1_1[[#This Row],[Age]]&lt;30,"Young",IF(Table1_1[[#This Row],[Age]]&lt;50,"Middle aged","Senior citizen"))</f>
        <v>Middle aged</v>
      </c>
      <c r="R181" s="7">
        <f>IF(Table1_1[[#This Row],[Marriedarital SingletatuSingle]]="M",Table1_1[[#This Row],[Children]]+2,Table1_1[[#This Row],[Children]]+1)</f>
        <v>1</v>
      </c>
      <c r="S181" s="4" t="str">
        <f>IF(Table1_1[[#This Row],[Cars]]=0,"No","Yes")</f>
        <v>No</v>
      </c>
      <c r="T181" s="6" t="str">
        <f>IF(AND(Table1_1[[#This Row],[Income]]&gt;50000,Table1_1[[#This Row],[Home Owner]]="Yes"),"High stability","Low stability")</f>
        <v>Low stability</v>
      </c>
      <c r="U181" s="3">
        <f>Table1_1[[#This Row],[Income]]/Table1_1[[#This Row],[Family size]]</f>
        <v>10000</v>
      </c>
      <c r="V181" s="6" t="str">
        <f>IF(Table1_1[[#This Row],[Occupation]]="Skilled manual","Blue collar",IF(Table1_1[[#This Row],[Occupation]]="Manual","Blue collar","White collar"))</f>
        <v>Blue collar</v>
      </c>
    </row>
    <row r="182" spans="1:22" x14ac:dyDescent="0.3">
      <c r="A182" t="s">
        <v>216</v>
      </c>
      <c r="B182" s="6" t="s">
        <v>1044</v>
      </c>
      <c r="C182" s="6" t="s">
        <v>1046</v>
      </c>
      <c r="D182" s="3">
        <v>10000</v>
      </c>
      <c r="E182">
        <v>1</v>
      </c>
      <c r="F182" s="6" t="s">
        <v>31</v>
      </c>
      <c r="G182" s="6" t="s">
        <v>25</v>
      </c>
      <c r="H182" s="6" t="s">
        <v>15</v>
      </c>
      <c r="I182">
        <v>0</v>
      </c>
      <c r="J182" t="s">
        <v>16</v>
      </c>
      <c r="K1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82" s="6" t="s">
        <v>17</v>
      </c>
      <c r="M182" s="7">
        <v>44</v>
      </c>
      <c r="N182" t="s">
        <v>18</v>
      </c>
      <c r="O182" s="9" t="str">
        <f>IF(Table1_1[[#This Row],[Purchased Bike]]="yes","1","0")</f>
        <v>0</v>
      </c>
      <c r="P182" s="4" t="str">
        <f>IF(Table1_1[[#This Row],[Income]]&lt;=30000,"Low ",IF(Table1_1[[#This Row],[Income]]&lt;=70000,"Middle","High"))</f>
        <v xml:space="preserve">Low </v>
      </c>
      <c r="Q182" s="6" t="str">
        <f>IF(Table1_1[[#This Row],[Age]]&lt;30,"Young",IF(Table1_1[[#This Row],[Age]]&lt;50,"Middle aged","Senior citizen"))</f>
        <v>Middle aged</v>
      </c>
      <c r="R182" s="7">
        <f>IF(Table1_1[[#This Row],[Marriedarital SingletatuSingle]]="M",Table1_1[[#This Row],[Children]]+2,Table1_1[[#This Row],[Children]]+1)</f>
        <v>2</v>
      </c>
      <c r="S182" s="4" t="str">
        <f>IF(Table1_1[[#This Row],[Cars]]=0,"No","Yes")</f>
        <v>No</v>
      </c>
      <c r="T182" s="6" t="str">
        <f>IF(AND(Table1_1[[#This Row],[Income]]&gt;50000,Table1_1[[#This Row],[Home Owner]]="Yes"),"High stability","Low stability")</f>
        <v>Low stability</v>
      </c>
      <c r="U182" s="3">
        <f>Table1_1[[#This Row],[Income]]/Table1_1[[#This Row],[Family size]]</f>
        <v>5000</v>
      </c>
      <c r="V182" s="6" t="str">
        <f>IF(Table1_1[[#This Row],[Occupation]]="Skilled manual","Blue collar",IF(Table1_1[[#This Row],[Occupation]]="Manual","Blue collar","White collar"))</f>
        <v>Blue collar</v>
      </c>
    </row>
    <row r="183" spans="1:22" x14ac:dyDescent="0.3">
      <c r="A183" t="s">
        <v>217</v>
      </c>
      <c r="B183" s="6" t="s">
        <v>1042</v>
      </c>
      <c r="C183" s="6" t="s">
        <v>1045</v>
      </c>
      <c r="D183" s="3">
        <v>30000</v>
      </c>
      <c r="E183">
        <v>3</v>
      </c>
      <c r="F183" s="6" t="s">
        <v>19</v>
      </c>
      <c r="G183" s="6" t="s">
        <v>20</v>
      </c>
      <c r="H183" s="6" t="s">
        <v>18</v>
      </c>
      <c r="I183">
        <v>2</v>
      </c>
      <c r="J183" t="s">
        <v>26</v>
      </c>
      <c r="K1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83" s="6" t="s">
        <v>24</v>
      </c>
      <c r="M183" s="7">
        <v>55</v>
      </c>
      <c r="N183" t="s">
        <v>15</v>
      </c>
      <c r="O183" s="9" t="str">
        <f>IF(Table1_1[[#This Row],[Purchased Bike]]="yes","1","0")</f>
        <v>1</v>
      </c>
      <c r="P183" s="4" t="str">
        <f>IF(Table1_1[[#This Row],[Income]]&lt;=30000,"Low ",IF(Table1_1[[#This Row],[Income]]&lt;=70000,"Middle","High"))</f>
        <v xml:space="preserve">Low </v>
      </c>
      <c r="Q183" s="6" t="str">
        <f>IF(Table1_1[[#This Row],[Age]]&lt;30,"Young",IF(Table1_1[[#This Row],[Age]]&lt;50,"Middle aged","Senior citizen"))</f>
        <v>Senior citizen</v>
      </c>
      <c r="R183" s="7">
        <f>IF(Table1_1[[#This Row],[Marriedarital SingletatuSingle]]="M",Table1_1[[#This Row],[Children]]+2,Table1_1[[#This Row],[Children]]+1)</f>
        <v>4</v>
      </c>
      <c r="S183" s="4" t="str">
        <f>IF(Table1_1[[#This Row],[Cars]]=0,"No","Yes")</f>
        <v>Yes</v>
      </c>
      <c r="T183" s="6" t="str">
        <f>IF(AND(Table1_1[[#This Row],[Income]]&gt;50000,Table1_1[[#This Row],[Home Owner]]="Yes"),"High stability","Low stability")</f>
        <v>Low stability</v>
      </c>
      <c r="U183" s="3">
        <f>Table1_1[[#This Row],[Income]]/Table1_1[[#This Row],[Family size]]</f>
        <v>7500</v>
      </c>
      <c r="V183" s="6" t="str">
        <f>IF(Table1_1[[#This Row],[Occupation]]="Skilled manual","Blue collar",IF(Table1_1[[#This Row],[Occupation]]="Manual","Blue collar","White collar"))</f>
        <v>White collar</v>
      </c>
    </row>
    <row r="184" spans="1:22" x14ac:dyDescent="0.3">
      <c r="A184" t="s">
        <v>218</v>
      </c>
      <c r="B184" s="6" t="s">
        <v>1042</v>
      </c>
      <c r="C184" s="6" t="s">
        <v>1045</v>
      </c>
      <c r="D184" s="3">
        <v>10000</v>
      </c>
      <c r="E184">
        <v>2</v>
      </c>
      <c r="F184" s="6" t="s">
        <v>27</v>
      </c>
      <c r="G184" s="6" t="s">
        <v>25</v>
      </c>
      <c r="H184" s="6" t="s">
        <v>18</v>
      </c>
      <c r="I184">
        <v>1</v>
      </c>
      <c r="J184" t="s">
        <v>16</v>
      </c>
      <c r="K1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84" s="6" t="s">
        <v>17</v>
      </c>
      <c r="M184" s="7">
        <v>38</v>
      </c>
      <c r="N184" t="s">
        <v>18</v>
      </c>
      <c r="O184" s="9" t="str">
        <f>IF(Table1_1[[#This Row],[Purchased Bike]]="yes","1","0")</f>
        <v>0</v>
      </c>
      <c r="P184" s="4" t="str">
        <f>IF(Table1_1[[#This Row],[Income]]&lt;=30000,"Low ",IF(Table1_1[[#This Row],[Income]]&lt;=70000,"Middle","High"))</f>
        <v xml:space="preserve">Low </v>
      </c>
      <c r="Q184" s="6" t="str">
        <f>IF(Table1_1[[#This Row],[Age]]&lt;30,"Young",IF(Table1_1[[#This Row],[Age]]&lt;50,"Middle aged","Senior citizen"))</f>
        <v>Middle aged</v>
      </c>
      <c r="R184" s="7">
        <f>IF(Table1_1[[#This Row],[Marriedarital SingletatuSingle]]="M",Table1_1[[#This Row],[Children]]+2,Table1_1[[#This Row],[Children]]+1)</f>
        <v>3</v>
      </c>
      <c r="S184" s="4" t="str">
        <f>IF(Table1_1[[#This Row],[Cars]]=0,"No","Yes")</f>
        <v>Yes</v>
      </c>
      <c r="T184" s="6" t="str">
        <f>IF(AND(Table1_1[[#This Row],[Income]]&gt;50000,Table1_1[[#This Row],[Home Owner]]="Yes"),"High stability","Low stability")</f>
        <v>Low stability</v>
      </c>
      <c r="U184" s="3">
        <f>Table1_1[[#This Row],[Income]]/Table1_1[[#This Row],[Family size]]</f>
        <v>3333.3333333333335</v>
      </c>
      <c r="V184" s="6" t="str">
        <f>IF(Table1_1[[#This Row],[Occupation]]="Skilled manual","Blue collar",IF(Table1_1[[#This Row],[Occupation]]="Manual","Blue collar","White collar"))</f>
        <v>Blue collar</v>
      </c>
    </row>
    <row r="185" spans="1:22" x14ac:dyDescent="0.3">
      <c r="A185" t="s">
        <v>219</v>
      </c>
      <c r="B185" s="6" t="s">
        <v>1044</v>
      </c>
      <c r="C185" s="6" t="s">
        <v>1046</v>
      </c>
      <c r="D185" s="3">
        <v>40000</v>
      </c>
      <c r="E185">
        <v>2</v>
      </c>
      <c r="F185" s="6" t="s">
        <v>13</v>
      </c>
      <c r="G185" s="6" t="s">
        <v>28</v>
      </c>
      <c r="H185" s="6" t="s">
        <v>15</v>
      </c>
      <c r="I185">
        <v>2</v>
      </c>
      <c r="J185" t="s">
        <v>23</v>
      </c>
      <c r="K1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85" s="6" t="s">
        <v>24</v>
      </c>
      <c r="M185" s="7">
        <v>66</v>
      </c>
      <c r="N185" t="s">
        <v>15</v>
      </c>
      <c r="O185" s="9" t="str">
        <f>IF(Table1_1[[#This Row],[Purchased Bike]]="yes","1","0")</f>
        <v>1</v>
      </c>
      <c r="P185" s="4" t="str">
        <f>IF(Table1_1[[#This Row],[Income]]&lt;=30000,"Low ",IF(Table1_1[[#This Row],[Income]]&lt;=70000,"Middle","High"))</f>
        <v>Middle</v>
      </c>
      <c r="Q185" s="6" t="str">
        <f>IF(Table1_1[[#This Row],[Age]]&lt;30,"Young",IF(Table1_1[[#This Row],[Age]]&lt;50,"Middle aged","Senior citizen"))</f>
        <v>Senior citizen</v>
      </c>
      <c r="R185" s="7">
        <f>IF(Table1_1[[#This Row],[Marriedarital SingletatuSingle]]="M",Table1_1[[#This Row],[Children]]+2,Table1_1[[#This Row],[Children]]+1)</f>
        <v>3</v>
      </c>
      <c r="S185" s="4" t="str">
        <f>IF(Table1_1[[#This Row],[Cars]]=0,"No","Yes")</f>
        <v>Yes</v>
      </c>
      <c r="T185" s="6" t="str">
        <f>IF(AND(Table1_1[[#This Row],[Income]]&gt;50000,Table1_1[[#This Row],[Home Owner]]="Yes"),"High stability","Low stability")</f>
        <v>Low stability</v>
      </c>
      <c r="U185" s="3">
        <f>Table1_1[[#This Row],[Income]]/Table1_1[[#This Row],[Family size]]</f>
        <v>13333.333333333334</v>
      </c>
      <c r="V185" s="6" t="str">
        <f>IF(Table1_1[[#This Row],[Occupation]]="Skilled manual","Blue collar",IF(Table1_1[[#This Row],[Occupation]]="Manual","Blue collar","White collar"))</f>
        <v>White collar</v>
      </c>
    </row>
    <row r="186" spans="1:22" x14ac:dyDescent="0.3">
      <c r="A186" t="s">
        <v>220</v>
      </c>
      <c r="B186" s="6" t="s">
        <v>1042</v>
      </c>
      <c r="C186" s="6" t="s">
        <v>1045</v>
      </c>
      <c r="D186" s="3">
        <v>130000</v>
      </c>
      <c r="E186">
        <v>4</v>
      </c>
      <c r="F186" s="6" t="s">
        <v>27</v>
      </c>
      <c r="G186" s="6" t="s">
        <v>28</v>
      </c>
      <c r="H186" s="6" t="s">
        <v>18</v>
      </c>
      <c r="I186">
        <v>4</v>
      </c>
      <c r="J186" t="s">
        <v>30</v>
      </c>
      <c r="K1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86" s="6" t="s">
        <v>17</v>
      </c>
      <c r="M186" s="7">
        <v>58</v>
      </c>
      <c r="N186" t="s">
        <v>18</v>
      </c>
      <c r="O186" s="9" t="str">
        <f>IF(Table1_1[[#This Row],[Purchased Bike]]="yes","1","0")</f>
        <v>0</v>
      </c>
      <c r="P186" s="4" t="str">
        <f>IF(Table1_1[[#This Row],[Income]]&lt;=30000,"Low ",IF(Table1_1[[#This Row],[Income]]&lt;=70000,"Middle","High"))</f>
        <v>High</v>
      </c>
      <c r="Q186" s="6" t="str">
        <f>IF(Table1_1[[#This Row],[Age]]&lt;30,"Young",IF(Table1_1[[#This Row],[Age]]&lt;50,"Middle aged","Senior citizen"))</f>
        <v>Senior citizen</v>
      </c>
      <c r="R186" s="7">
        <f>IF(Table1_1[[#This Row],[Marriedarital SingletatuSingle]]="M",Table1_1[[#This Row],[Children]]+2,Table1_1[[#This Row],[Children]]+1)</f>
        <v>5</v>
      </c>
      <c r="S186" s="4" t="str">
        <f>IF(Table1_1[[#This Row],[Cars]]=0,"No","Yes")</f>
        <v>Yes</v>
      </c>
      <c r="T186" s="6" t="str">
        <f>IF(AND(Table1_1[[#This Row],[Income]]&gt;50000,Table1_1[[#This Row],[Home Owner]]="Yes"),"High stability","Low stability")</f>
        <v>Low stability</v>
      </c>
      <c r="U186" s="3">
        <f>Table1_1[[#This Row],[Income]]/Table1_1[[#This Row],[Family size]]</f>
        <v>26000</v>
      </c>
      <c r="V186" s="6" t="str">
        <f>IF(Table1_1[[#This Row],[Occupation]]="Skilled manual","Blue collar",IF(Table1_1[[#This Row],[Occupation]]="Manual","Blue collar","White collar"))</f>
        <v>White collar</v>
      </c>
    </row>
    <row r="187" spans="1:22" x14ac:dyDescent="0.3">
      <c r="A187" t="s">
        <v>221</v>
      </c>
      <c r="B187" s="6" t="s">
        <v>1042</v>
      </c>
      <c r="C187" s="6" t="s">
        <v>1045</v>
      </c>
      <c r="D187" s="3">
        <v>90000</v>
      </c>
      <c r="E187">
        <v>1</v>
      </c>
      <c r="F187" s="6" t="s">
        <v>13</v>
      </c>
      <c r="G187" s="6" t="s">
        <v>21</v>
      </c>
      <c r="H187" s="6" t="s">
        <v>15</v>
      </c>
      <c r="I187">
        <v>1</v>
      </c>
      <c r="J187" t="s">
        <v>22</v>
      </c>
      <c r="K1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187" s="6" t="s">
        <v>24</v>
      </c>
      <c r="M187" s="7">
        <v>47</v>
      </c>
      <c r="N187" t="s">
        <v>15</v>
      </c>
      <c r="O187" s="9" t="str">
        <f>IF(Table1_1[[#This Row],[Purchased Bike]]="yes","1","0")</f>
        <v>1</v>
      </c>
      <c r="P187" s="4" t="str">
        <f>IF(Table1_1[[#This Row],[Income]]&lt;=30000,"Low ",IF(Table1_1[[#This Row],[Income]]&lt;=70000,"Middle","High"))</f>
        <v>High</v>
      </c>
      <c r="Q187" s="6" t="str">
        <f>IF(Table1_1[[#This Row],[Age]]&lt;30,"Young",IF(Table1_1[[#This Row],[Age]]&lt;50,"Middle aged","Senior citizen"))</f>
        <v>Middle aged</v>
      </c>
      <c r="R187" s="7">
        <f>IF(Table1_1[[#This Row],[Marriedarital SingletatuSingle]]="M",Table1_1[[#This Row],[Children]]+2,Table1_1[[#This Row],[Children]]+1)</f>
        <v>2</v>
      </c>
      <c r="S187" s="4" t="str">
        <f>IF(Table1_1[[#This Row],[Cars]]=0,"No","Yes")</f>
        <v>Yes</v>
      </c>
      <c r="T187" s="6" t="str">
        <f>IF(AND(Table1_1[[#This Row],[Income]]&gt;50000,Table1_1[[#This Row],[Home Owner]]="Yes"),"High stability","Low stability")</f>
        <v>High stability</v>
      </c>
      <c r="U187" s="3">
        <f>Table1_1[[#This Row],[Income]]/Table1_1[[#This Row],[Family size]]</f>
        <v>45000</v>
      </c>
      <c r="V187" s="6" t="str">
        <f>IF(Table1_1[[#This Row],[Occupation]]="Skilled manual","Blue collar",IF(Table1_1[[#This Row],[Occupation]]="Manual","Blue collar","White collar"))</f>
        <v>White collar</v>
      </c>
    </row>
    <row r="188" spans="1:22" x14ac:dyDescent="0.3">
      <c r="A188" t="s">
        <v>222</v>
      </c>
      <c r="B188" s="6" t="s">
        <v>1042</v>
      </c>
      <c r="C188" s="6" t="s">
        <v>1045</v>
      </c>
      <c r="D188" s="3">
        <v>30000</v>
      </c>
      <c r="E188">
        <v>3</v>
      </c>
      <c r="F188" s="6" t="s">
        <v>27</v>
      </c>
      <c r="G188" s="6" t="s">
        <v>14</v>
      </c>
      <c r="H188" s="6" t="s">
        <v>18</v>
      </c>
      <c r="I188">
        <v>2</v>
      </c>
      <c r="J188" t="s">
        <v>26</v>
      </c>
      <c r="K1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88" s="6" t="s">
        <v>24</v>
      </c>
      <c r="M188" s="7">
        <v>56</v>
      </c>
      <c r="N188" t="s">
        <v>15</v>
      </c>
      <c r="O188" s="9" t="str">
        <f>IF(Table1_1[[#This Row],[Purchased Bike]]="yes","1","0")</f>
        <v>1</v>
      </c>
      <c r="P188" s="4" t="str">
        <f>IF(Table1_1[[#This Row],[Income]]&lt;=30000,"Low ",IF(Table1_1[[#This Row],[Income]]&lt;=70000,"Middle","High"))</f>
        <v xml:space="preserve">Low </v>
      </c>
      <c r="Q188" s="6" t="str">
        <f>IF(Table1_1[[#This Row],[Age]]&lt;30,"Young",IF(Table1_1[[#This Row],[Age]]&lt;50,"Middle aged","Senior citizen"))</f>
        <v>Senior citizen</v>
      </c>
      <c r="R188" s="7">
        <f>IF(Table1_1[[#This Row],[Marriedarital SingletatuSingle]]="M",Table1_1[[#This Row],[Children]]+2,Table1_1[[#This Row],[Children]]+1)</f>
        <v>4</v>
      </c>
      <c r="S188" s="4" t="str">
        <f>IF(Table1_1[[#This Row],[Cars]]=0,"No","Yes")</f>
        <v>Yes</v>
      </c>
      <c r="T188" s="6" t="str">
        <f>IF(AND(Table1_1[[#This Row],[Income]]&gt;50000,Table1_1[[#This Row],[Home Owner]]="Yes"),"High stability","Low stability")</f>
        <v>Low stability</v>
      </c>
      <c r="U188" s="3">
        <f>Table1_1[[#This Row],[Income]]/Table1_1[[#This Row],[Family size]]</f>
        <v>7500</v>
      </c>
      <c r="V188" s="6" t="str">
        <f>IF(Table1_1[[#This Row],[Occupation]]="Skilled manual","Blue collar",IF(Table1_1[[#This Row],[Occupation]]="Manual","Blue collar","White collar"))</f>
        <v>Blue collar</v>
      </c>
    </row>
    <row r="189" spans="1:22" x14ac:dyDescent="0.3">
      <c r="A189" t="s">
        <v>223</v>
      </c>
      <c r="B189" s="6" t="s">
        <v>1044</v>
      </c>
      <c r="C189" s="6" t="s">
        <v>1046</v>
      </c>
      <c r="D189" s="3">
        <v>80000</v>
      </c>
      <c r="E189">
        <v>5</v>
      </c>
      <c r="F189" s="6" t="s">
        <v>19</v>
      </c>
      <c r="G189" s="6" t="s">
        <v>21</v>
      </c>
      <c r="H189" s="6" t="s">
        <v>18</v>
      </c>
      <c r="I189">
        <v>2</v>
      </c>
      <c r="J189" t="s">
        <v>30</v>
      </c>
      <c r="K1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89" s="6" t="s">
        <v>17</v>
      </c>
      <c r="M189" s="7">
        <v>59</v>
      </c>
      <c r="N189" t="s">
        <v>18</v>
      </c>
      <c r="O189" s="9" t="str">
        <f>IF(Table1_1[[#This Row],[Purchased Bike]]="yes","1","0")</f>
        <v>0</v>
      </c>
      <c r="P189" s="4" t="str">
        <f>IF(Table1_1[[#This Row],[Income]]&lt;=30000,"Low ",IF(Table1_1[[#This Row],[Income]]&lt;=70000,"Middle","High"))</f>
        <v>High</v>
      </c>
      <c r="Q189" s="6" t="str">
        <f>IF(Table1_1[[#This Row],[Age]]&lt;30,"Young",IF(Table1_1[[#This Row],[Age]]&lt;50,"Middle aged","Senior citizen"))</f>
        <v>Senior citizen</v>
      </c>
      <c r="R189" s="7">
        <f>IF(Table1_1[[#This Row],[Marriedarital SingletatuSingle]]="M",Table1_1[[#This Row],[Children]]+2,Table1_1[[#This Row],[Children]]+1)</f>
        <v>6</v>
      </c>
      <c r="S189" s="4" t="str">
        <f>IF(Table1_1[[#This Row],[Cars]]=0,"No","Yes")</f>
        <v>Yes</v>
      </c>
      <c r="T189" s="6" t="str">
        <f>IF(AND(Table1_1[[#This Row],[Income]]&gt;50000,Table1_1[[#This Row],[Home Owner]]="Yes"),"High stability","Low stability")</f>
        <v>Low stability</v>
      </c>
      <c r="U189" s="3">
        <f>Table1_1[[#This Row],[Income]]/Table1_1[[#This Row],[Family size]]</f>
        <v>13333.333333333334</v>
      </c>
      <c r="V189" s="6" t="str">
        <f>IF(Table1_1[[#This Row],[Occupation]]="Skilled manual","Blue collar",IF(Table1_1[[#This Row],[Occupation]]="Manual","Blue collar","White collar"))</f>
        <v>White collar</v>
      </c>
    </row>
    <row r="190" spans="1:22" x14ac:dyDescent="0.3">
      <c r="A190" t="s">
        <v>224</v>
      </c>
      <c r="B190" s="6" t="s">
        <v>1042</v>
      </c>
      <c r="C190" s="6" t="s">
        <v>1045</v>
      </c>
      <c r="D190" s="3">
        <v>70000</v>
      </c>
      <c r="E190">
        <v>0</v>
      </c>
      <c r="F190" s="6" t="s">
        <v>13</v>
      </c>
      <c r="G190" s="6" t="s">
        <v>21</v>
      </c>
      <c r="H190" s="6" t="s">
        <v>15</v>
      </c>
      <c r="I190">
        <v>4</v>
      </c>
      <c r="J190" t="s">
        <v>30</v>
      </c>
      <c r="K1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90" s="6" t="s">
        <v>24</v>
      </c>
      <c r="M190" s="7">
        <v>32</v>
      </c>
      <c r="N190" t="s">
        <v>15</v>
      </c>
      <c r="O190" s="9" t="str">
        <f>IF(Table1_1[[#This Row],[Purchased Bike]]="yes","1","0")</f>
        <v>1</v>
      </c>
      <c r="P190" s="4" t="str">
        <f>IF(Table1_1[[#This Row],[Income]]&lt;=30000,"Low ",IF(Table1_1[[#This Row],[Income]]&lt;=70000,"Middle","High"))</f>
        <v>Middle</v>
      </c>
      <c r="Q190" s="6" t="str">
        <f>IF(Table1_1[[#This Row],[Age]]&lt;30,"Young",IF(Table1_1[[#This Row],[Age]]&lt;50,"Middle aged","Senior citizen"))</f>
        <v>Middle aged</v>
      </c>
      <c r="R190" s="7">
        <f>IF(Table1_1[[#This Row],[Marriedarital SingletatuSingle]]="M",Table1_1[[#This Row],[Children]]+2,Table1_1[[#This Row],[Children]]+1)</f>
        <v>1</v>
      </c>
      <c r="S190" s="4" t="str">
        <f>IF(Table1_1[[#This Row],[Cars]]=0,"No","Yes")</f>
        <v>Yes</v>
      </c>
      <c r="T190" s="6" t="str">
        <f>IF(AND(Table1_1[[#This Row],[Income]]&gt;50000,Table1_1[[#This Row],[Home Owner]]="Yes"),"High stability","Low stability")</f>
        <v>High stability</v>
      </c>
      <c r="U190" s="3">
        <f>Table1_1[[#This Row],[Income]]/Table1_1[[#This Row],[Family size]]</f>
        <v>70000</v>
      </c>
      <c r="V190" s="6" t="str">
        <f>IF(Table1_1[[#This Row],[Occupation]]="Skilled manual","Blue collar",IF(Table1_1[[#This Row],[Occupation]]="Manual","Blue collar","White collar"))</f>
        <v>White collar</v>
      </c>
    </row>
    <row r="191" spans="1:22" x14ac:dyDescent="0.3">
      <c r="A191" t="s">
        <v>225</v>
      </c>
      <c r="B191" s="6" t="s">
        <v>1042</v>
      </c>
      <c r="C191" s="6" t="s">
        <v>1046</v>
      </c>
      <c r="D191" s="3">
        <v>30000</v>
      </c>
      <c r="E191">
        <v>1</v>
      </c>
      <c r="F191" s="6" t="s">
        <v>19</v>
      </c>
      <c r="G191" s="6" t="s">
        <v>20</v>
      </c>
      <c r="H191" s="6" t="s">
        <v>15</v>
      </c>
      <c r="I191">
        <v>1</v>
      </c>
      <c r="J191" t="s">
        <v>16</v>
      </c>
      <c r="K1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91" s="6" t="s">
        <v>17</v>
      </c>
      <c r="M191" s="7">
        <v>44</v>
      </c>
      <c r="N191" t="s">
        <v>15</v>
      </c>
      <c r="O191" s="9" t="str">
        <f>IF(Table1_1[[#This Row],[Purchased Bike]]="yes","1","0")</f>
        <v>1</v>
      </c>
      <c r="P191" s="4" t="str">
        <f>IF(Table1_1[[#This Row],[Income]]&lt;=30000,"Low ",IF(Table1_1[[#This Row],[Income]]&lt;=70000,"Middle","High"))</f>
        <v xml:space="preserve">Low </v>
      </c>
      <c r="Q191" s="6" t="str">
        <f>IF(Table1_1[[#This Row],[Age]]&lt;30,"Young",IF(Table1_1[[#This Row],[Age]]&lt;50,"Middle aged","Senior citizen"))</f>
        <v>Middle aged</v>
      </c>
      <c r="R191" s="7">
        <f>IF(Table1_1[[#This Row],[Marriedarital SingletatuSingle]]="M",Table1_1[[#This Row],[Children]]+2,Table1_1[[#This Row],[Children]]+1)</f>
        <v>2</v>
      </c>
      <c r="S191" s="4" t="str">
        <f>IF(Table1_1[[#This Row],[Cars]]=0,"No","Yes")</f>
        <v>Yes</v>
      </c>
      <c r="T191" s="6" t="str">
        <f>IF(AND(Table1_1[[#This Row],[Income]]&gt;50000,Table1_1[[#This Row],[Home Owner]]="Yes"),"High stability","Low stability")</f>
        <v>Low stability</v>
      </c>
      <c r="U191" s="3">
        <f>Table1_1[[#This Row],[Income]]/Table1_1[[#This Row],[Family size]]</f>
        <v>15000</v>
      </c>
      <c r="V191" s="6" t="str">
        <f>IF(Table1_1[[#This Row],[Occupation]]="Skilled manual","Blue collar",IF(Table1_1[[#This Row],[Occupation]]="Manual","Blue collar","White collar"))</f>
        <v>White collar</v>
      </c>
    </row>
    <row r="192" spans="1:22" x14ac:dyDescent="0.3">
      <c r="A192" t="s">
        <v>226</v>
      </c>
      <c r="B192" s="6" t="s">
        <v>1042</v>
      </c>
      <c r="C192" s="6" t="s">
        <v>1046</v>
      </c>
      <c r="D192" s="3">
        <v>30000</v>
      </c>
      <c r="E192">
        <v>3</v>
      </c>
      <c r="F192" s="6" t="s">
        <v>27</v>
      </c>
      <c r="G192" s="6" t="s">
        <v>14</v>
      </c>
      <c r="H192" s="6" t="s">
        <v>15</v>
      </c>
      <c r="I192">
        <v>2</v>
      </c>
      <c r="J192" t="s">
        <v>23</v>
      </c>
      <c r="K1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192" s="6" t="s">
        <v>24</v>
      </c>
      <c r="M192" s="7">
        <v>55</v>
      </c>
      <c r="N192" t="s">
        <v>18</v>
      </c>
      <c r="O192" s="9" t="str">
        <f>IF(Table1_1[[#This Row],[Purchased Bike]]="yes","1","0")</f>
        <v>0</v>
      </c>
      <c r="P192" s="4" t="str">
        <f>IF(Table1_1[[#This Row],[Income]]&lt;=30000,"Low ",IF(Table1_1[[#This Row],[Income]]&lt;=70000,"Middle","High"))</f>
        <v xml:space="preserve">Low </v>
      </c>
      <c r="Q192" s="6" t="str">
        <f>IF(Table1_1[[#This Row],[Age]]&lt;30,"Young",IF(Table1_1[[#This Row],[Age]]&lt;50,"Middle aged","Senior citizen"))</f>
        <v>Senior citizen</v>
      </c>
      <c r="R192" s="7">
        <f>IF(Table1_1[[#This Row],[Marriedarital SingletatuSingle]]="M",Table1_1[[#This Row],[Children]]+2,Table1_1[[#This Row],[Children]]+1)</f>
        <v>4</v>
      </c>
      <c r="S192" s="4" t="str">
        <f>IF(Table1_1[[#This Row],[Cars]]=0,"No","Yes")</f>
        <v>Yes</v>
      </c>
      <c r="T192" s="6" t="str">
        <f>IF(AND(Table1_1[[#This Row],[Income]]&gt;50000,Table1_1[[#This Row],[Home Owner]]="Yes"),"High stability","Low stability")</f>
        <v>Low stability</v>
      </c>
      <c r="U192" s="3">
        <f>Table1_1[[#This Row],[Income]]/Table1_1[[#This Row],[Family size]]</f>
        <v>7500</v>
      </c>
      <c r="V192" s="6" t="str">
        <f>IF(Table1_1[[#This Row],[Occupation]]="Skilled manual","Blue collar",IF(Table1_1[[#This Row],[Occupation]]="Manual","Blue collar","White collar"))</f>
        <v>Blue collar</v>
      </c>
    </row>
    <row r="193" spans="1:22" x14ac:dyDescent="0.3">
      <c r="A193" t="s">
        <v>227</v>
      </c>
      <c r="B193" s="6" t="s">
        <v>1044</v>
      </c>
      <c r="C193" s="6" t="s">
        <v>1046</v>
      </c>
      <c r="D193" s="3">
        <v>90000</v>
      </c>
      <c r="E193">
        <v>2</v>
      </c>
      <c r="F193" s="6" t="s">
        <v>27</v>
      </c>
      <c r="G193" s="6" t="s">
        <v>25</v>
      </c>
      <c r="H193" s="6" t="s">
        <v>15</v>
      </c>
      <c r="I193">
        <v>0</v>
      </c>
      <c r="J193" t="s">
        <v>16</v>
      </c>
      <c r="K1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93" s="6" t="s">
        <v>17</v>
      </c>
      <c r="M193" s="7">
        <v>36</v>
      </c>
      <c r="N193" t="s">
        <v>15</v>
      </c>
      <c r="O193" s="9" t="str">
        <f>IF(Table1_1[[#This Row],[Purchased Bike]]="yes","1","0")</f>
        <v>1</v>
      </c>
      <c r="P193" s="4" t="str">
        <f>IF(Table1_1[[#This Row],[Income]]&lt;=30000,"Low ",IF(Table1_1[[#This Row],[Income]]&lt;=70000,"Middle","High"))</f>
        <v>High</v>
      </c>
      <c r="Q193" s="6" t="str">
        <f>IF(Table1_1[[#This Row],[Age]]&lt;30,"Young",IF(Table1_1[[#This Row],[Age]]&lt;50,"Middle aged","Senior citizen"))</f>
        <v>Middle aged</v>
      </c>
      <c r="R193" s="7">
        <f>IF(Table1_1[[#This Row],[Marriedarital SingletatuSingle]]="M",Table1_1[[#This Row],[Children]]+2,Table1_1[[#This Row],[Children]]+1)</f>
        <v>3</v>
      </c>
      <c r="S193" s="4" t="str">
        <f>IF(Table1_1[[#This Row],[Cars]]=0,"No","Yes")</f>
        <v>No</v>
      </c>
      <c r="T193" s="6" t="str">
        <f>IF(AND(Table1_1[[#This Row],[Income]]&gt;50000,Table1_1[[#This Row],[Home Owner]]="Yes"),"High stability","Low stability")</f>
        <v>High stability</v>
      </c>
      <c r="U193" s="3">
        <f>Table1_1[[#This Row],[Income]]/Table1_1[[#This Row],[Family size]]</f>
        <v>30000</v>
      </c>
      <c r="V193" s="6" t="str">
        <f>IF(Table1_1[[#This Row],[Occupation]]="Skilled manual","Blue collar",IF(Table1_1[[#This Row],[Occupation]]="Manual","Blue collar","White collar"))</f>
        <v>Blue collar</v>
      </c>
    </row>
    <row r="194" spans="1:22" x14ac:dyDescent="0.3">
      <c r="A194" t="s">
        <v>228</v>
      </c>
      <c r="B194" s="6" t="s">
        <v>1044</v>
      </c>
      <c r="C194" s="6" t="s">
        <v>1045</v>
      </c>
      <c r="D194" s="3">
        <v>80000</v>
      </c>
      <c r="E194">
        <v>5</v>
      </c>
      <c r="F194" s="6" t="s">
        <v>13</v>
      </c>
      <c r="G194" s="6" t="s">
        <v>28</v>
      </c>
      <c r="H194" s="6" t="s">
        <v>15</v>
      </c>
      <c r="I194">
        <v>2</v>
      </c>
      <c r="J194" t="s">
        <v>30</v>
      </c>
      <c r="K1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94" s="6" t="s">
        <v>17</v>
      </c>
      <c r="M194" s="7">
        <v>62</v>
      </c>
      <c r="N194" t="s">
        <v>18</v>
      </c>
      <c r="O194" s="9" t="str">
        <f>IF(Table1_1[[#This Row],[Purchased Bike]]="yes","1","0")</f>
        <v>0</v>
      </c>
      <c r="P194" s="4" t="str">
        <f>IF(Table1_1[[#This Row],[Income]]&lt;=30000,"Low ",IF(Table1_1[[#This Row],[Income]]&lt;=70000,"Middle","High"))</f>
        <v>High</v>
      </c>
      <c r="Q194" s="6" t="str">
        <f>IF(Table1_1[[#This Row],[Age]]&lt;30,"Young",IF(Table1_1[[#This Row],[Age]]&lt;50,"Middle aged","Senior citizen"))</f>
        <v>Senior citizen</v>
      </c>
      <c r="R194" s="7">
        <f>IF(Table1_1[[#This Row],[Marriedarital SingletatuSingle]]="M",Table1_1[[#This Row],[Children]]+2,Table1_1[[#This Row],[Children]]+1)</f>
        <v>6</v>
      </c>
      <c r="S194" s="4" t="str">
        <f>IF(Table1_1[[#This Row],[Cars]]=0,"No","Yes")</f>
        <v>Yes</v>
      </c>
      <c r="T194" s="6" t="str">
        <f>IF(AND(Table1_1[[#This Row],[Income]]&gt;50000,Table1_1[[#This Row],[Home Owner]]="Yes"),"High stability","Low stability")</f>
        <v>High stability</v>
      </c>
      <c r="U194" s="3">
        <f>Table1_1[[#This Row],[Income]]/Table1_1[[#This Row],[Family size]]</f>
        <v>13333.333333333334</v>
      </c>
      <c r="V194" s="6" t="str">
        <f>IF(Table1_1[[#This Row],[Occupation]]="Skilled manual","Blue collar",IF(Table1_1[[#This Row],[Occupation]]="Manual","Blue collar","White collar"))</f>
        <v>White collar</v>
      </c>
    </row>
    <row r="195" spans="1:22" x14ac:dyDescent="0.3">
      <c r="A195" t="s">
        <v>229</v>
      </c>
      <c r="B195" s="6" t="s">
        <v>1042</v>
      </c>
      <c r="C195" s="6" t="s">
        <v>1045</v>
      </c>
      <c r="D195" s="3">
        <v>70000</v>
      </c>
      <c r="E195">
        <v>5</v>
      </c>
      <c r="F195" s="6" t="s">
        <v>13</v>
      </c>
      <c r="G195" s="6" t="s">
        <v>21</v>
      </c>
      <c r="H195" s="6" t="s">
        <v>15</v>
      </c>
      <c r="I195">
        <v>4</v>
      </c>
      <c r="J195" t="s">
        <v>30</v>
      </c>
      <c r="K1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95" s="6" t="s">
        <v>24</v>
      </c>
      <c r="M195" s="7">
        <v>41</v>
      </c>
      <c r="N195" t="s">
        <v>18</v>
      </c>
      <c r="O195" s="9" t="str">
        <f>IF(Table1_1[[#This Row],[Purchased Bike]]="yes","1","0")</f>
        <v>0</v>
      </c>
      <c r="P195" s="4" t="str">
        <f>IF(Table1_1[[#This Row],[Income]]&lt;=30000,"Low ",IF(Table1_1[[#This Row],[Income]]&lt;=70000,"Middle","High"))</f>
        <v>Middle</v>
      </c>
      <c r="Q195" s="6" t="str">
        <f>IF(Table1_1[[#This Row],[Age]]&lt;30,"Young",IF(Table1_1[[#This Row],[Age]]&lt;50,"Middle aged","Senior citizen"))</f>
        <v>Middle aged</v>
      </c>
      <c r="R195" s="7">
        <f>IF(Table1_1[[#This Row],[Marriedarital SingletatuSingle]]="M",Table1_1[[#This Row],[Children]]+2,Table1_1[[#This Row],[Children]]+1)</f>
        <v>6</v>
      </c>
      <c r="S195" s="4" t="str">
        <f>IF(Table1_1[[#This Row],[Cars]]=0,"No","Yes")</f>
        <v>Yes</v>
      </c>
      <c r="T195" s="6" t="str">
        <f>IF(AND(Table1_1[[#This Row],[Income]]&gt;50000,Table1_1[[#This Row],[Home Owner]]="Yes"),"High stability","Low stability")</f>
        <v>High stability</v>
      </c>
      <c r="U195" s="3">
        <f>Table1_1[[#This Row],[Income]]/Table1_1[[#This Row],[Family size]]</f>
        <v>11666.666666666666</v>
      </c>
      <c r="V195" s="6" t="str">
        <f>IF(Table1_1[[#This Row],[Occupation]]="Skilled manual","Blue collar",IF(Table1_1[[#This Row],[Occupation]]="Manual","Blue collar","White collar"))</f>
        <v>White collar</v>
      </c>
    </row>
    <row r="196" spans="1:22" x14ac:dyDescent="0.3">
      <c r="A196" t="s">
        <v>230</v>
      </c>
      <c r="B196" s="6" t="s">
        <v>1044</v>
      </c>
      <c r="C196" s="6" t="s">
        <v>1045</v>
      </c>
      <c r="D196" s="3">
        <v>10000</v>
      </c>
      <c r="E196">
        <v>0</v>
      </c>
      <c r="F196" s="6" t="s">
        <v>29</v>
      </c>
      <c r="G196" s="6" t="s">
        <v>25</v>
      </c>
      <c r="H196" s="6" t="s">
        <v>18</v>
      </c>
      <c r="I196">
        <v>2</v>
      </c>
      <c r="J196" t="s">
        <v>16</v>
      </c>
      <c r="K1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96" s="6" t="s">
        <v>17</v>
      </c>
      <c r="M196" s="7">
        <v>32</v>
      </c>
      <c r="N196" t="s">
        <v>18</v>
      </c>
      <c r="O196" s="9" t="str">
        <f>IF(Table1_1[[#This Row],[Purchased Bike]]="yes","1","0")</f>
        <v>0</v>
      </c>
      <c r="P196" s="4" t="str">
        <f>IF(Table1_1[[#This Row],[Income]]&lt;=30000,"Low ",IF(Table1_1[[#This Row],[Income]]&lt;=70000,"Middle","High"))</f>
        <v xml:space="preserve">Low </v>
      </c>
      <c r="Q196" s="6" t="str">
        <f>IF(Table1_1[[#This Row],[Age]]&lt;30,"Young",IF(Table1_1[[#This Row],[Age]]&lt;50,"Middle aged","Senior citizen"))</f>
        <v>Middle aged</v>
      </c>
      <c r="R196" s="7">
        <f>IF(Table1_1[[#This Row],[Marriedarital SingletatuSingle]]="M",Table1_1[[#This Row],[Children]]+2,Table1_1[[#This Row],[Children]]+1)</f>
        <v>1</v>
      </c>
      <c r="S196" s="4" t="str">
        <f>IF(Table1_1[[#This Row],[Cars]]=0,"No","Yes")</f>
        <v>Yes</v>
      </c>
      <c r="T196" s="6" t="str">
        <f>IF(AND(Table1_1[[#This Row],[Income]]&gt;50000,Table1_1[[#This Row],[Home Owner]]="Yes"),"High stability","Low stability")</f>
        <v>Low stability</v>
      </c>
      <c r="U196" s="3">
        <f>Table1_1[[#This Row],[Income]]/Table1_1[[#This Row],[Family size]]</f>
        <v>10000</v>
      </c>
      <c r="V196" s="6" t="str">
        <f>IF(Table1_1[[#This Row],[Occupation]]="Skilled manual","Blue collar",IF(Table1_1[[#This Row],[Occupation]]="Manual","Blue collar","White collar"))</f>
        <v>Blue collar</v>
      </c>
    </row>
    <row r="197" spans="1:22" x14ac:dyDescent="0.3">
      <c r="A197" t="s">
        <v>231</v>
      </c>
      <c r="B197" s="6" t="s">
        <v>1044</v>
      </c>
      <c r="C197" s="6" t="s">
        <v>1046</v>
      </c>
      <c r="D197" s="3">
        <v>20000</v>
      </c>
      <c r="E197">
        <v>0</v>
      </c>
      <c r="F197" s="6" t="s">
        <v>13</v>
      </c>
      <c r="G197" s="6" t="s">
        <v>20</v>
      </c>
      <c r="H197" s="6" t="s">
        <v>15</v>
      </c>
      <c r="I197">
        <v>0</v>
      </c>
      <c r="J197" t="s">
        <v>16</v>
      </c>
      <c r="K1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97" s="6" t="s">
        <v>24</v>
      </c>
      <c r="M197" s="7">
        <v>25</v>
      </c>
      <c r="N197" t="s">
        <v>15</v>
      </c>
      <c r="O197" s="9" t="str">
        <f>IF(Table1_1[[#This Row],[Purchased Bike]]="yes","1","0")</f>
        <v>1</v>
      </c>
      <c r="P197" s="4" t="str">
        <f>IF(Table1_1[[#This Row],[Income]]&lt;=30000,"Low ",IF(Table1_1[[#This Row],[Income]]&lt;=70000,"Middle","High"))</f>
        <v xml:space="preserve">Low </v>
      </c>
      <c r="Q197" s="6" t="str">
        <f>IF(Table1_1[[#This Row],[Age]]&lt;30,"Young",IF(Table1_1[[#This Row],[Age]]&lt;50,"Middle aged","Senior citizen"))</f>
        <v>Young</v>
      </c>
      <c r="R197" s="7">
        <f>IF(Table1_1[[#This Row],[Marriedarital SingletatuSingle]]="M",Table1_1[[#This Row],[Children]]+2,Table1_1[[#This Row],[Children]]+1)</f>
        <v>1</v>
      </c>
      <c r="S197" s="4" t="str">
        <f>IF(Table1_1[[#This Row],[Cars]]=0,"No","Yes")</f>
        <v>No</v>
      </c>
      <c r="T197" s="6" t="str">
        <f>IF(AND(Table1_1[[#This Row],[Income]]&gt;50000,Table1_1[[#This Row],[Home Owner]]="Yes"),"High stability","Low stability")</f>
        <v>Low stability</v>
      </c>
      <c r="U197" s="3">
        <f>Table1_1[[#This Row],[Income]]/Table1_1[[#This Row],[Family size]]</f>
        <v>20000</v>
      </c>
      <c r="V197" s="6" t="str">
        <f>IF(Table1_1[[#This Row],[Occupation]]="Skilled manual","Blue collar",IF(Table1_1[[#This Row],[Occupation]]="Manual","Blue collar","White collar"))</f>
        <v>White collar</v>
      </c>
    </row>
    <row r="198" spans="1:22" x14ac:dyDescent="0.3">
      <c r="A198" t="s">
        <v>232</v>
      </c>
      <c r="B198" s="6" t="s">
        <v>1044</v>
      </c>
      <c r="C198" s="6" t="s">
        <v>1045</v>
      </c>
      <c r="D198" s="3">
        <v>50000</v>
      </c>
      <c r="E198">
        <v>0</v>
      </c>
      <c r="F198" s="6" t="s">
        <v>31</v>
      </c>
      <c r="G198" s="6" t="s">
        <v>14</v>
      </c>
      <c r="H198" s="6" t="s">
        <v>15</v>
      </c>
      <c r="I198">
        <v>0</v>
      </c>
      <c r="J198" t="s">
        <v>26</v>
      </c>
      <c r="K1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98" s="6" t="s">
        <v>17</v>
      </c>
      <c r="M198" s="7">
        <v>36</v>
      </c>
      <c r="N198" t="s">
        <v>18</v>
      </c>
      <c r="O198" s="9" t="str">
        <f>IF(Table1_1[[#This Row],[Purchased Bike]]="yes","1","0")</f>
        <v>0</v>
      </c>
      <c r="P198" s="4" t="str">
        <f>IF(Table1_1[[#This Row],[Income]]&lt;=30000,"Low ",IF(Table1_1[[#This Row],[Income]]&lt;=70000,"Middle","High"))</f>
        <v>Middle</v>
      </c>
      <c r="Q198" s="6" t="str">
        <f>IF(Table1_1[[#This Row],[Age]]&lt;30,"Young",IF(Table1_1[[#This Row],[Age]]&lt;50,"Middle aged","Senior citizen"))</f>
        <v>Middle aged</v>
      </c>
      <c r="R198" s="7">
        <f>IF(Table1_1[[#This Row],[Marriedarital SingletatuSingle]]="M",Table1_1[[#This Row],[Children]]+2,Table1_1[[#This Row],[Children]]+1)</f>
        <v>1</v>
      </c>
      <c r="S198" s="4" t="str">
        <f>IF(Table1_1[[#This Row],[Cars]]=0,"No","Yes")</f>
        <v>No</v>
      </c>
      <c r="T198" s="6" t="str">
        <f>IF(AND(Table1_1[[#This Row],[Income]]&gt;50000,Table1_1[[#This Row],[Home Owner]]="Yes"),"High stability","Low stability")</f>
        <v>Low stability</v>
      </c>
      <c r="U198" s="3">
        <f>Table1_1[[#This Row],[Income]]/Table1_1[[#This Row],[Family size]]</f>
        <v>50000</v>
      </c>
      <c r="V198" s="6" t="str">
        <f>IF(Table1_1[[#This Row],[Occupation]]="Skilled manual","Blue collar",IF(Table1_1[[#This Row],[Occupation]]="Manual","Blue collar","White collar"))</f>
        <v>Blue collar</v>
      </c>
    </row>
    <row r="199" spans="1:22" x14ac:dyDescent="0.3">
      <c r="A199" t="s">
        <v>233</v>
      </c>
      <c r="B199" s="6" t="s">
        <v>1042</v>
      </c>
      <c r="C199" s="6" t="s">
        <v>1046</v>
      </c>
      <c r="D199" s="3">
        <v>60000</v>
      </c>
      <c r="E199">
        <v>2</v>
      </c>
      <c r="F199" s="6" t="s">
        <v>31</v>
      </c>
      <c r="G199" s="6" t="s">
        <v>28</v>
      </c>
      <c r="H199" s="6" t="s">
        <v>15</v>
      </c>
      <c r="I199">
        <v>1</v>
      </c>
      <c r="J199" t="s">
        <v>16</v>
      </c>
      <c r="K1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199" s="6" t="s">
        <v>24</v>
      </c>
      <c r="M199" s="7">
        <v>67</v>
      </c>
      <c r="N199" t="s">
        <v>15</v>
      </c>
      <c r="O199" s="9" t="str">
        <f>IF(Table1_1[[#This Row],[Purchased Bike]]="yes","1","0")</f>
        <v>1</v>
      </c>
      <c r="P199" s="4" t="str">
        <f>IF(Table1_1[[#This Row],[Income]]&lt;=30000,"Low ",IF(Table1_1[[#This Row],[Income]]&lt;=70000,"Middle","High"))</f>
        <v>Middle</v>
      </c>
      <c r="Q199" s="6" t="str">
        <f>IF(Table1_1[[#This Row],[Age]]&lt;30,"Young",IF(Table1_1[[#This Row],[Age]]&lt;50,"Middle aged","Senior citizen"))</f>
        <v>Senior citizen</v>
      </c>
      <c r="R199" s="7">
        <f>IF(Table1_1[[#This Row],[Marriedarital SingletatuSingle]]="M",Table1_1[[#This Row],[Children]]+2,Table1_1[[#This Row],[Children]]+1)</f>
        <v>3</v>
      </c>
      <c r="S199" s="4" t="str">
        <f>IF(Table1_1[[#This Row],[Cars]]=0,"No","Yes")</f>
        <v>Yes</v>
      </c>
      <c r="T199" s="6" t="str">
        <f>IF(AND(Table1_1[[#This Row],[Income]]&gt;50000,Table1_1[[#This Row],[Home Owner]]="Yes"),"High stability","Low stability")</f>
        <v>High stability</v>
      </c>
      <c r="U199" s="3">
        <f>Table1_1[[#This Row],[Income]]/Table1_1[[#This Row],[Family size]]</f>
        <v>20000</v>
      </c>
      <c r="V199" s="6" t="str">
        <f>IF(Table1_1[[#This Row],[Occupation]]="Skilled manual","Blue collar",IF(Table1_1[[#This Row],[Occupation]]="Manual","Blue collar","White collar"))</f>
        <v>White collar</v>
      </c>
    </row>
    <row r="200" spans="1:22" x14ac:dyDescent="0.3">
      <c r="A200" t="s">
        <v>234</v>
      </c>
      <c r="B200" s="6" t="s">
        <v>1044</v>
      </c>
      <c r="C200" s="6" t="s">
        <v>1045</v>
      </c>
      <c r="D200" s="3">
        <v>100000</v>
      </c>
      <c r="E200">
        <v>0</v>
      </c>
      <c r="F200" s="6" t="s">
        <v>31</v>
      </c>
      <c r="G200" s="6" t="s">
        <v>28</v>
      </c>
      <c r="H200" s="6" t="s">
        <v>18</v>
      </c>
      <c r="I200">
        <v>1</v>
      </c>
      <c r="J200" t="s">
        <v>26</v>
      </c>
      <c r="K2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00" s="6" t="s">
        <v>24</v>
      </c>
      <c r="M200" s="7">
        <v>39</v>
      </c>
      <c r="N200" t="s">
        <v>15</v>
      </c>
      <c r="O200" s="9" t="str">
        <f>IF(Table1_1[[#This Row],[Purchased Bike]]="yes","1","0")</f>
        <v>1</v>
      </c>
      <c r="P200" s="4" t="str">
        <f>IF(Table1_1[[#This Row],[Income]]&lt;=30000,"Low ",IF(Table1_1[[#This Row],[Income]]&lt;=70000,"Middle","High"))</f>
        <v>High</v>
      </c>
      <c r="Q200" s="6" t="str">
        <f>IF(Table1_1[[#This Row],[Age]]&lt;30,"Young",IF(Table1_1[[#This Row],[Age]]&lt;50,"Middle aged","Senior citizen"))</f>
        <v>Middle aged</v>
      </c>
      <c r="R200" s="7">
        <f>IF(Table1_1[[#This Row],[Marriedarital SingletatuSingle]]="M",Table1_1[[#This Row],[Children]]+2,Table1_1[[#This Row],[Children]]+1)</f>
        <v>1</v>
      </c>
      <c r="S200" s="4" t="str">
        <f>IF(Table1_1[[#This Row],[Cars]]=0,"No","Yes")</f>
        <v>Yes</v>
      </c>
      <c r="T200" s="6" t="str">
        <f>IF(AND(Table1_1[[#This Row],[Income]]&gt;50000,Table1_1[[#This Row],[Home Owner]]="Yes"),"High stability","Low stability")</f>
        <v>Low stability</v>
      </c>
      <c r="U200" s="3">
        <f>Table1_1[[#This Row],[Income]]/Table1_1[[#This Row],[Family size]]</f>
        <v>100000</v>
      </c>
      <c r="V200" s="6" t="str">
        <f>IF(Table1_1[[#This Row],[Occupation]]="Skilled manual","Blue collar",IF(Table1_1[[#This Row],[Occupation]]="Manual","Blue collar","White collar"))</f>
        <v>White collar</v>
      </c>
    </row>
    <row r="201" spans="1:22" x14ac:dyDescent="0.3">
      <c r="A201" t="s">
        <v>235</v>
      </c>
      <c r="B201" s="6" t="s">
        <v>1044</v>
      </c>
      <c r="C201" s="6" t="s">
        <v>1046</v>
      </c>
      <c r="D201" s="3">
        <v>80000</v>
      </c>
      <c r="E201">
        <v>0</v>
      </c>
      <c r="F201" s="6" t="s">
        <v>13</v>
      </c>
      <c r="G201" s="6" t="s">
        <v>21</v>
      </c>
      <c r="H201" s="6" t="s">
        <v>18</v>
      </c>
      <c r="I201">
        <v>3</v>
      </c>
      <c r="J201" t="s">
        <v>30</v>
      </c>
      <c r="K2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01" s="6" t="s">
        <v>24</v>
      </c>
      <c r="M201" s="7">
        <v>33</v>
      </c>
      <c r="N201" t="s">
        <v>15</v>
      </c>
      <c r="O201" s="9" t="str">
        <f>IF(Table1_1[[#This Row],[Purchased Bike]]="yes","1","0")</f>
        <v>1</v>
      </c>
      <c r="P201" s="4" t="str">
        <f>IF(Table1_1[[#This Row],[Income]]&lt;=30000,"Low ",IF(Table1_1[[#This Row],[Income]]&lt;=70000,"Middle","High"))</f>
        <v>High</v>
      </c>
      <c r="Q201" s="6" t="str">
        <f>IF(Table1_1[[#This Row],[Age]]&lt;30,"Young",IF(Table1_1[[#This Row],[Age]]&lt;50,"Middle aged","Senior citizen"))</f>
        <v>Middle aged</v>
      </c>
      <c r="R201" s="7">
        <f>IF(Table1_1[[#This Row],[Marriedarital SingletatuSingle]]="M",Table1_1[[#This Row],[Children]]+2,Table1_1[[#This Row],[Children]]+1)</f>
        <v>1</v>
      </c>
      <c r="S201" s="4" t="str">
        <f>IF(Table1_1[[#This Row],[Cars]]=0,"No","Yes")</f>
        <v>Yes</v>
      </c>
      <c r="T201" s="6" t="str">
        <f>IF(AND(Table1_1[[#This Row],[Income]]&gt;50000,Table1_1[[#This Row],[Home Owner]]="Yes"),"High stability","Low stability")</f>
        <v>Low stability</v>
      </c>
      <c r="U201" s="3">
        <f>Table1_1[[#This Row],[Income]]/Table1_1[[#This Row],[Family size]]</f>
        <v>80000</v>
      </c>
      <c r="V201" s="6" t="str">
        <f>IF(Table1_1[[#This Row],[Occupation]]="Skilled manual","Blue collar",IF(Table1_1[[#This Row],[Occupation]]="Manual","Blue collar","White collar"))</f>
        <v>White collar</v>
      </c>
    </row>
    <row r="202" spans="1:22" x14ac:dyDescent="0.3">
      <c r="A202" t="s">
        <v>236</v>
      </c>
      <c r="B202" s="6" t="s">
        <v>1044</v>
      </c>
      <c r="C202" s="6" t="s">
        <v>1046</v>
      </c>
      <c r="D202" s="3">
        <v>60000</v>
      </c>
      <c r="E202">
        <v>0</v>
      </c>
      <c r="F202" s="6" t="s">
        <v>13</v>
      </c>
      <c r="G202" s="6" t="s">
        <v>21</v>
      </c>
      <c r="H202" s="6" t="s">
        <v>18</v>
      </c>
      <c r="I202">
        <v>3</v>
      </c>
      <c r="J202" t="s">
        <v>22</v>
      </c>
      <c r="K20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02" s="6" t="s">
        <v>24</v>
      </c>
      <c r="M202" s="7">
        <v>31</v>
      </c>
      <c r="N202" t="s">
        <v>18</v>
      </c>
      <c r="O202" s="9" t="str">
        <f>IF(Table1_1[[#This Row],[Purchased Bike]]="yes","1","0")</f>
        <v>0</v>
      </c>
      <c r="P202" s="4" t="str">
        <f>IF(Table1_1[[#This Row],[Income]]&lt;=30000,"Low ",IF(Table1_1[[#This Row],[Income]]&lt;=70000,"Middle","High"))</f>
        <v>Middle</v>
      </c>
      <c r="Q202" s="6" t="str">
        <f>IF(Table1_1[[#This Row],[Age]]&lt;30,"Young",IF(Table1_1[[#This Row],[Age]]&lt;50,"Middle aged","Senior citizen"))</f>
        <v>Middle aged</v>
      </c>
      <c r="R202" s="7">
        <f>IF(Table1_1[[#This Row],[Marriedarital SingletatuSingle]]="M",Table1_1[[#This Row],[Children]]+2,Table1_1[[#This Row],[Children]]+1)</f>
        <v>1</v>
      </c>
      <c r="S202" s="4" t="str">
        <f>IF(Table1_1[[#This Row],[Cars]]=0,"No","Yes")</f>
        <v>Yes</v>
      </c>
      <c r="T202" s="6" t="str">
        <f>IF(AND(Table1_1[[#This Row],[Income]]&gt;50000,Table1_1[[#This Row],[Home Owner]]="Yes"),"High stability","Low stability")</f>
        <v>Low stability</v>
      </c>
      <c r="U202" s="3">
        <f>Table1_1[[#This Row],[Income]]/Table1_1[[#This Row],[Family size]]</f>
        <v>60000</v>
      </c>
      <c r="V202" s="6" t="str">
        <f>IF(Table1_1[[#This Row],[Occupation]]="Skilled manual","Blue collar",IF(Table1_1[[#This Row],[Occupation]]="Manual","Blue collar","White collar"))</f>
        <v>White collar</v>
      </c>
    </row>
    <row r="203" spans="1:22" x14ac:dyDescent="0.3">
      <c r="A203" t="s">
        <v>237</v>
      </c>
      <c r="B203" s="6" t="s">
        <v>1042</v>
      </c>
      <c r="C203" s="6" t="s">
        <v>1046</v>
      </c>
      <c r="D203" s="3">
        <v>10000</v>
      </c>
      <c r="E203">
        <v>1</v>
      </c>
      <c r="F203" s="6" t="s">
        <v>27</v>
      </c>
      <c r="G203" s="6" t="s">
        <v>25</v>
      </c>
      <c r="H203" s="6" t="s">
        <v>15</v>
      </c>
      <c r="I203">
        <v>0</v>
      </c>
      <c r="J203" t="s">
        <v>22</v>
      </c>
      <c r="K20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03" s="6" t="s">
        <v>24</v>
      </c>
      <c r="M203" s="7">
        <v>27</v>
      </c>
      <c r="N203" t="s">
        <v>15</v>
      </c>
      <c r="O203" s="9" t="str">
        <f>IF(Table1_1[[#This Row],[Purchased Bike]]="yes","1","0")</f>
        <v>1</v>
      </c>
      <c r="P203" s="4" t="str">
        <f>IF(Table1_1[[#This Row],[Income]]&lt;=30000,"Low ",IF(Table1_1[[#This Row],[Income]]&lt;=70000,"Middle","High"))</f>
        <v xml:space="preserve">Low </v>
      </c>
      <c r="Q203" s="6" t="str">
        <f>IF(Table1_1[[#This Row],[Age]]&lt;30,"Young",IF(Table1_1[[#This Row],[Age]]&lt;50,"Middle aged","Senior citizen"))</f>
        <v>Young</v>
      </c>
      <c r="R203" s="7">
        <f>IF(Table1_1[[#This Row],[Marriedarital SingletatuSingle]]="M",Table1_1[[#This Row],[Children]]+2,Table1_1[[#This Row],[Children]]+1)</f>
        <v>2</v>
      </c>
      <c r="S203" s="4" t="str">
        <f>IF(Table1_1[[#This Row],[Cars]]=0,"No","Yes")</f>
        <v>No</v>
      </c>
      <c r="T203" s="6" t="str">
        <f>IF(AND(Table1_1[[#This Row],[Income]]&gt;50000,Table1_1[[#This Row],[Home Owner]]="Yes"),"High stability","Low stability")</f>
        <v>Low stability</v>
      </c>
      <c r="U203" s="3">
        <f>Table1_1[[#This Row],[Income]]/Table1_1[[#This Row],[Family size]]</f>
        <v>5000</v>
      </c>
      <c r="V203" s="6" t="str">
        <f>IF(Table1_1[[#This Row],[Occupation]]="Skilled manual","Blue collar",IF(Table1_1[[#This Row],[Occupation]]="Manual","Blue collar","White collar"))</f>
        <v>Blue collar</v>
      </c>
    </row>
    <row r="204" spans="1:22" x14ac:dyDescent="0.3">
      <c r="A204" t="s">
        <v>238</v>
      </c>
      <c r="B204" s="6" t="s">
        <v>1044</v>
      </c>
      <c r="C204" s="6" t="s">
        <v>1046</v>
      </c>
      <c r="D204" s="3">
        <v>40000</v>
      </c>
      <c r="E204">
        <v>2</v>
      </c>
      <c r="F204" s="6" t="s">
        <v>19</v>
      </c>
      <c r="G204" s="6" t="s">
        <v>20</v>
      </c>
      <c r="H204" s="6" t="s">
        <v>15</v>
      </c>
      <c r="I204">
        <v>0</v>
      </c>
      <c r="J204" t="s">
        <v>26</v>
      </c>
      <c r="K20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04" s="6" t="s">
        <v>17</v>
      </c>
      <c r="M204" s="7">
        <v>33</v>
      </c>
      <c r="N204" t="s">
        <v>15</v>
      </c>
      <c r="O204" s="9" t="str">
        <f>IF(Table1_1[[#This Row],[Purchased Bike]]="yes","1","0")</f>
        <v>1</v>
      </c>
      <c r="P204" s="4" t="str">
        <f>IF(Table1_1[[#This Row],[Income]]&lt;=30000,"Low ",IF(Table1_1[[#This Row],[Income]]&lt;=70000,"Middle","High"))</f>
        <v>Middle</v>
      </c>
      <c r="Q204" s="6" t="str">
        <f>IF(Table1_1[[#This Row],[Age]]&lt;30,"Young",IF(Table1_1[[#This Row],[Age]]&lt;50,"Middle aged","Senior citizen"))</f>
        <v>Middle aged</v>
      </c>
      <c r="R204" s="7">
        <f>IF(Table1_1[[#This Row],[Marriedarital SingletatuSingle]]="M",Table1_1[[#This Row],[Children]]+2,Table1_1[[#This Row],[Children]]+1)</f>
        <v>3</v>
      </c>
      <c r="S204" s="4" t="str">
        <f>IF(Table1_1[[#This Row],[Cars]]=0,"No","Yes")</f>
        <v>No</v>
      </c>
      <c r="T204" s="6" t="str">
        <f>IF(AND(Table1_1[[#This Row],[Income]]&gt;50000,Table1_1[[#This Row],[Home Owner]]="Yes"),"High stability","Low stability")</f>
        <v>Low stability</v>
      </c>
      <c r="U204" s="3">
        <f>Table1_1[[#This Row],[Income]]/Table1_1[[#This Row],[Family size]]</f>
        <v>13333.333333333334</v>
      </c>
      <c r="V204" s="6" t="str">
        <f>IF(Table1_1[[#This Row],[Occupation]]="Skilled manual","Blue collar",IF(Table1_1[[#This Row],[Occupation]]="Manual","Blue collar","White collar"))</f>
        <v>White collar</v>
      </c>
    </row>
    <row r="205" spans="1:22" x14ac:dyDescent="0.3">
      <c r="A205" t="s">
        <v>239</v>
      </c>
      <c r="B205" s="6" t="s">
        <v>1044</v>
      </c>
      <c r="C205" s="6" t="s">
        <v>1045</v>
      </c>
      <c r="D205" s="3">
        <v>60000</v>
      </c>
      <c r="E205">
        <v>1</v>
      </c>
      <c r="F205" s="6" t="s">
        <v>19</v>
      </c>
      <c r="G205" s="6" t="s">
        <v>14</v>
      </c>
      <c r="H205" s="6" t="s">
        <v>15</v>
      </c>
      <c r="I205">
        <v>1</v>
      </c>
      <c r="J205" t="s">
        <v>23</v>
      </c>
      <c r="K20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05" s="6" t="s">
        <v>24</v>
      </c>
      <c r="M205" s="7">
        <v>46</v>
      </c>
      <c r="N205" t="s">
        <v>15</v>
      </c>
      <c r="O205" s="9" t="str">
        <f>IF(Table1_1[[#This Row],[Purchased Bike]]="yes","1","0")</f>
        <v>1</v>
      </c>
      <c r="P205" s="4" t="str">
        <f>IF(Table1_1[[#This Row],[Income]]&lt;=30000,"Low ",IF(Table1_1[[#This Row],[Income]]&lt;=70000,"Middle","High"))</f>
        <v>Middle</v>
      </c>
      <c r="Q205" s="6" t="str">
        <f>IF(Table1_1[[#This Row],[Age]]&lt;30,"Young",IF(Table1_1[[#This Row],[Age]]&lt;50,"Middle aged","Senior citizen"))</f>
        <v>Middle aged</v>
      </c>
      <c r="R205" s="7">
        <f>IF(Table1_1[[#This Row],[Marriedarital SingletatuSingle]]="M",Table1_1[[#This Row],[Children]]+2,Table1_1[[#This Row],[Children]]+1)</f>
        <v>2</v>
      </c>
      <c r="S205" s="4" t="str">
        <f>IF(Table1_1[[#This Row],[Cars]]=0,"No","Yes")</f>
        <v>Yes</v>
      </c>
      <c r="T205" s="6" t="str">
        <f>IF(AND(Table1_1[[#This Row],[Income]]&gt;50000,Table1_1[[#This Row],[Home Owner]]="Yes"),"High stability","Low stability")</f>
        <v>High stability</v>
      </c>
      <c r="U205" s="3">
        <f>Table1_1[[#This Row],[Income]]/Table1_1[[#This Row],[Family size]]</f>
        <v>30000</v>
      </c>
      <c r="V205" s="6" t="str">
        <f>IF(Table1_1[[#This Row],[Occupation]]="Skilled manual","Blue collar",IF(Table1_1[[#This Row],[Occupation]]="Manual","Blue collar","White collar"))</f>
        <v>Blue collar</v>
      </c>
    </row>
    <row r="206" spans="1:22" x14ac:dyDescent="0.3">
      <c r="A206" t="s">
        <v>240</v>
      </c>
      <c r="B206" s="6" t="s">
        <v>1044</v>
      </c>
      <c r="C206" s="6" t="s">
        <v>1045</v>
      </c>
      <c r="D206" s="3">
        <v>90000</v>
      </c>
      <c r="E206">
        <v>3</v>
      </c>
      <c r="F206" s="6" t="s">
        <v>27</v>
      </c>
      <c r="G206" s="6" t="s">
        <v>21</v>
      </c>
      <c r="H206" s="6" t="s">
        <v>18</v>
      </c>
      <c r="I206">
        <v>1</v>
      </c>
      <c r="J206" t="s">
        <v>22</v>
      </c>
      <c r="K20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06" s="6" t="s">
        <v>17</v>
      </c>
      <c r="M206" s="7">
        <v>51</v>
      </c>
      <c r="N206" t="s">
        <v>18</v>
      </c>
      <c r="O206" s="9" t="str">
        <f>IF(Table1_1[[#This Row],[Purchased Bike]]="yes","1","0")</f>
        <v>0</v>
      </c>
      <c r="P206" s="4" t="str">
        <f>IF(Table1_1[[#This Row],[Income]]&lt;=30000,"Low ",IF(Table1_1[[#This Row],[Income]]&lt;=70000,"Middle","High"))</f>
        <v>High</v>
      </c>
      <c r="Q206" s="6" t="str">
        <f>IF(Table1_1[[#This Row],[Age]]&lt;30,"Young",IF(Table1_1[[#This Row],[Age]]&lt;50,"Middle aged","Senior citizen"))</f>
        <v>Senior citizen</v>
      </c>
      <c r="R206" s="7">
        <f>IF(Table1_1[[#This Row],[Marriedarital SingletatuSingle]]="M",Table1_1[[#This Row],[Children]]+2,Table1_1[[#This Row],[Children]]+1)</f>
        <v>4</v>
      </c>
      <c r="S206" s="4" t="str">
        <f>IF(Table1_1[[#This Row],[Cars]]=0,"No","Yes")</f>
        <v>Yes</v>
      </c>
      <c r="T206" s="6" t="str">
        <f>IF(AND(Table1_1[[#This Row],[Income]]&gt;50000,Table1_1[[#This Row],[Home Owner]]="Yes"),"High stability","Low stability")</f>
        <v>Low stability</v>
      </c>
      <c r="U206" s="3">
        <f>Table1_1[[#This Row],[Income]]/Table1_1[[#This Row],[Family size]]</f>
        <v>22500</v>
      </c>
      <c r="V206" s="6" t="str">
        <f>IF(Table1_1[[#This Row],[Occupation]]="Skilled manual","Blue collar",IF(Table1_1[[#This Row],[Occupation]]="Manual","Blue collar","White collar"))</f>
        <v>White collar</v>
      </c>
    </row>
    <row r="207" spans="1:22" x14ac:dyDescent="0.3">
      <c r="A207" t="s">
        <v>241</v>
      </c>
      <c r="B207" s="6" t="s">
        <v>1042</v>
      </c>
      <c r="C207" s="6" t="s">
        <v>1046</v>
      </c>
      <c r="D207" s="3">
        <v>30000</v>
      </c>
      <c r="E207">
        <v>3</v>
      </c>
      <c r="F207" s="6" t="s">
        <v>31</v>
      </c>
      <c r="G207" s="6" t="s">
        <v>20</v>
      </c>
      <c r="H207" s="6" t="s">
        <v>15</v>
      </c>
      <c r="I207">
        <v>0</v>
      </c>
      <c r="J207" t="s">
        <v>16</v>
      </c>
      <c r="K20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07" s="6" t="s">
        <v>17</v>
      </c>
      <c r="M207" s="7">
        <v>46</v>
      </c>
      <c r="N207" t="s">
        <v>15</v>
      </c>
      <c r="O207" s="9" t="str">
        <f>IF(Table1_1[[#This Row],[Purchased Bike]]="yes","1","0")</f>
        <v>1</v>
      </c>
      <c r="P207" s="4" t="str">
        <f>IF(Table1_1[[#This Row],[Income]]&lt;=30000,"Low ",IF(Table1_1[[#This Row],[Income]]&lt;=70000,"Middle","High"))</f>
        <v xml:space="preserve">Low </v>
      </c>
      <c r="Q207" s="6" t="str">
        <f>IF(Table1_1[[#This Row],[Age]]&lt;30,"Young",IF(Table1_1[[#This Row],[Age]]&lt;50,"Middle aged","Senior citizen"))</f>
        <v>Middle aged</v>
      </c>
      <c r="R207" s="7">
        <f>IF(Table1_1[[#This Row],[Marriedarital SingletatuSingle]]="M",Table1_1[[#This Row],[Children]]+2,Table1_1[[#This Row],[Children]]+1)</f>
        <v>4</v>
      </c>
      <c r="S207" s="4" t="str">
        <f>IF(Table1_1[[#This Row],[Cars]]=0,"No","Yes")</f>
        <v>No</v>
      </c>
      <c r="T207" s="6" t="str">
        <f>IF(AND(Table1_1[[#This Row],[Income]]&gt;50000,Table1_1[[#This Row],[Home Owner]]="Yes"),"High stability","Low stability")</f>
        <v>Low stability</v>
      </c>
      <c r="U207" s="3">
        <f>Table1_1[[#This Row],[Income]]/Table1_1[[#This Row],[Family size]]</f>
        <v>7500</v>
      </c>
      <c r="V207" s="6" t="str">
        <f>IF(Table1_1[[#This Row],[Occupation]]="Skilled manual","Blue collar",IF(Table1_1[[#This Row],[Occupation]]="Manual","Blue collar","White collar"))</f>
        <v>White collar</v>
      </c>
    </row>
    <row r="208" spans="1:22" x14ac:dyDescent="0.3">
      <c r="A208" t="s">
        <v>242</v>
      </c>
      <c r="B208" s="6" t="s">
        <v>1044</v>
      </c>
      <c r="C208" s="6" t="s">
        <v>1046</v>
      </c>
      <c r="D208" s="3">
        <v>90000</v>
      </c>
      <c r="E208">
        <v>5</v>
      </c>
      <c r="F208" s="6" t="s">
        <v>19</v>
      </c>
      <c r="G208" s="6" t="s">
        <v>21</v>
      </c>
      <c r="H208" s="6" t="s">
        <v>18</v>
      </c>
      <c r="I208">
        <v>2</v>
      </c>
      <c r="J208" t="s">
        <v>30</v>
      </c>
      <c r="K20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08" s="6" t="s">
        <v>17</v>
      </c>
      <c r="M208" s="7">
        <v>62</v>
      </c>
      <c r="N208" t="s">
        <v>18</v>
      </c>
      <c r="O208" s="9" t="str">
        <f>IF(Table1_1[[#This Row],[Purchased Bike]]="yes","1","0")</f>
        <v>0</v>
      </c>
      <c r="P208" s="4" t="str">
        <f>IF(Table1_1[[#This Row],[Income]]&lt;=30000,"Low ",IF(Table1_1[[#This Row],[Income]]&lt;=70000,"Middle","High"))</f>
        <v>High</v>
      </c>
      <c r="Q208" s="6" t="str">
        <f>IF(Table1_1[[#This Row],[Age]]&lt;30,"Young",IF(Table1_1[[#This Row],[Age]]&lt;50,"Middle aged","Senior citizen"))</f>
        <v>Senior citizen</v>
      </c>
      <c r="R208" s="7">
        <f>IF(Table1_1[[#This Row],[Marriedarital SingletatuSingle]]="M",Table1_1[[#This Row],[Children]]+2,Table1_1[[#This Row],[Children]]+1)</f>
        <v>6</v>
      </c>
      <c r="S208" s="4" t="str">
        <f>IF(Table1_1[[#This Row],[Cars]]=0,"No","Yes")</f>
        <v>Yes</v>
      </c>
      <c r="T208" s="6" t="str">
        <f>IF(AND(Table1_1[[#This Row],[Income]]&gt;50000,Table1_1[[#This Row],[Home Owner]]="Yes"),"High stability","Low stability")</f>
        <v>Low stability</v>
      </c>
      <c r="U208" s="3">
        <f>Table1_1[[#This Row],[Income]]/Table1_1[[#This Row],[Family size]]</f>
        <v>15000</v>
      </c>
      <c r="V208" s="6" t="str">
        <f>IF(Table1_1[[#This Row],[Occupation]]="Skilled manual","Blue collar",IF(Table1_1[[#This Row],[Occupation]]="Manual","Blue collar","White collar"))</f>
        <v>White collar</v>
      </c>
    </row>
    <row r="209" spans="1:22" x14ac:dyDescent="0.3">
      <c r="A209" t="s">
        <v>243</v>
      </c>
      <c r="B209" s="6" t="s">
        <v>1044</v>
      </c>
      <c r="C209" s="6" t="s">
        <v>1045</v>
      </c>
      <c r="D209" s="3">
        <v>20000</v>
      </c>
      <c r="E209">
        <v>0</v>
      </c>
      <c r="F209" s="6" t="s">
        <v>29</v>
      </c>
      <c r="G209" s="6" t="s">
        <v>25</v>
      </c>
      <c r="H209" s="6" t="s">
        <v>15</v>
      </c>
      <c r="I209">
        <v>2</v>
      </c>
      <c r="J209" t="s">
        <v>26</v>
      </c>
      <c r="K20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09" s="6" t="s">
        <v>17</v>
      </c>
      <c r="M209" s="7">
        <v>26</v>
      </c>
      <c r="N209" t="s">
        <v>15</v>
      </c>
      <c r="O209" s="9" t="str">
        <f>IF(Table1_1[[#This Row],[Purchased Bike]]="yes","1","0")</f>
        <v>1</v>
      </c>
      <c r="P209" s="4" t="str">
        <f>IF(Table1_1[[#This Row],[Income]]&lt;=30000,"Low ",IF(Table1_1[[#This Row],[Income]]&lt;=70000,"Middle","High"))</f>
        <v xml:space="preserve">Low </v>
      </c>
      <c r="Q209" s="6" t="str">
        <f>IF(Table1_1[[#This Row],[Age]]&lt;30,"Young",IF(Table1_1[[#This Row],[Age]]&lt;50,"Middle aged","Senior citizen"))</f>
        <v>Young</v>
      </c>
      <c r="R209" s="7">
        <f>IF(Table1_1[[#This Row],[Marriedarital SingletatuSingle]]="M",Table1_1[[#This Row],[Children]]+2,Table1_1[[#This Row],[Children]]+1)</f>
        <v>1</v>
      </c>
      <c r="S209" s="4" t="str">
        <f>IF(Table1_1[[#This Row],[Cars]]=0,"No","Yes")</f>
        <v>Yes</v>
      </c>
      <c r="T209" s="6" t="str">
        <f>IF(AND(Table1_1[[#This Row],[Income]]&gt;50000,Table1_1[[#This Row],[Home Owner]]="Yes"),"High stability","Low stability")</f>
        <v>Low stability</v>
      </c>
      <c r="U209" s="3">
        <f>Table1_1[[#This Row],[Income]]/Table1_1[[#This Row],[Family size]]</f>
        <v>20000</v>
      </c>
      <c r="V209" s="6" t="str">
        <f>IF(Table1_1[[#This Row],[Occupation]]="Skilled manual","Blue collar",IF(Table1_1[[#This Row],[Occupation]]="Manual","Blue collar","White collar"))</f>
        <v>Blue collar</v>
      </c>
    </row>
    <row r="210" spans="1:22" x14ac:dyDescent="0.3">
      <c r="A210" t="s">
        <v>244</v>
      </c>
      <c r="B210" s="6" t="s">
        <v>1044</v>
      </c>
      <c r="C210" s="6" t="s">
        <v>1045</v>
      </c>
      <c r="D210" s="3">
        <v>40000</v>
      </c>
      <c r="E210">
        <v>0</v>
      </c>
      <c r="F210" s="6" t="s">
        <v>31</v>
      </c>
      <c r="G210" s="6" t="s">
        <v>20</v>
      </c>
      <c r="H210" s="6" t="s">
        <v>15</v>
      </c>
      <c r="I210">
        <v>0</v>
      </c>
      <c r="J210" t="s">
        <v>16</v>
      </c>
      <c r="K2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10" s="6" t="s">
        <v>17</v>
      </c>
      <c r="M210" s="7">
        <v>37</v>
      </c>
      <c r="N210" t="s">
        <v>15</v>
      </c>
      <c r="O210" s="9" t="str">
        <f>IF(Table1_1[[#This Row],[Purchased Bike]]="yes","1","0")</f>
        <v>1</v>
      </c>
      <c r="P210" s="4" t="str">
        <f>IF(Table1_1[[#This Row],[Income]]&lt;=30000,"Low ",IF(Table1_1[[#This Row],[Income]]&lt;=70000,"Middle","High"))</f>
        <v>Middle</v>
      </c>
      <c r="Q210" s="6" t="str">
        <f>IF(Table1_1[[#This Row],[Age]]&lt;30,"Young",IF(Table1_1[[#This Row],[Age]]&lt;50,"Middle aged","Senior citizen"))</f>
        <v>Middle aged</v>
      </c>
      <c r="R210" s="7">
        <f>IF(Table1_1[[#This Row],[Marriedarital SingletatuSingle]]="M",Table1_1[[#This Row],[Children]]+2,Table1_1[[#This Row],[Children]]+1)</f>
        <v>1</v>
      </c>
      <c r="S210" s="4" t="str">
        <f>IF(Table1_1[[#This Row],[Cars]]=0,"No","Yes")</f>
        <v>No</v>
      </c>
      <c r="T210" s="6" t="str">
        <f>IF(AND(Table1_1[[#This Row],[Income]]&gt;50000,Table1_1[[#This Row],[Home Owner]]="Yes"),"High stability","Low stability")</f>
        <v>Low stability</v>
      </c>
      <c r="U210" s="3">
        <f>Table1_1[[#This Row],[Income]]/Table1_1[[#This Row],[Family size]]</f>
        <v>40000</v>
      </c>
      <c r="V210" s="6" t="str">
        <f>IF(Table1_1[[#This Row],[Occupation]]="Skilled manual","Blue collar",IF(Table1_1[[#This Row],[Occupation]]="Manual","Blue collar","White collar"))</f>
        <v>White collar</v>
      </c>
    </row>
    <row r="211" spans="1:22" x14ac:dyDescent="0.3">
      <c r="A211" t="s">
        <v>245</v>
      </c>
      <c r="B211" s="6" t="s">
        <v>1044</v>
      </c>
      <c r="C211" s="6" t="s">
        <v>1045</v>
      </c>
      <c r="D211" s="3">
        <v>30000</v>
      </c>
      <c r="E211">
        <v>3</v>
      </c>
      <c r="F211" s="6" t="s">
        <v>19</v>
      </c>
      <c r="G211" s="6" t="s">
        <v>20</v>
      </c>
      <c r="H211" s="6" t="s">
        <v>15</v>
      </c>
      <c r="I211">
        <v>0</v>
      </c>
      <c r="J211" t="s">
        <v>16</v>
      </c>
      <c r="K2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11" s="6" t="s">
        <v>17</v>
      </c>
      <c r="M211" s="7">
        <v>42</v>
      </c>
      <c r="N211" t="s">
        <v>15</v>
      </c>
      <c r="O211" s="9" t="str">
        <f>IF(Table1_1[[#This Row],[Purchased Bike]]="yes","1","0")</f>
        <v>1</v>
      </c>
      <c r="P211" s="4" t="str">
        <f>IF(Table1_1[[#This Row],[Income]]&lt;=30000,"Low ",IF(Table1_1[[#This Row],[Income]]&lt;=70000,"Middle","High"))</f>
        <v xml:space="preserve">Low </v>
      </c>
      <c r="Q211" s="6" t="str">
        <f>IF(Table1_1[[#This Row],[Age]]&lt;30,"Young",IF(Table1_1[[#This Row],[Age]]&lt;50,"Middle aged","Senior citizen"))</f>
        <v>Middle aged</v>
      </c>
      <c r="R211" s="7">
        <f>IF(Table1_1[[#This Row],[Marriedarital SingletatuSingle]]="M",Table1_1[[#This Row],[Children]]+2,Table1_1[[#This Row],[Children]]+1)</f>
        <v>4</v>
      </c>
      <c r="S211" s="4" t="str">
        <f>IF(Table1_1[[#This Row],[Cars]]=0,"No","Yes")</f>
        <v>No</v>
      </c>
      <c r="T211" s="6" t="str">
        <f>IF(AND(Table1_1[[#This Row],[Income]]&gt;50000,Table1_1[[#This Row],[Home Owner]]="Yes"),"High stability","Low stability")</f>
        <v>Low stability</v>
      </c>
      <c r="U211" s="3">
        <f>Table1_1[[#This Row],[Income]]/Table1_1[[#This Row],[Family size]]</f>
        <v>7500</v>
      </c>
      <c r="V211" s="6" t="str">
        <f>IF(Table1_1[[#This Row],[Occupation]]="Skilled manual","Blue collar",IF(Table1_1[[#This Row],[Occupation]]="Manual","Blue collar","White collar"))</f>
        <v>White collar</v>
      </c>
    </row>
    <row r="212" spans="1:22" x14ac:dyDescent="0.3">
      <c r="A212" t="s">
        <v>246</v>
      </c>
      <c r="B212" s="6" t="s">
        <v>1042</v>
      </c>
      <c r="C212" s="6" t="s">
        <v>1045</v>
      </c>
      <c r="D212" s="3">
        <v>80000</v>
      </c>
      <c r="E212">
        <v>4</v>
      </c>
      <c r="F212" s="6" t="s">
        <v>31</v>
      </c>
      <c r="G212" s="6" t="s">
        <v>28</v>
      </c>
      <c r="H212" s="6" t="s">
        <v>15</v>
      </c>
      <c r="I212">
        <v>1</v>
      </c>
      <c r="J212" t="s">
        <v>16</v>
      </c>
      <c r="K2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12" s="6" t="s">
        <v>24</v>
      </c>
      <c r="M212" s="7">
        <v>36</v>
      </c>
      <c r="N212" t="s">
        <v>18</v>
      </c>
      <c r="O212" s="9" t="str">
        <f>IF(Table1_1[[#This Row],[Purchased Bike]]="yes","1","0")</f>
        <v>0</v>
      </c>
      <c r="P212" s="4" t="str">
        <f>IF(Table1_1[[#This Row],[Income]]&lt;=30000,"Low ",IF(Table1_1[[#This Row],[Income]]&lt;=70000,"Middle","High"))</f>
        <v>High</v>
      </c>
      <c r="Q212" s="6" t="str">
        <f>IF(Table1_1[[#This Row],[Age]]&lt;30,"Young",IF(Table1_1[[#This Row],[Age]]&lt;50,"Middle aged","Senior citizen"))</f>
        <v>Middle aged</v>
      </c>
      <c r="R212" s="7">
        <f>IF(Table1_1[[#This Row],[Marriedarital SingletatuSingle]]="M",Table1_1[[#This Row],[Children]]+2,Table1_1[[#This Row],[Children]]+1)</f>
        <v>5</v>
      </c>
      <c r="S212" s="4" t="str">
        <f>IF(Table1_1[[#This Row],[Cars]]=0,"No","Yes")</f>
        <v>Yes</v>
      </c>
      <c r="T212" s="6" t="str">
        <f>IF(AND(Table1_1[[#This Row],[Income]]&gt;50000,Table1_1[[#This Row],[Home Owner]]="Yes"),"High stability","Low stability")</f>
        <v>High stability</v>
      </c>
      <c r="U212" s="3">
        <f>Table1_1[[#This Row],[Income]]/Table1_1[[#This Row],[Family size]]</f>
        <v>16000</v>
      </c>
      <c r="V212" s="6" t="str">
        <f>IF(Table1_1[[#This Row],[Occupation]]="Skilled manual","Blue collar",IF(Table1_1[[#This Row],[Occupation]]="Manual","Blue collar","White collar"))</f>
        <v>White collar</v>
      </c>
    </row>
    <row r="213" spans="1:22" x14ac:dyDescent="0.3">
      <c r="A213" t="s">
        <v>247</v>
      </c>
      <c r="B213" s="6" t="s">
        <v>1042</v>
      </c>
      <c r="C213" s="6" t="s">
        <v>1045</v>
      </c>
      <c r="D213" s="3">
        <v>50000</v>
      </c>
      <c r="E213">
        <v>0</v>
      </c>
      <c r="F213" s="6" t="s">
        <v>31</v>
      </c>
      <c r="G213" s="6" t="s">
        <v>14</v>
      </c>
      <c r="H213" s="6" t="s">
        <v>15</v>
      </c>
      <c r="I213">
        <v>0</v>
      </c>
      <c r="J213" t="s">
        <v>16</v>
      </c>
      <c r="K2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13" s="6" t="s">
        <v>17</v>
      </c>
      <c r="M213" s="7">
        <v>36</v>
      </c>
      <c r="N213" t="s">
        <v>15</v>
      </c>
      <c r="O213" s="9" t="str">
        <f>IF(Table1_1[[#This Row],[Purchased Bike]]="yes","1","0")</f>
        <v>1</v>
      </c>
      <c r="P213" s="4" t="str">
        <f>IF(Table1_1[[#This Row],[Income]]&lt;=30000,"Low ",IF(Table1_1[[#This Row],[Income]]&lt;=70000,"Middle","High"))</f>
        <v>Middle</v>
      </c>
      <c r="Q213" s="6" t="str">
        <f>IF(Table1_1[[#This Row],[Age]]&lt;30,"Young",IF(Table1_1[[#This Row],[Age]]&lt;50,"Middle aged","Senior citizen"))</f>
        <v>Middle aged</v>
      </c>
      <c r="R213" s="7">
        <f>IF(Table1_1[[#This Row],[Marriedarital SingletatuSingle]]="M",Table1_1[[#This Row],[Children]]+2,Table1_1[[#This Row],[Children]]+1)</f>
        <v>1</v>
      </c>
      <c r="S213" s="4" t="str">
        <f>IF(Table1_1[[#This Row],[Cars]]=0,"No","Yes")</f>
        <v>No</v>
      </c>
      <c r="T213" s="6" t="str">
        <f>IF(AND(Table1_1[[#This Row],[Income]]&gt;50000,Table1_1[[#This Row],[Home Owner]]="Yes"),"High stability","Low stability")</f>
        <v>Low stability</v>
      </c>
      <c r="U213" s="3">
        <f>Table1_1[[#This Row],[Income]]/Table1_1[[#This Row],[Family size]]</f>
        <v>50000</v>
      </c>
      <c r="V213" s="6" t="str">
        <f>IF(Table1_1[[#This Row],[Occupation]]="Skilled manual","Blue collar",IF(Table1_1[[#This Row],[Occupation]]="Manual","Blue collar","White collar"))</f>
        <v>Blue collar</v>
      </c>
    </row>
    <row r="214" spans="1:22" x14ac:dyDescent="0.3">
      <c r="A214" t="s">
        <v>248</v>
      </c>
      <c r="B214" s="6" t="s">
        <v>1044</v>
      </c>
      <c r="C214" s="6" t="s">
        <v>1045</v>
      </c>
      <c r="D214" s="3">
        <v>30000</v>
      </c>
      <c r="E214">
        <v>0</v>
      </c>
      <c r="F214" s="6" t="s">
        <v>19</v>
      </c>
      <c r="G214" s="6" t="s">
        <v>20</v>
      </c>
      <c r="H214" s="6" t="s">
        <v>18</v>
      </c>
      <c r="I214">
        <v>1</v>
      </c>
      <c r="J214" t="s">
        <v>22</v>
      </c>
      <c r="K2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14" s="6" t="s">
        <v>17</v>
      </c>
      <c r="M214" s="7">
        <v>30</v>
      </c>
      <c r="N214" t="s">
        <v>18</v>
      </c>
      <c r="O214" s="9" t="str">
        <f>IF(Table1_1[[#This Row],[Purchased Bike]]="yes","1","0")</f>
        <v>0</v>
      </c>
      <c r="P214" s="4" t="str">
        <f>IF(Table1_1[[#This Row],[Income]]&lt;=30000,"Low ",IF(Table1_1[[#This Row],[Income]]&lt;=70000,"Middle","High"))</f>
        <v xml:space="preserve">Low </v>
      </c>
      <c r="Q214" s="6" t="str">
        <f>IF(Table1_1[[#This Row],[Age]]&lt;30,"Young",IF(Table1_1[[#This Row],[Age]]&lt;50,"Middle aged","Senior citizen"))</f>
        <v>Middle aged</v>
      </c>
      <c r="R214" s="7">
        <f>IF(Table1_1[[#This Row],[Marriedarital SingletatuSingle]]="M",Table1_1[[#This Row],[Children]]+2,Table1_1[[#This Row],[Children]]+1)</f>
        <v>1</v>
      </c>
      <c r="S214" s="4" t="str">
        <f>IF(Table1_1[[#This Row],[Cars]]=0,"No","Yes")</f>
        <v>Yes</v>
      </c>
      <c r="T214" s="6" t="str">
        <f>IF(AND(Table1_1[[#This Row],[Income]]&gt;50000,Table1_1[[#This Row],[Home Owner]]="Yes"),"High stability","Low stability")</f>
        <v>Low stability</v>
      </c>
      <c r="U214" s="3">
        <f>Table1_1[[#This Row],[Income]]/Table1_1[[#This Row],[Family size]]</f>
        <v>30000</v>
      </c>
      <c r="V214" s="6" t="str">
        <f>IF(Table1_1[[#This Row],[Occupation]]="Skilled manual","Blue collar",IF(Table1_1[[#This Row],[Occupation]]="Manual","Blue collar","White collar"))</f>
        <v>White collar</v>
      </c>
    </row>
    <row r="215" spans="1:22" x14ac:dyDescent="0.3">
      <c r="A215" t="s">
        <v>249</v>
      </c>
      <c r="B215" s="6" t="s">
        <v>1044</v>
      </c>
      <c r="C215" s="6" t="s">
        <v>1046</v>
      </c>
      <c r="D215" s="3">
        <v>70000</v>
      </c>
      <c r="E215">
        <v>0</v>
      </c>
      <c r="F215" s="6" t="s">
        <v>13</v>
      </c>
      <c r="G215" s="6" t="s">
        <v>21</v>
      </c>
      <c r="H215" s="6" t="s">
        <v>18</v>
      </c>
      <c r="I215">
        <v>4</v>
      </c>
      <c r="J215" t="s">
        <v>30</v>
      </c>
      <c r="K2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15" s="6" t="s">
        <v>24</v>
      </c>
      <c r="M215" s="7">
        <v>31</v>
      </c>
      <c r="N215" t="s">
        <v>15</v>
      </c>
      <c r="O215" s="9" t="str">
        <f>IF(Table1_1[[#This Row],[Purchased Bike]]="yes","1","0")</f>
        <v>1</v>
      </c>
      <c r="P215" s="4" t="str">
        <f>IF(Table1_1[[#This Row],[Income]]&lt;=30000,"Low ",IF(Table1_1[[#This Row],[Income]]&lt;=70000,"Middle","High"))</f>
        <v>Middle</v>
      </c>
      <c r="Q215" s="6" t="str">
        <f>IF(Table1_1[[#This Row],[Age]]&lt;30,"Young",IF(Table1_1[[#This Row],[Age]]&lt;50,"Middle aged","Senior citizen"))</f>
        <v>Middle aged</v>
      </c>
      <c r="R215" s="7">
        <f>IF(Table1_1[[#This Row],[Marriedarital SingletatuSingle]]="M",Table1_1[[#This Row],[Children]]+2,Table1_1[[#This Row],[Children]]+1)</f>
        <v>1</v>
      </c>
      <c r="S215" s="4" t="str">
        <f>IF(Table1_1[[#This Row],[Cars]]=0,"No","Yes")</f>
        <v>Yes</v>
      </c>
      <c r="T215" s="6" t="str">
        <f>IF(AND(Table1_1[[#This Row],[Income]]&gt;50000,Table1_1[[#This Row],[Home Owner]]="Yes"),"High stability","Low stability")</f>
        <v>Low stability</v>
      </c>
      <c r="U215" s="3">
        <f>Table1_1[[#This Row],[Income]]/Table1_1[[#This Row],[Family size]]</f>
        <v>70000</v>
      </c>
      <c r="V215" s="6" t="str">
        <f>IF(Table1_1[[#This Row],[Occupation]]="Skilled manual","Blue collar",IF(Table1_1[[#This Row],[Occupation]]="Manual","Blue collar","White collar"))</f>
        <v>White collar</v>
      </c>
    </row>
    <row r="216" spans="1:22" x14ac:dyDescent="0.3">
      <c r="A216" t="s">
        <v>250</v>
      </c>
      <c r="B216" s="6" t="s">
        <v>1042</v>
      </c>
      <c r="C216" s="6" t="s">
        <v>1046</v>
      </c>
      <c r="D216" s="3">
        <v>30000</v>
      </c>
      <c r="E216">
        <v>1</v>
      </c>
      <c r="F216" s="6" t="s">
        <v>13</v>
      </c>
      <c r="G216" s="6" t="s">
        <v>20</v>
      </c>
      <c r="H216" s="6" t="s">
        <v>15</v>
      </c>
      <c r="I216">
        <v>0</v>
      </c>
      <c r="J216" t="s">
        <v>16</v>
      </c>
      <c r="K2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16" s="6" t="s">
        <v>17</v>
      </c>
      <c r="M216" s="7">
        <v>65</v>
      </c>
      <c r="N216" t="s">
        <v>15</v>
      </c>
      <c r="O216" s="9" t="str">
        <f>IF(Table1_1[[#This Row],[Purchased Bike]]="yes","1","0")</f>
        <v>1</v>
      </c>
      <c r="P216" s="4" t="str">
        <f>IF(Table1_1[[#This Row],[Income]]&lt;=30000,"Low ",IF(Table1_1[[#This Row],[Income]]&lt;=70000,"Middle","High"))</f>
        <v xml:space="preserve">Low </v>
      </c>
      <c r="Q216" s="6" t="str">
        <f>IF(Table1_1[[#This Row],[Age]]&lt;30,"Young",IF(Table1_1[[#This Row],[Age]]&lt;50,"Middle aged","Senior citizen"))</f>
        <v>Senior citizen</v>
      </c>
      <c r="R216" s="7">
        <f>IF(Table1_1[[#This Row],[Marriedarital SingletatuSingle]]="M",Table1_1[[#This Row],[Children]]+2,Table1_1[[#This Row],[Children]]+1)</f>
        <v>2</v>
      </c>
      <c r="S216" s="4" t="str">
        <f>IF(Table1_1[[#This Row],[Cars]]=0,"No","Yes")</f>
        <v>No</v>
      </c>
      <c r="T216" s="6" t="str">
        <f>IF(AND(Table1_1[[#This Row],[Income]]&gt;50000,Table1_1[[#This Row],[Home Owner]]="Yes"),"High stability","Low stability")</f>
        <v>Low stability</v>
      </c>
      <c r="U216" s="3">
        <f>Table1_1[[#This Row],[Income]]/Table1_1[[#This Row],[Family size]]</f>
        <v>15000</v>
      </c>
      <c r="V216" s="6" t="str">
        <f>IF(Table1_1[[#This Row],[Occupation]]="Skilled manual","Blue collar",IF(Table1_1[[#This Row],[Occupation]]="Manual","Blue collar","White collar"))</f>
        <v>White collar</v>
      </c>
    </row>
    <row r="217" spans="1:22" x14ac:dyDescent="0.3">
      <c r="A217" t="s">
        <v>251</v>
      </c>
      <c r="B217" s="6" t="s">
        <v>1044</v>
      </c>
      <c r="C217" s="6" t="s">
        <v>1046</v>
      </c>
      <c r="D217" s="3">
        <v>80000</v>
      </c>
      <c r="E217">
        <v>4</v>
      </c>
      <c r="F217" s="6" t="s">
        <v>19</v>
      </c>
      <c r="G217" s="6" t="s">
        <v>21</v>
      </c>
      <c r="H217" s="6" t="s">
        <v>18</v>
      </c>
      <c r="I217">
        <v>2</v>
      </c>
      <c r="J217" t="s">
        <v>22</v>
      </c>
      <c r="K2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17" s="6" t="s">
        <v>17</v>
      </c>
      <c r="M217" s="7">
        <v>54</v>
      </c>
      <c r="N217" t="s">
        <v>15</v>
      </c>
      <c r="O217" s="9" t="str">
        <f>IF(Table1_1[[#This Row],[Purchased Bike]]="yes","1","0")</f>
        <v>1</v>
      </c>
      <c r="P217" s="4" t="str">
        <f>IF(Table1_1[[#This Row],[Income]]&lt;=30000,"Low ",IF(Table1_1[[#This Row],[Income]]&lt;=70000,"Middle","High"))</f>
        <v>High</v>
      </c>
      <c r="Q217" s="6" t="str">
        <f>IF(Table1_1[[#This Row],[Age]]&lt;30,"Young",IF(Table1_1[[#This Row],[Age]]&lt;50,"Middle aged","Senior citizen"))</f>
        <v>Senior citizen</v>
      </c>
      <c r="R217" s="7">
        <f>IF(Table1_1[[#This Row],[Marriedarital SingletatuSingle]]="M",Table1_1[[#This Row],[Children]]+2,Table1_1[[#This Row],[Children]]+1)</f>
        <v>5</v>
      </c>
      <c r="S217" s="4" t="str">
        <f>IF(Table1_1[[#This Row],[Cars]]=0,"No","Yes")</f>
        <v>Yes</v>
      </c>
      <c r="T217" s="6" t="str">
        <f>IF(AND(Table1_1[[#This Row],[Income]]&gt;50000,Table1_1[[#This Row],[Home Owner]]="Yes"),"High stability","Low stability")</f>
        <v>Low stability</v>
      </c>
      <c r="U217" s="3">
        <f>Table1_1[[#This Row],[Income]]/Table1_1[[#This Row],[Family size]]</f>
        <v>16000</v>
      </c>
      <c r="V217" s="6" t="str">
        <f>IF(Table1_1[[#This Row],[Occupation]]="Skilled manual","Blue collar",IF(Table1_1[[#This Row],[Occupation]]="Manual","Blue collar","White collar"))</f>
        <v>White collar</v>
      </c>
    </row>
    <row r="218" spans="1:22" x14ac:dyDescent="0.3">
      <c r="A218" t="s">
        <v>252</v>
      </c>
      <c r="B218" s="6" t="s">
        <v>1042</v>
      </c>
      <c r="C218" s="6" t="s">
        <v>1046</v>
      </c>
      <c r="D218" s="3">
        <v>20000</v>
      </c>
      <c r="E218">
        <v>2</v>
      </c>
      <c r="F218" s="6" t="s">
        <v>29</v>
      </c>
      <c r="G218" s="6" t="s">
        <v>20</v>
      </c>
      <c r="H218" s="6" t="s">
        <v>15</v>
      </c>
      <c r="I218">
        <v>3</v>
      </c>
      <c r="J218" t="s">
        <v>23</v>
      </c>
      <c r="K2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18" s="6" t="s">
        <v>24</v>
      </c>
      <c r="M218" s="7">
        <v>54</v>
      </c>
      <c r="N218" t="s">
        <v>18</v>
      </c>
      <c r="O218" s="9" t="str">
        <f>IF(Table1_1[[#This Row],[Purchased Bike]]="yes","1","0")</f>
        <v>0</v>
      </c>
      <c r="P218" s="4" t="str">
        <f>IF(Table1_1[[#This Row],[Income]]&lt;=30000,"Low ",IF(Table1_1[[#This Row],[Income]]&lt;=70000,"Middle","High"))</f>
        <v xml:space="preserve">Low </v>
      </c>
      <c r="Q218" s="6" t="str">
        <f>IF(Table1_1[[#This Row],[Age]]&lt;30,"Young",IF(Table1_1[[#This Row],[Age]]&lt;50,"Middle aged","Senior citizen"))</f>
        <v>Senior citizen</v>
      </c>
      <c r="R218" s="7">
        <f>IF(Table1_1[[#This Row],[Marriedarital SingletatuSingle]]="M",Table1_1[[#This Row],[Children]]+2,Table1_1[[#This Row],[Children]]+1)</f>
        <v>3</v>
      </c>
      <c r="S218" s="4" t="str">
        <f>IF(Table1_1[[#This Row],[Cars]]=0,"No","Yes")</f>
        <v>Yes</v>
      </c>
      <c r="T218" s="6" t="str">
        <f>IF(AND(Table1_1[[#This Row],[Income]]&gt;50000,Table1_1[[#This Row],[Home Owner]]="Yes"),"High stability","Low stability")</f>
        <v>Low stability</v>
      </c>
      <c r="U218" s="3">
        <f>Table1_1[[#This Row],[Income]]/Table1_1[[#This Row],[Family size]]</f>
        <v>6666.666666666667</v>
      </c>
      <c r="V218" s="6" t="str">
        <f>IF(Table1_1[[#This Row],[Occupation]]="Skilled manual","Blue collar",IF(Table1_1[[#This Row],[Occupation]]="Manual","Blue collar","White collar"))</f>
        <v>White collar</v>
      </c>
    </row>
    <row r="219" spans="1:22" x14ac:dyDescent="0.3">
      <c r="A219" t="s">
        <v>253</v>
      </c>
      <c r="B219" s="6" t="s">
        <v>1044</v>
      </c>
      <c r="C219" s="6" t="s">
        <v>1045</v>
      </c>
      <c r="D219" s="3">
        <v>20000</v>
      </c>
      <c r="E219">
        <v>0</v>
      </c>
      <c r="F219" s="6" t="s">
        <v>29</v>
      </c>
      <c r="G219" s="6" t="s">
        <v>25</v>
      </c>
      <c r="H219" s="6" t="s">
        <v>18</v>
      </c>
      <c r="I219">
        <v>2</v>
      </c>
      <c r="J219" t="s">
        <v>16</v>
      </c>
      <c r="K2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19" s="6" t="s">
        <v>17</v>
      </c>
      <c r="M219" s="7">
        <v>25</v>
      </c>
      <c r="N219" t="s">
        <v>18</v>
      </c>
      <c r="O219" s="9" t="str">
        <f>IF(Table1_1[[#This Row],[Purchased Bike]]="yes","1","0")</f>
        <v>0</v>
      </c>
      <c r="P219" s="4" t="str">
        <f>IF(Table1_1[[#This Row],[Income]]&lt;=30000,"Low ",IF(Table1_1[[#This Row],[Income]]&lt;=70000,"Middle","High"))</f>
        <v xml:space="preserve">Low </v>
      </c>
      <c r="Q219" s="6" t="str">
        <f>IF(Table1_1[[#This Row],[Age]]&lt;30,"Young",IF(Table1_1[[#This Row],[Age]]&lt;50,"Middle aged","Senior citizen"))</f>
        <v>Young</v>
      </c>
      <c r="R219" s="7">
        <f>IF(Table1_1[[#This Row],[Marriedarital SingletatuSingle]]="M",Table1_1[[#This Row],[Children]]+2,Table1_1[[#This Row],[Children]]+1)</f>
        <v>1</v>
      </c>
      <c r="S219" s="4" t="str">
        <f>IF(Table1_1[[#This Row],[Cars]]=0,"No","Yes")</f>
        <v>Yes</v>
      </c>
      <c r="T219" s="6" t="str">
        <f>IF(AND(Table1_1[[#This Row],[Income]]&gt;50000,Table1_1[[#This Row],[Home Owner]]="Yes"),"High stability","Low stability")</f>
        <v>Low stability</v>
      </c>
      <c r="U219" s="3">
        <f>Table1_1[[#This Row],[Income]]/Table1_1[[#This Row],[Family size]]</f>
        <v>20000</v>
      </c>
      <c r="V219" s="6" t="str">
        <f>IF(Table1_1[[#This Row],[Occupation]]="Skilled manual","Blue collar",IF(Table1_1[[#This Row],[Occupation]]="Manual","Blue collar","White collar"))</f>
        <v>Blue collar</v>
      </c>
    </row>
    <row r="220" spans="1:22" x14ac:dyDescent="0.3">
      <c r="A220" t="s">
        <v>254</v>
      </c>
      <c r="B220" s="6" t="s">
        <v>1044</v>
      </c>
      <c r="C220" s="6" t="s">
        <v>1046</v>
      </c>
      <c r="D220" s="3">
        <v>10000</v>
      </c>
      <c r="E220">
        <v>1</v>
      </c>
      <c r="F220" s="6" t="s">
        <v>13</v>
      </c>
      <c r="G220" s="6" t="s">
        <v>25</v>
      </c>
      <c r="H220" s="6" t="s">
        <v>15</v>
      </c>
      <c r="I220">
        <v>0</v>
      </c>
      <c r="J220" t="s">
        <v>16</v>
      </c>
      <c r="K2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20" s="6" t="s">
        <v>17</v>
      </c>
      <c r="M220" s="7">
        <v>48</v>
      </c>
      <c r="N220" t="s">
        <v>18</v>
      </c>
      <c r="O220" s="9" t="str">
        <f>IF(Table1_1[[#This Row],[Purchased Bike]]="yes","1","0")</f>
        <v>0</v>
      </c>
      <c r="P220" s="4" t="str">
        <f>IF(Table1_1[[#This Row],[Income]]&lt;=30000,"Low ",IF(Table1_1[[#This Row],[Income]]&lt;=70000,"Middle","High"))</f>
        <v xml:space="preserve">Low </v>
      </c>
      <c r="Q220" s="6" t="str">
        <f>IF(Table1_1[[#This Row],[Age]]&lt;30,"Young",IF(Table1_1[[#This Row],[Age]]&lt;50,"Middle aged","Senior citizen"))</f>
        <v>Middle aged</v>
      </c>
      <c r="R220" s="7">
        <f>IF(Table1_1[[#This Row],[Marriedarital SingletatuSingle]]="M",Table1_1[[#This Row],[Children]]+2,Table1_1[[#This Row],[Children]]+1)</f>
        <v>2</v>
      </c>
      <c r="S220" s="4" t="str">
        <f>IF(Table1_1[[#This Row],[Cars]]=0,"No","Yes")</f>
        <v>No</v>
      </c>
      <c r="T220" s="6" t="str">
        <f>IF(AND(Table1_1[[#This Row],[Income]]&gt;50000,Table1_1[[#This Row],[Home Owner]]="Yes"),"High stability","Low stability")</f>
        <v>Low stability</v>
      </c>
      <c r="U220" s="3">
        <f>Table1_1[[#This Row],[Income]]/Table1_1[[#This Row],[Family size]]</f>
        <v>5000</v>
      </c>
      <c r="V220" s="6" t="str">
        <f>IF(Table1_1[[#This Row],[Occupation]]="Skilled manual","Blue collar",IF(Table1_1[[#This Row],[Occupation]]="Manual","Blue collar","White collar"))</f>
        <v>Blue collar</v>
      </c>
    </row>
    <row r="221" spans="1:22" x14ac:dyDescent="0.3">
      <c r="A221" t="s">
        <v>255</v>
      </c>
      <c r="B221" s="6" t="s">
        <v>1044</v>
      </c>
      <c r="C221" s="6" t="s">
        <v>1046</v>
      </c>
      <c r="D221" s="3">
        <v>10000</v>
      </c>
      <c r="E221">
        <v>0</v>
      </c>
      <c r="F221" s="6" t="s">
        <v>19</v>
      </c>
      <c r="G221" s="6" t="s">
        <v>25</v>
      </c>
      <c r="H221" s="6" t="s">
        <v>15</v>
      </c>
      <c r="I221">
        <v>1</v>
      </c>
      <c r="J221" t="s">
        <v>26</v>
      </c>
      <c r="K2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21" s="6" t="s">
        <v>24</v>
      </c>
      <c r="M221" s="7">
        <v>26</v>
      </c>
      <c r="N221" t="s">
        <v>15</v>
      </c>
      <c r="O221" s="9" t="str">
        <f>IF(Table1_1[[#This Row],[Purchased Bike]]="yes","1","0")</f>
        <v>1</v>
      </c>
      <c r="P221" s="4" t="str">
        <f>IF(Table1_1[[#This Row],[Income]]&lt;=30000,"Low ",IF(Table1_1[[#This Row],[Income]]&lt;=70000,"Middle","High"))</f>
        <v xml:space="preserve">Low </v>
      </c>
      <c r="Q221" s="6" t="str">
        <f>IF(Table1_1[[#This Row],[Age]]&lt;30,"Young",IF(Table1_1[[#This Row],[Age]]&lt;50,"Middle aged","Senior citizen"))</f>
        <v>Young</v>
      </c>
      <c r="R221" s="7">
        <f>IF(Table1_1[[#This Row],[Marriedarital SingletatuSingle]]="M",Table1_1[[#This Row],[Children]]+2,Table1_1[[#This Row],[Children]]+1)</f>
        <v>1</v>
      </c>
      <c r="S221" s="4" t="str">
        <f>IF(Table1_1[[#This Row],[Cars]]=0,"No","Yes")</f>
        <v>Yes</v>
      </c>
      <c r="T221" s="6" t="str">
        <f>IF(AND(Table1_1[[#This Row],[Income]]&gt;50000,Table1_1[[#This Row],[Home Owner]]="Yes"),"High stability","Low stability")</f>
        <v>Low stability</v>
      </c>
      <c r="U221" s="3">
        <f>Table1_1[[#This Row],[Income]]/Table1_1[[#This Row],[Family size]]</f>
        <v>10000</v>
      </c>
      <c r="V221" s="6" t="str">
        <f>IF(Table1_1[[#This Row],[Occupation]]="Skilled manual","Blue collar",IF(Table1_1[[#This Row],[Occupation]]="Manual","Blue collar","White collar"))</f>
        <v>Blue collar</v>
      </c>
    </row>
    <row r="222" spans="1:22" x14ac:dyDescent="0.3">
      <c r="A222" t="s">
        <v>256</v>
      </c>
      <c r="B222" s="6" t="s">
        <v>1042</v>
      </c>
      <c r="C222" s="6" t="s">
        <v>1046</v>
      </c>
      <c r="D222" s="3">
        <v>60000</v>
      </c>
      <c r="E222">
        <v>1</v>
      </c>
      <c r="F222" s="6" t="s">
        <v>13</v>
      </c>
      <c r="G222" s="6" t="s">
        <v>21</v>
      </c>
      <c r="H222" s="6" t="s">
        <v>15</v>
      </c>
      <c r="I222">
        <v>1</v>
      </c>
      <c r="J222" t="s">
        <v>23</v>
      </c>
      <c r="K2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22" s="6" t="s">
        <v>24</v>
      </c>
      <c r="M222" s="7">
        <v>43</v>
      </c>
      <c r="N222" t="s">
        <v>15</v>
      </c>
      <c r="O222" s="9" t="str">
        <f>IF(Table1_1[[#This Row],[Purchased Bike]]="yes","1","0")</f>
        <v>1</v>
      </c>
      <c r="P222" s="4" t="str">
        <f>IF(Table1_1[[#This Row],[Income]]&lt;=30000,"Low ",IF(Table1_1[[#This Row],[Income]]&lt;=70000,"Middle","High"))</f>
        <v>Middle</v>
      </c>
      <c r="Q222" s="6" t="str">
        <f>IF(Table1_1[[#This Row],[Age]]&lt;30,"Young",IF(Table1_1[[#This Row],[Age]]&lt;50,"Middle aged","Senior citizen"))</f>
        <v>Middle aged</v>
      </c>
      <c r="R222" s="7">
        <f>IF(Table1_1[[#This Row],[Marriedarital SingletatuSingle]]="M",Table1_1[[#This Row],[Children]]+2,Table1_1[[#This Row],[Children]]+1)</f>
        <v>2</v>
      </c>
      <c r="S222" s="4" t="str">
        <f>IF(Table1_1[[#This Row],[Cars]]=0,"No","Yes")</f>
        <v>Yes</v>
      </c>
      <c r="T222" s="6" t="str">
        <f>IF(AND(Table1_1[[#This Row],[Income]]&gt;50000,Table1_1[[#This Row],[Home Owner]]="Yes"),"High stability","Low stability")</f>
        <v>High stability</v>
      </c>
      <c r="U222" s="3">
        <f>Table1_1[[#This Row],[Income]]/Table1_1[[#This Row],[Family size]]</f>
        <v>30000</v>
      </c>
      <c r="V222" s="6" t="str">
        <f>IF(Table1_1[[#This Row],[Occupation]]="Skilled manual","Blue collar",IF(Table1_1[[#This Row],[Occupation]]="Manual","Blue collar","White collar"))</f>
        <v>White collar</v>
      </c>
    </row>
    <row r="223" spans="1:22" x14ac:dyDescent="0.3">
      <c r="A223" t="s">
        <v>257</v>
      </c>
      <c r="B223" s="6" t="s">
        <v>1044</v>
      </c>
      <c r="C223" s="6" t="s">
        <v>1046</v>
      </c>
      <c r="D223" s="3">
        <v>10000</v>
      </c>
      <c r="E223">
        <v>0</v>
      </c>
      <c r="F223" s="6" t="s">
        <v>29</v>
      </c>
      <c r="G223" s="6" t="s">
        <v>25</v>
      </c>
      <c r="H223" s="6" t="s">
        <v>18</v>
      </c>
      <c r="I223">
        <v>2</v>
      </c>
      <c r="J223" t="s">
        <v>26</v>
      </c>
      <c r="K2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23" s="6" t="s">
        <v>17</v>
      </c>
      <c r="M223" s="7">
        <v>35</v>
      </c>
      <c r="N223" t="s">
        <v>18</v>
      </c>
      <c r="O223" s="9" t="str">
        <f>IF(Table1_1[[#This Row],[Purchased Bike]]="yes","1","0")</f>
        <v>0</v>
      </c>
      <c r="P223" s="4" t="str">
        <f>IF(Table1_1[[#This Row],[Income]]&lt;=30000,"Low ",IF(Table1_1[[#This Row],[Income]]&lt;=70000,"Middle","High"))</f>
        <v xml:space="preserve">Low </v>
      </c>
      <c r="Q223" s="6" t="str">
        <f>IF(Table1_1[[#This Row],[Age]]&lt;30,"Young",IF(Table1_1[[#This Row],[Age]]&lt;50,"Middle aged","Senior citizen"))</f>
        <v>Middle aged</v>
      </c>
      <c r="R223" s="7">
        <f>IF(Table1_1[[#This Row],[Marriedarital SingletatuSingle]]="M",Table1_1[[#This Row],[Children]]+2,Table1_1[[#This Row],[Children]]+1)</f>
        <v>1</v>
      </c>
      <c r="S223" s="4" t="str">
        <f>IF(Table1_1[[#This Row],[Cars]]=0,"No","Yes")</f>
        <v>Yes</v>
      </c>
      <c r="T223" s="6" t="str">
        <f>IF(AND(Table1_1[[#This Row],[Income]]&gt;50000,Table1_1[[#This Row],[Home Owner]]="Yes"),"High stability","Low stability")</f>
        <v>Low stability</v>
      </c>
      <c r="U223" s="3">
        <f>Table1_1[[#This Row],[Income]]/Table1_1[[#This Row],[Family size]]</f>
        <v>10000</v>
      </c>
      <c r="V223" s="6" t="str">
        <f>IF(Table1_1[[#This Row],[Occupation]]="Skilled manual","Blue collar",IF(Table1_1[[#This Row],[Occupation]]="Manual","Blue collar","White collar"))</f>
        <v>Blue collar</v>
      </c>
    </row>
    <row r="224" spans="1:22" x14ac:dyDescent="0.3">
      <c r="A224" t="s">
        <v>258</v>
      </c>
      <c r="B224" s="6" t="s">
        <v>1042</v>
      </c>
      <c r="C224" s="6" t="s">
        <v>1045</v>
      </c>
      <c r="D224" s="3">
        <v>30000</v>
      </c>
      <c r="E224">
        <v>3</v>
      </c>
      <c r="F224" s="6" t="s">
        <v>19</v>
      </c>
      <c r="G224" s="6" t="s">
        <v>20</v>
      </c>
      <c r="H224" s="6" t="s">
        <v>18</v>
      </c>
      <c r="I224">
        <v>0</v>
      </c>
      <c r="J224" t="s">
        <v>16</v>
      </c>
      <c r="K2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24" s="6" t="s">
        <v>17</v>
      </c>
      <c r="M224" s="7">
        <v>42</v>
      </c>
      <c r="N224" t="s">
        <v>18</v>
      </c>
      <c r="O224" s="9" t="str">
        <f>IF(Table1_1[[#This Row],[Purchased Bike]]="yes","1","0")</f>
        <v>0</v>
      </c>
      <c r="P224" s="4" t="str">
        <f>IF(Table1_1[[#This Row],[Income]]&lt;=30000,"Low ",IF(Table1_1[[#This Row],[Income]]&lt;=70000,"Middle","High"))</f>
        <v xml:space="preserve">Low </v>
      </c>
      <c r="Q224" s="6" t="str">
        <f>IF(Table1_1[[#This Row],[Age]]&lt;30,"Young",IF(Table1_1[[#This Row],[Age]]&lt;50,"Middle aged","Senior citizen"))</f>
        <v>Middle aged</v>
      </c>
      <c r="R224" s="7">
        <f>IF(Table1_1[[#This Row],[Marriedarital SingletatuSingle]]="M",Table1_1[[#This Row],[Children]]+2,Table1_1[[#This Row],[Children]]+1)</f>
        <v>4</v>
      </c>
      <c r="S224" s="4" t="str">
        <f>IF(Table1_1[[#This Row],[Cars]]=0,"No","Yes")</f>
        <v>No</v>
      </c>
      <c r="T224" s="6" t="str">
        <f>IF(AND(Table1_1[[#This Row],[Income]]&gt;50000,Table1_1[[#This Row],[Home Owner]]="Yes"),"High stability","Low stability")</f>
        <v>Low stability</v>
      </c>
      <c r="U224" s="3">
        <f>Table1_1[[#This Row],[Income]]/Table1_1[[#This Row],[Family size]]</f>
        <v>7500</v>
      </c>
      <c r="V224" s="6" t="str">
        <f>IF(Table1_1[[#This Row],[Occupation]]="Skilled manual","Blue collar",IF(Table1_1[[#This Row],[Occupation]]="Manual","Blue collar","White collar"))</f>
        <v>White collar</v>
      </c>
    </row>
    <row r="225" spans="1:22" x14ac:dyDescent="0.3">
      <c r="A225" t="s">
        <v>259</v>
      </c>
      <c r="B225" s="6" t="s">
        <v>1044</v>
      </c>
      <c r="C225" s="6" t="s">
        <v>1045</v>
      </c>
      <c r="D225" s="3">
        <v>70000</v>
      </c>
      <c r="E225">
        <v>5</v>
      </c>
      <c r="F225" s="6" t="s">
        <v>13</v>
      </c>
      <c r="G225" s="6" t="s">
        <v>21</v>
      </c>
      <c r="H225" s="6" t="s">
        <v>15</v>
      </c>
      <c r="I225">
        <v>4</v>
      </c>
      <c r="J225" t="s">
        <v>30</v>
      </c>
      <c r="K2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25" s="6" t="s">
        <v>24</v>
      </c>
      <c r="M225" s="7">
        <v>39</v>
      </c>
      <c r="N225" t="s">
        <v>18</v>
      </c>
      <c r="O225" s="9" t="str">
        <f>IF(Table1_1[[#This Row],[Purchased Bike]]="yes","1","0")</f>
        <v>0</v>
      </c>
      <c r="P225" s="4" t="str">
        <f>IF(Table1_1[[#This Row],[Income]]&lt;=30000,"Low ",IF(Table1_1[[#This Row],[Income]]&lt;=70000,"Middle","High"))</f>
        <v>Middle</v>
      </c>
      <c r="Q225" s="6" t="str">
        <f>IF(Table1_1[[#This Row],[Age]]&lt;30,"Young",IF(Table1_1[[#This Row],[Age]]&lt;50,"Middle aged","Senior citizen"))</f>
        <v>Middle aged</v>
      </c>
      <c r="R225" s="7">
        <f>IF(Table1_1[[#This Row],[Marriedarital SingletatuSingle]]="M",Table1_1[[#This Row],[Children]]+2,Table1_1[[#This Row],[Children]]+1)</f>
        <v>6</v>
      </c>
      <c r="S225" s="4" t="str">
        <f>IF(Table1_1[[#This Row],[Cars]]=0,"No","Yes")</f>
        <v>Yes</v>
      </c>
      <c r="T225" s="6" t="str">
        <f>IF(AND(Table1_1[[#This Row],[Income]]&gt;50000,Table1_1[[#This Row],[Home Owner]]="Yes"),"High stability","Low stability")</f>
        <v>High stability</v>
      </c>
      <c r="U225" s="3">
        <f>Table1_1[[#This Row],[Income]]/Table1_1[[#This Row],[Family size]]</f>
        <v>11666.666666666666</v>
      </c>
      <c r="V225" s="6" t="str">
        <f>IF(Table1_1[[#This Row],[Occupation]]="Skilled manual","Blue collar",IF(Table1_1[[#This Row],[Occupation]]="Manual","Blue collar","White collar"))</f>
        <v>White collar</v>
      </c>
    </row>
    <row r="226" spans="1:22" x14ac:dyDescent="0.3">
      <c r="A226" t="s">
        <v>260</v>
      </c>
      <c r="B226" s="6" t="s">
        <v>1042</v>
      </c>
      <c r="C226" s="6" t="s">
        <v>1045</v>
      </c>
      <c r="D226" s="3">
        <v>30000</v>
      </c>
      <c r="E226">
        <v>2</v>
      </c>
      <c r="F226" s="6" t="s">
        <v>19</v>
      </c>
      <c r="G226" s="6" t="s">
        <v>20</v>
      </c>
      <c r="H226" s="6" t="s">
        <v>18</v>
      </c>
      <c r="I226">
        <v>2</v>
      </c>
      <c r="J226" t="s">
        <v>16</v>
      </c>
      <c r="K2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26" s="6" t="s">
        <v>24</v>
      </c>
      <c r="M226" s="7">
        <v>67</v>
      </c>
      <c r="N226" t="s">
        <v>18</v>
      </c>
      <c r="O226" s="9" t="str">
        <f>IF(Table1_1[[#This Row],[Purchased Bike]]="yes","1","0")</f>
        <v>0</v>
      </c>
      <c r="P226" s="4" t="str">
        <f>IF(Table1_1[[#This Row],[Income]]&lt;=30000,"Low ",IF(Table1_1[[#This Row],[Income]]&lt;=70000,"Middle","High"))</f>
        <v xml:space="preserve">Low </v>
      </c>
      <c r="Q226" s="6" t="str">
        <f>IF(Table1_1[[#This Row],[Age]]&lt;30,"Young",IF(Table1_1[[#This Row],[Age]]&lt;50,"Middle aged","Senior citizen"))</f>
        <v>Senior citizen</v>
      </c>
      <c r="R226" s="7">
        <f>IF(Table1_1[[#This Row],[Marriedarital SingletatuSingle]]="M",Table1_1[[#This Row],[Children]]+2,Table1_1[[#This Row],[Children]]+1)</f>
        <v>3</v>
      </c>
      <c r="S226" s="4" t="str">
        <f>IF(Table1_1[[#This Row],[Cars]]=0,"No","Yes")</f>
        <v>Yes</v>
      </c>
      <c r="T226" s="6" t="str">
        <f>IF(AND(Table1_1[[#This Row],[Income]]&gt;50000,Table1_1[[#This Row],[Home Owner]]="Yes"),"High stability","Low stability")</f>
        <v>Low stability</v>
      </c>
      <c r="U226" s="3">
        <f>Table1_1[[#This Row],[Income]]/Table1_1[[#This Row],[Family size]]</f>
        <v>10000</v>
      </c>
      <c r="V226" s="6" t="str">
        <f>IF(Table1_1[[#This Row],[Occupation]]="Skilled manual","Blue collar",IF(Table1_1[[#This Row],[Occupation]]="Manual","Blue collar","White collar"))</f>
        <v>White collar</v>
      </c>
    </row>
    <row r="227" spans="1:22" x14ac:dyDescent="0.3">
      <c r="A227" t="s">
        <v>261</v>
      </c>
      <c r="B227" s="6" t="s">
        <v>1042</v>
      </c>
      <c r="C227" s="6" t="s">
        <v>1046</v>
      </c>
      <c r="D227" s="3">
        <v>20000</v>
      </c>
      <c r="E227">
        <v>1</v>
      </c>
      <c r="F227" s="6" t="s">
        <v>19</v>
      </c>
      <c r="G227" s="6" t="s">
        <v>25</v>
      </c>
      <c r="H227" s="6" t="s">
        <v>15</v>
      </c>
      <c r="I227">
        <v>0</v>
      </c>
      <c r="J227" t="s">
        <v>26</v>
      </c>
      <c r="K2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27" s="6" t="s">
        <v>17</v>
      </c>
      <c r="M227" s="7">
        <v>35</v>
      </c>
      <c r="N227" t="s">
        <v>18</v>
      </c>
      <c r="O227" s="9" t="str">
        <f>IF(Table1_1[[#This Row],[Purchased Bike]]="yes","1","0")</f>
        <v>0</v>
      </c>
      <c r="P227" s="4" t="str">
        <f>IF(Table1_1[[#This Row],[Income]]&lt;=30000,"Low ",IF(Table1_1[[#This Row],[Income]]&lt;=70000,"Middle","High"))</f>
        <v xml:space="preserve">Low </v>
      </c>
      <c r="Q227" s="6" t="str">
        <f>IF(Table1_1[[#This Row],[Age]]&lt;30,"Young",IF(Table1_1[[#This Row],[Age]]&lt;50,"Middle aged","Senior citizen"))</f>
        <v>Middle aged</v>
      </c>
      <c r="R227" s="7">
        <f>IF(Table1_1[[#This Row],[Marriedarital SingletatuSingle]]="M",Table1_1[[#This Row],[Children]]+2,Table1_1[[#This Row],[Children]]+1)</f>
        <v>2</v>
      </c>
      <c r="S227" s="4" t="str">
        <f>IF(Table1_1[[#This Row],[Cars]]=0,"No","Yes")</f>
        <v>No</v>
      </c>
      <c r="T227" s="6" t="str">
        <f>IF(AND(Table1_1[[#This Row],[Income]]&gt;50000,Table1_1[[#This Row],[Home Owner]]="Yes"),"High stability","Low stability")</f>
        <v>Low stability</v>
      </c>
      <c r="U227" s="3">
        <f>Table1_1[[#This Row],[Income]]/Table1_1[[#This Row],[Family size]]</f>
        <v>10000</v>
      </c>
      <c r="V227" s="6" t="str">
        <f>IF(Table1_1[[#This Row],[Occupation]]="Skilled manual","Blue collar",IF(Table1_1[[#This Row],[Occupation]]="Manual","Blue collar","White collar"))</f>
        <v>Blue collar</v>
      </c>
    </row>
    <row r="228" spans="1:22" x14ac:dyDescent="0.3">
      <c r="A228" t="s">
        <v>262</v>
      </c>
      <c r="B228" s="6" t="s">
        <v>1044</v>
      </c>
      <c r="C228" s="6" t="s">
        <v>1045</v>
      </c>
      <c r="D228" s="3">
        <v>20000</v>
      </c>
      <c r="E228">
        <v>3</v>
      </c>
      <c r="F228" s="6" t="s">
        <v>27</v>
      </c>
      <c r="G228" s="6" t="s">
        <v>25</v>
      </c>
      <c r="H228" s="6" t="s">
        <v>15</v>
      </c>
      <c r="I228">
        <v>1</v>
      </c>
      <c r="J228" t="s">
        <v>16</v>
      </c>
      <c r="K2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28" s="6" t="s">
        <v>17</v>
      </c>
      <c r="M228" s="7">
        <v>42</v>
      </c>
      <c r="N228" t="s">
        <v>15</v>
      </c>
      <c r="O228" s="9" t="str">
        <f>IF(Table1_1[[#This Row],[Purchased Bike]]="yes","1","0")</f>
        <v>1</v>
      </c>
      <c r="P228" s="4" t="str">
        <f>IF(Table1_1[[#This Row],[Income]]&lt;=30000,"Low ",IF(Table1_1[[#This Row],[Income]]&lt;=70000,"Middle","High"))</f>
        <v xml:space="preserve">Low </v>
      </c>
      <c r="Q228" s="6" t="str">
        <f>IF(Table1_1[[#This Row],[Age]]&lt;30,"Young",IF(Table1_1[[#This Row],[Age]]&lt;50,"Middle aged","Senior citizen"))</f>
        <v>Middle aged</v>
      </c>
      <c r="R228" s="7">
        <f>IF(Table1_1[[#This Row],[Marriedarital SingletatuSingle]]="M",Table1_1[[#This Row],[Children]]+2,Table1_1[[#This Row],[Children]]+1)</f>
        <v>4</v>
      </c>
      <c r="S228" s="4" t="str">
        <f>IF(Table1_1[[#This Row],[Cars]]=0,"No","Yes")</f>
        <v>Yes</v>
      </c>
      <c r="T228" s="6" t="str">
        <f>IF(AND(Table1_1[[#This Row],[Income]]&gt;50000,Table1_1[[#This Row],[Home Owner]]="Yes"),"High stability","Low stability")</f>
        <v>Low stability</v>
      </c>
      <c r="U228" s="3">
        <f>Table1_1[[#This Row],[Income]]/Table1_1[[#This Row],[Family size]]</f>
        <v>5000</v>
      </c>
      <c r="V228" s="6" t="str">
        <f>IF(Table1_1[[#This Row],[Occupation]]="Skilled manual","Blue collar",IF(Table1_1[[#This Row],[Occupation]]="Manual","Blue collar","White collar"))</f>
        <v>Blue collar</v>
      </c>
    </row>
    <row r="229" spans="1:22" x14ac:dyDescent="0.3">
      <c r="A229" t="s">
        <v>263</v>
      </c>
      <c r="B229" s="6" t="s">
        <v>1042</v>
      </c>
      <c r="C229" s="6" t="s">
        <v>1046</v>
      </c>
      <c r="D229" s="3">
        <v>10000</v>
      </c>
      <c r="E229">
        <v>3</v>
      </c>
      <c r="F229" s="6" t="s">
        <v>29</v>
      </c>
      <c r="G229" s="6" t="s">
        <v>25</v>
      </c>
      <c r="H229" s="6" t="s">
        <v>15</v>
      </c>
      <c r="I229">
        <v>2</v>
      </c>
      <c r="J229" t="s">
        <v>16</v>
      </c>
      <c r="K2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29" s="6" t="s">
        <v>17</v>
      </c>
      <c r="M229" s="7">
        <v>43</v>
      </c>
      <c r="N229" t="s">
        <v>18</v>
      </c>
      <c r="O229" s="9" t="str">
        <f>IF(Table1_1[[#This Row],[Purchased Bike]]="yes","1","0")</f>
        <v>0</v>
      </c>
      <c r="P229" s="4" t="str">
        <f>IF(Table1_1[[#This Row],[Income]]&lt;=30000,"Low ",IF(Table1_1[[#This Row],[Income]]&lt;=70000,"Middle","High"))</f>
        <v xml:space="preserve">Low </v>
      </c>
      <c r="Q229" s="6" t="str">
        <f>IF(Table1_1[[#This Row],[Age]]&lt;30,"Young",IF(Table1_1[[#This Row],[Age]]&lt;50,"Middle aged","Senior citizen"))</f>
        <v>Middle aged</v>
      </c>
      <c r="R229" s="7">
        <f>IF(Table1_1[[#This Row],[Marriedarital SingletatuSingle]]="M",Table1_1[[#This Row],[Children]]+2,Table1_1[[#This Row],[Children]]+1)</f>
        <v>4</v>
      </c>
      <c r="S229" s="4" t="str">
        <f>IF(Table1_1[[#This Row],[Cars]]=0,"No","Yes")</f>
        <v>Yes</v>
      </c>
      <c r="T229" s="6" t="str">
        <f>IF(AND(Table1_1[[#This Row],[Income]]&gt;50000,Table1_1[[#This Row],[Home Owner]]="Yes"),"High stability","Low stability")</f>
        <v>Low stability</v>
      </c>
      <c r="U229" s="3">
        <f>Table1_1[[#This Row],[Income]]/Table1_1[[#This Row],[Family size]]</f>
        <v>2500</v>
      </c>
      <c r="V229" s="6" t="str">
        <f>IF(Table1_1[[#This Row],[Occupation]]="Skilled manual","Blue collar",IF(Table1_1[[#This Row],[Occupation]]="Manual","Blue collar","White collar"))</f>
        <v>Blue collar</v>
      </c>
    </row>
    <row r="230" spans="1:22" x14ac:dyDescent="0.3">
      <c r="A230" t="s">
        <v>264</v>
      </c>
      <c r="B230" s="6" t="s">
        <v>1042</v>
      </c>
      <c r="C230" s="6" t="s">
        <v>1045</v>
      </c>
      <c r="D230" s="3">
        <v>20000</v>
      </c>
      <c r="E230">
        <v>1</v>
      </c>
      <c r="F230" s="6" t="s">
        <v>31</v>
      </c>
      <c r="G230" s="6" t="s">
        <v>20</v>
      </c>
      <c r="H230" s="6" t="s">
        <v>15</v>
      </c>
      <c r="I230">
        <v>0</v>
      </c>
      <c r="J230" t="s">
        <v>16</v>
      </c>
      <c r="K2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30" s="6" t="s">
        <v>17</v>
      </c>
      <c r="M230" s="7">
        <v>45</v>
      </c>
      <c r="N230" t="s">
        <v>18</v>
      </c>
      <c r="O230" s="9" t="str">
        <f>IF(Table1_1[[#This Row],[Purchased Bike]]="yes","1","0")</f>
        <v>0</v>
      </c>
      <c r="P230" s="4" t="str">
        <f>IF(Table1_1[[#This Row],[Income]]&lt;=30000,"Low ",IF(Table1_1[[#This Row],[Income]]&lt;=70000,"Middle","High"))</f>
        <v xml:space="preserve">Low </v>
      </c>
      <c r="Q230" s="6" t="str">
        <f>IF(Table1_1[[#This Row],[Age]]&lt;30,"Young",IF(Table1_1[[#This Row],[Age]]&lt;50,"Middle aged","Senior citizen"))</f>
        <v>Middle aged</v>
      </c>
      <c r="R230" s="7">
        <f>IF(Table1_1[[#This Row],[Marriedarital SingletatuSingle]]="M",Table1_1[[#This Row],[Children]]+2,Table1_1[[#This Row],[Children]]+1)</f>
        <v>2</v>
      </c>
      <c r="S230" s="4" t="str">
        <f>IF(Table1_1[[#This Row],[Cars]]=0,"No","Yes")</f>
        <v>No</v>
      </c>
      <c r="T230" s="6" t="str">
        <f>IF(AND(Table1_1[[#This Row],[Income]]&gt;50000,Table1_1[[#This Row],[Home Owner]]="Yes"),"High stability","Low stability")</f>
        <v>Low stability</v>
      </c>
      <c r="U230" s="3">
        <f>Table1_1[[#This Row],[Income]]/Table1_1[[#This Row],[Family size]]</f>
        <v>10000</v>
      </c>
      <c r="V230" s="6" t="str">
        <f>IF(Table1_1[[#This Row],[Occupation]]="Skilled manual","Blue collar",IF(Table1_1[[#This Row],[Occupation]]="Manual","Blue collar","White collar"))</f>
        <v>White collar</v>
      </c>
    </row>
    <row r="231" spans="1:22" x14ac:dyDescent="0.3">
      <c r="A231" t="s">
        <v>265</v>
      </c>
      <c r="B231" s="6" t="s">
        <v>1044</v>
      </c>
      <c r="C231" s="6" t="s">
        <v>1046</v>
      </c>
      <c r="D231" s="3">
        <v>80000</v>
      </c>
      <c r="E231">
        <v>5</v>
      </c>
      <c r="F231" s="6" t="s">
        <v>27</v>
      </c>
      <c r="G231" s="6" t="s">
        <v>28</v>
      </c>
      <c r="H231" s="6" t="s">
        <v>15</v>
      </c>
      <c r="I231">
        <v>3</v>
      </c>
      <c r="J231" t="s">
        <v>30</v>
      </c>
      <c r="K2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31" s="6" t="s">
        <v>17</v>
      </c>
      <c r="M231" s="7">
        <v>57</v>
      </c>
      <c r="N231" t="s">
        <v>18</v>
      </c>
      <c r="O231" s="9" t="str">
        <f>IF(Table1_1[[#This Row],[Purchased Bike]]="yes","1","0")</f>
        <v>0</v>
      </c>
      <c r="P231" s="4" t="str">
        <f>IF(Table1_1[[#This Row],[Income]]&lt;=30000,"Low ",IF(Table1_1[[#This Row],[Income]]&lt;=70000,"Middle","High"))</f>
        <v>High</v>
      </c>
      <c r="Q231" s="6" t="str">
        <f>IF(Table1_1[[#This Row],[Age]]&lt;30,"Young",IF(Table1_1[[#This Row],[Age]]&lt;50,"Middle aged","Senior citizen"))</f>
        <v>Senior citizen</v>
      </c>
      <c r="R231" s="7">
        <f>IF(Table1_1[[#This Row],[Marriedarital SingletatuSingle]]="M",Table1_1[[#This Row],[Children]]+2,Table1_1[[#This Row],[Children]]+1)</f>
        <v>6</v>
      </c>
      <c r="S231" s="4" t="str">
        <f>IF(Table1_1[[#This Row],[Cars]]=0,"No","Yes")</f>
        <v>Yes</v>
      </c>
      <c r="T231" s="6" t="str">
        <f>IF(AND(Table1_1[[#This Row],[Income]]&gt;50000,Table1_1[[#This Row],[Home Owner]]="Yes"),"High stability","Low stability")</f>
        <v>High stability</v>
      </c>
      <c r="U231" s="3">
        <f>Table1_1[[#This Row],[Income]]/Table1_1[[#This Row],[Family size]]</f>
        <v>13333.333333333334</v>
      </c>
      <c r="V231" s="6" t="str">
        <f>IF(Table1_1[[#This Row],[Occupation]]="Skilled manual","Blue collar",IF(Table1_1[[#This Row],[Occupation]]="Manual","Blue collar","White collar"))</f>
        <v>White collar</v>
      </c>
    </row>
    <row r="232" spans="1:22" x14ac:dyDescent="0.3">
      <c r="A232" t="s">
        <v>266</v>
      </c>
      <c r="B232" s="6" t="s">
        <v>1042</v>
      </c>
      <c r="C232" s="6" t="s">
        <v>1046</v>
      </c>
      <c r="D232" s="3">
        <v>120000</v>
      </c>
      <c r="E232">
        <v>4</v>
      </c>
      <c r="F232" s="6" t="s">
        <v>19</v>
      </c>
      <c r="G232" s="6" t="s">
        <v>28</v>
      </c>
      <c r="H232" s="6" t="s">
        <v>15</v>
      </c>
      <c r="I232">
        <v>3</v>
      </c>
      <c r="J232" t="s">
        <v>30</v>
      </c>
      <c r="K2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32" s="6" t="s">
        <v>17</v>
      </c>
      <c r="M232" s="7">
        <v>56</v>
      </c>
      <c r="N232" t="s">
        <v>18</v>
      </c>
      <c r="O232" s="9" t="str">
        <f>IF(Table1_1[[#This Row],[Purchased Bike]]="yes","1","0")</f>
        <v>0</v>
      </c>
      <c r="P232" s="4" t="str">
        <f>IF(Table1_1[[#This Row],[Income]]&lt;=30000,"Low ",IF(Table1_1[[#This Row],[Income]]&lt;=70000,"Middle","High"))</f>
        <v>High</v>
      </c>
      <c r="Q232" s="6" t="str">
        <f>IF(Table1_1[[#This Row],[Age]]&lt;30,"Young",IF(Table1_1[[#This Row],[Age]]&lt;50,"Middle aged","Senior citizen"))</f>
        <v>Senior citizen</v>
      </c>
      <c r="R232" s="7">
        <f>IF(Table1_1[[#This Row],[Marriedarital SingletatuSingle]]="M",Table1_1[[#This Row],[Children]]+2,Table1_1[[#This Row],[Children]]+1)</f>
        <v>5</v>
      </c>
      <c r="S232" s="4" t="str">
        <f>IF(Table1_1[[#This Row],[Cars]]=0,"No","Yes")</f>
        <v>Yes</v>
      </c>
      <c r="T232" s="6" t="str">
        <f>IF(AND(Table1_1[[#This Row],[Income]]&gt;50000,Table1_1[[#This Row],[Home Owner]]="Yes"),"High stability","Low stability")</f>
        <v>High stability</v>
      </c>
      <c r="U232" s="3">
        <f>Table1_1[[#This Row],[Income]]/Table1_1[[#This Row],[Family size]]</f>
        <v>24000</v>
      </c>
      <c r="V232" s="6" t="str">
        <f>IF(Table1_1[[#This Row],[Occupation]]="Skilled manual","Blue collar",IF(Table1_1[[#This Row],[Occupation]]="Manual","Blue collar","White collar"))</f>
        <v>White collar</v>
      </c>
    </row>
    <row r="233" spans="1:22" x14ac:dyDescent="0.3">
      <c r="A233" t="s">
        <v>267</v>
      </c>
      <c r="B233" s="6" t="s">
        <v>1042</v>
      </c>
      <c r="C233" s="6" t="s">
        <v>1045</v>
      </c>
      <c r="D233" s="3">
        <v>40000</v>
      </c>
      <c r="E233">
        <v>0</v>
      </c>
      <c r="F233" s="6" t="s">
        <v>13</v>
      </c>
      <c r="G233" s="6" t="s">
        <v>20</v>
      </c>
      <c r="H233" s="6" t="s">
        <v>15</v>
      </c>
      <c r="I233">
        <v>0</v>
      </c>
      <c r="J233" t="s">
        <v>16</v>
      </c>
      <c r="K2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33" s="6" t="s">
        <v>17</v>
      </c>
      <c r="M233" s="7">
        <v>38</v>
      </c>
      <c r="N233" t="s">
        <v>15</v>
      </c>
      <c r="O233" s="9" t="str">
        <f>IF(Table1_1[[#This Row],[Purchased Bike]]="yes","1","0")</f>
        <v>1</v>
      </c>
      <c r="P233" s="4" t="str">
        <f>IF(Table1_1[[#This Row],[Income]]&lt;=30000,"Low ",IF(Table1_1[[#This Row],[Income]]&lt;=70000,"Middle","High"))</f>
        <v>Middle</v>
      </c>
      <c r="Q233" s="6" t="str">
        <f>IF(Table1_1[[#This Row],[Age]]&lt;30,"Young",IF(Table1_1[[#This Row],[Age]]&lt;50,"Middle aged","Senior citizen"))</f>
        <v>Middle aged</v>
      </c>
      <c r="R233" s="7">
        <f>IF(Table1_1[[#This Row],[Marriedarital SingletatuSingle]]="M",Table1_1[[#This Row],[Children]]+2,Table1_1[[#This Row],[Children]]+1)</f>
        <v>1</v>
      </c>
      <c r="S233" s="4" t="str">
        <f>IF(Table1_1[[#This Row],[Cars]]=0,"No","Yes")</f>
        <v>No</v>
      </c>
      <c r="T233" s="6" t="str">
        <f>IF(AND(Table1_1[[#This Row],[Income]]&gt;50000,Table1_1[[#This Row],[Home Owner]]="Yes"),"High stability","Low stability")</f>
        <v>Low stability</v>
      </c>
      <c r="U233" s="3">
        <f>Table1_1[[#This Row],[Income]]/Table1_1[[#This Row],[Family size]]</f>
        <v>40000</v>
      </c>
      <c r="V233" s="6" t="str">
        <f>IF(Table1_1[[#This Row],[Occupation]]="Skilled manual","Blue collar",IF(Table1_1[[#This Row],[Occupation]]="Manual","Blue collar","White collar"))</f>
        <v>White collar</v>
      </c>
    </row>
    <row r="234" spans="1:22" x14ac:dyDescent="0.3">
      <c r="A234" t="s">
        <v>268</v>
      </c>
      <c r="B234" s="6" t="s">
        <v>1042</v>
      </c>
      <c r="C234" s="6" t="s">
        <v>1045</v>
      </c>
      <c r="D234" s="3">
        <v>30000</v>
      </c>
      <c r="E234">
        <v>4</v>
      </c>
      <c r="F234" s="6" t="s">
        <v>31</v>
      </c>
      <c r="G234" s="6" t="s">
        <v>20</v>
      </c>
      <c r="H234" s="6" t="s">
        <v>15</v>
      </c>
      <c r="I234">
        <v>0</v>
      </c>
      <c r="J234" t="s">
        <v>16</v>
      </c>
      <c r="K2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34" s="6" t="s">
        <v>17</v>
      </c>
      <c r="M234" s="7">
        <v>45</v>
      </c>
      <c r="N234" t="s">
        <v>18</v>
      </c>
      <c r="O234" s="9" t="str">
        <f>IF(Table1_1[[#This Row],[Purchased Bike]]="yes","1","0")</f>
        <v>0</v>
      </c>
      <c r="P234" s="4" t="str">
        <f>IF(Table1_1[[#This Row],[Income]]&lt;=30000,"Low ",IF(Table1_1[[#This Row],[Income]]&lt;=70000,"Middle","High"))</f>
        <v xml:space="preserve">Low </v>
      </c>
      <c r="Q234" s="6" t="str">
        <f>IF(Table1_1[[#This Row],[Age]]&lt;30,"Young",IF(Table1_1[[#This Row],[Age]]&lt;50,"Middle aged","Senior citizen"))</f>
        <v>Middle aged</v>
      </c>
      <c r="R234" s="7">
        <f>IF(Table1_1[[#This Row],[Marriedarital SingletatuSingle]]="M",Table1_1[[#This Row],[Children]]+2,Table1_1[[#This Row],[Children]]+1)</f>
        <v>5</v>
      </c>
      <c r="S234" s="4" t="str">
        <f>IF(Table1_1[[#This Row],[Cars]]=0,"No","Yes")</f>
        <v>No</v>
      </c>
      <c r="T234" s="6" t="str">
        <f>IF(AND(Table1_1[[#This Row],[Income]]&gt;50000,Table1_1[[#This Row],[Home Owner]]="Yes"),"High stability","Low stability")</f>
        <v>Low stability</v>
      </c>
      <c r="U234" s="3">
        <f>Table1_1[[#This Row],[Income]]/Table1_1[[#This Row],[Family size]]</f>
        <v>6000</v>
      </c>
      <c r="V234" s="6" t="str">
        <f>IF(Table1_1[[#This Row],[Occupation]]="Skilled manual","Blue collar",IF(Table1_1[[#This Row],[Occupation]]="Manual","Blue collar","White collar"))</f>
        <v>White collar</v>
      </c>
    </row>
    <row r="235" spans="1:22" x14ac:dyDescent="0.3">
      <c r="A235" t="s">
        <v>269</v>
      </c>
      <c r="B235" s="6" t="s">
        <v>1042</v>
      </c>
      <c r="C235" s="6" t="s">
        <v>1046</v>
      </c>
      <c r="D235" s="3">
        <v>20000</v>
      </c>
      <c r="E235">
        <v>0</v>
      </c>
      <c r="F235" s="6" t="s">
        <v>13</v>
      </c>
      <c r="G235" s="6" t="s">
        <v>20</v>
      </c>
      <c r="H235" s="6" t="s">
        <v>15</v>
      </c>
      <c r="I235">
        <v>0</v>
      </c>
      <c r="J235" t="s">
        <v>16</v>
      </c>
      <c r="K2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35" s="6" t="s">
        <v>24</v>
      </c>
      <c r="M235" s="7">
        <v>27</v>
      </c>
      <c r="N235" t="s">
        <v>15</v>
      </c>
      <c r="O235" s="9" t="str">
        <f>IF(Table1_1[[#This Row],[Purchased Bike]]="yes","1","0")</f>
        <v>1</v>
      </c>
      <c r="P235" s="4" t="str">
        <f>IF(Table1_1[[#This Row],[Income]]&lt;=30000,"Low ",IF(Table1_1[[#This Row],[Income]]&lt;=70000,"Middle","High"))</f>
        <v xml:space="preserve">Low </v>
      </c>
      <c r="Q235" s="6" t="str">
        <f>IF(Table1_1[[#This Row],[Age]]&lt;30,"Young",IF(Table1_1[[#This Row],[Age]]&lt;50,"Middle aged","Senior citizen"))</f>
        <v>Young</v>
      </c>
      <c r="R235" s="7">
        <f>IF(Table1_1[[#This Row],[Marriedarital SingletatuSingle]]="M",Table1_1[[#This Row],[Children]]+2,Table1_1[[#This Row],[Children]]+1)</f>
        <v>1</v>
      </c>
      <c r="S235" s="4" t="str">
        <f>IF(Table1_1[[#This Row],[Cars]]=0,"No","Yes")</f>
        <v>No</v>
      </c>
      <c r="T235" s="6" t="str">
        <f>IF(AND(Table1_1[[#This Row],[Income]]&gt;50000,Table1_1[[#This Row],[Home Owner]]="Yes"),"High stability","Low stability")</f>
        <v>Low stability</v>
      </c>
      <c r="U235" s="3">
        <f>Table1_1[[#This Row],[Income]]/Table1_1[[#This Row],[Family size]]</f>
        <v>20000</v>
      </c>
      <c r="V235" s="6" t="str">
        <f>IF(Table1_1[[#This Row],[Occupation]]="Skilled manual","Blue collar",IF(Table1_1[[#This Row],[Occupation]]="Manual","Blue collar","White collar"))</f>
        <v>White collar</v>
      </c>
    </row>
    <row r="236" spans="1:22" x14ac:dyDescent="0.3">
      <c r="A236" t="s">
        <v>270</v>
      </c>
      <c r="B236" s="6" t="s">
        <v>1044</v>
      </c>
      <c r="C236" s="6" t="s">
        <v>1046</v>
      </c>
      <c r="D236" s="3">
        <v>90000</v>
      </c>
      <c r="E236">
        <v>0</v>
      </c>
      <c r="F236" s="6" t="s">
        <v>13</v>
      </c>
      <c r="G236" s="6" t="s">
        <v>21</v>
      </c>
      <c r="H236" s="6" t="s">
        <v>18</v>
      </c>
      <c r="I236">
        <v>4</v>
      </c>
      <c r="J236" t="s">
        <v>30</v>
      </c>
      <c r="K2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36" s="6" t="s">
        <v>24</v>
      </c>
      <c r="M236" s="7">
        <v>35</v>
      </c>
      <c r="N236" t="s">
        <v>15</v>
      </c>
      <c r="O236" s="9" t="str">
        <f>IF(Table1_1[[#This Row],[Purchased Bike]]="yes","1","0")</f>
        <v>1</v>
      </c>
      <c r="P236" s="4" t="str">
        <f>IF(Table1_1[[#This Row],[Income]]&lt;=30000,"Low ",IF(Table1_1[[#This Row],[Income]]&lt;=70000,"Middle","High"))</f>
        <v>High</v>
      </c>
      <c r="Q236" s="6" t="str">
        <f>IF(Table1_1[[#This Row],[Age]]&lt;30,"Young",IF(Table1_1[[#This Row],[Age]]&lt;50,"Middle aged","Senior citizen"))</f>
        <v>Middle aged</v>
      </c>
      <c r="R236" s="7">
        <f>IF(Table1_1[[#This Row],[Marriedarital SingletatuSingle]]="M",Table1_1[[#This Row],[Children]]+2,Table1_1[[#This Row],[Children]]+1)</f>
        <v>1</v>
      </c>
      <c r="S236" s="4" t="str">
        <f>IF(Table1_1[[#This Row],[Cars]]=0,"No","Yes")</f>
        <v>Yes</v>
      </c>
      <c r="T236" s="6" t="str">
        <f>IF(AND(Table1_1[[#This Row],[Income]]&gt;50000,Table1_1[[#This Row],[Home Owner]]="Yes"),"High stability","Low stability")</f>
        <v>Low stability</v>
      </c>
      <c r="U236" s="3">
        <f>Table1_1[[#This Row],[Income]]/Table1_1[[#This Row],[Family size]]</f>
        <v>90000</v>
      </c>
      <c r="V236" s="6" t="str">
        <f>IF(Table1_1[[#This Row],[Occupation]]="Skilled manual","Blue collar",IF(Table1_1[[#This Row],[Occupation]]="Manual","Blue collar","White collar"))</f>
        <v>White collar</v>
      </c>
    </row>
    <row r="237" spans="1:22" x14ac:dyDescent="0.3">
      <c r="A237" t="s">
        <v>271</v>
      </c>
      <c r="B237" s="6" t="s">
        <v>1042</v>
      </c>
      <c r="C237" s="6" t="s">
        <v>1045</v>
      </c>
      <c r="D237" s="3">
        <v>10000</v>
      </c>
      <c r="E237">
        <v>1</v>
      </c>
      <c r="F237" s="6" t="s">
        <v>31</v>
      </c>
      <c r="G237" s="6" t="s">
        <v>20</v>
      </c>
      <c r="H237" s="6" t="s">
        <v>15</v>
      </c>
      <c r="I237">
        <v>0</v>
      </c>
      <c r="J237" t="s">
        <v>16</v>
      </c>
      <c r="K2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37" s="6" t="s">
        <v>17</v>
      </c>
      <c r="M237" s="7">
        <v>70</v>
      </c>
      <c r="N237" t="s">
        <v>15</v>
      </c>
      <c r="O237" s="9" t="str">
        <f>IF(Table1_1[[#This Row],[Purchased Bike]]="yes","1","0")</f>
        <v>1</v>
      </c>
      <c r="P237" s="4" t="str">
        <f>IF(Table1_1[[#This Row],[Income]]&lt;=30000,"Low ",IF(Table1_1[[#This Row],[Income]]&lt;=70000,"Middle","High"))</f>
        <v xml:space="preserve">Low </v>
      </c>
      <c r="Q237" s="6" t="str">
        <f>IF(Table1_1[[#This Row],[Age]]&lt;30,"Young",IF(Table1_1[[#This Row],[Age]]&lt;50,"Middle aged","Senior citizen"))</f>
        <v>Senior citizen</v>
      </c>
      <c r="R237" s="7">
        <f>IF(Table1_1[[#This Row],[Marriedarital SingletatuSingle]]="M",Table1_1[[#This Row],[Children]]+2,Table1_1[[#This Row],[Children]]+1)</f>
        <v>2</v>
      </c>
      <c r="S237" s="4" t="str">
        <f>IF(Table1_1[[#This Row],[Cars]]=0,"No","Yes")</f>
        <v>No</v>
      </c>
      <c r="T237" s="6" t="str">
        <f>IF(AND(Table1_1[[#This Row],[Income]]&gt;50000,Table1_1[[#This Row],[Home Owner]]="Yes"),"High stability","Low stability")</f>
        <v>Low stability</v>
      </c>
      <c r="U237" s="3">
        <f>Table1_1[[#This Row],[Income]]/Table1_1[[#This Row],[Family size]]</f>
        <v>5000</v>
      </c>
      <c r="V237" s="6" t="str">
        <f>IF(Table1_1[[#This Row],[Occupation]]="Skilled manual","Blue collar",IF(Table1_1[[#This Row],[Occupation]]="Manual","Blue collar","White collar"))</f>
        <v>White collar</v>
      </c>
    </row>
    <row r="238" spans="1:22" x14ac:dyDescent="0.3">
      <c r="A238" t="s">
        <v>272</v>
      </c>
      <c r="B238" s="6" t="s">
        <v>1044</v>
      </c>
      <c r="C238" s="6" t="s">
        <v>1045</v>
      </c>
      <c r="D238" s="3">
        <v>30000</v>
      </c>
      <c r="E238">
        <v>5</v>
      </c>
      <c r="F238" s="6" t="s">
        <v>31</v>
      </c>
      <c r="G238" s="6" t="s">
        <v>20</v>
      </c>
      <c r="H238" s="6" t="s">
        <v>15</v>
      </c>
      <c r="I238">
        <v>0</v>
      </c>
      <c r="J238" t="s">
        <v>16</v>
      </c>
      <c r="K2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38" s="6" t="s">
        <v>17</v>
      </c>
      <c r="M238" s="7">
        <v>44</v>
      </c>
      <c r="N238" t="s">
        <v>15</v>
      </c>
      <c r="O238" s="9" t="str">
        <f>IF(Table1_1[[#This Row],[Purchased Bike]]="yes","1","0")</f>
        <v>1</v>
      </c>
      <c r="P238" s="4" t="str">
        <f>IF(Table1_1[[#This Row],[Income]]&lt;=30000,"Low ",IF(Table1_1[[#This Row],[Income]]&lt;=70000,"Middle","High"))</f>
        <v xml:space="preserve">Low </v>
      </c>
      <c r="Q238" s="6" t="str">
        <f>IF(Table1_1[[#This Row],[Age]]&lt;30,"Young",IF(Table1_1[[#This Row],[Age]]&lt;50,"Middle aged","Senior citizen"))</f>
        <v>Middle aged</v>
      </c>
      <c r="R238" s="7">
        <f>IF(Table1_1[[#This Row],[Marriedarital SingletatuSingle]]="M",Table1_1[[#This Row],[Children]]+2,Table1_1[[#This Row],[Children]]+1)</f>
        <v>6</v>
      </c>
      <c r="S238" s="4" t="str">
        <f>IF(Table1_1[[#This Row],[Cars]]=0,"No","Yes")</f>
        <v>No</v>
      </c>
      <c r="T238" s="6" t="str">
        <f>IF(AND(Table1_1[[#This Row],[Income]]&gt;50000,Table1_1[[#This Row],[Home Owner]]="Yes"),"High stability","Low stability")</f>
        <v>Low stability</v>
      </c>
      <c r="U238" s="3">
        <f>Table1_1[[#This Row],[Income]]/Table1_1[[#This Row],[Family size]]</f>
        <v>5000</v>
      </c>
      <c r="V238" s="6" t="str">
        <f>IF(Table1_1[[#This Row],[Occupation]]="Skilled manual","Blue collar",IF(Table1_1[[#This Row],[Occupation]]="Manual","Blue collar","White collar"))</f>
        <v>White collar</v>
      </c>
    </row>
    <row r="239" spans="1:22" x14ac:dyDescent="0.3">
      <c r="A239" t="s">
        <v>273</v>
      </c>
      <c r="B239" s="6" t="s">
        <v>1042</v>
      </c>
      <c r="C239" s="6" t="s">
        <v>1045</v>
      </c>
      <c r="D239" s="3">
        <v>10000</v>
      </c>
      <c r="E239">
        <v>0</v>
      </c>
      <c r="F239" s="6" t="s">
        <v>19</v>
      </c>
      <c r="G239" s="6" t="s">
        <v>25</v>
      </c>
      <c r="H239" s="6" t="s">
        <v>18</v>
      </c>
      <c r="I239">
        <v>1</v>
      </c>
      <c r="J239" t="s">
        <v>16</v>
      </c>
      <c r="K2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39" s="6" t="s">
        <v>24</v>
      </c>
      <c r="M239" s="7">
        <v>26</v>
      </c>
      <c r="N239" t="s">
        <v>15</v>
      </c>
      <c r="O239" s="9" t="str">
        <f>IF(Table1_1[[#This Row],[Purchased Bike]]="yes","1","0")</f>
        <v>1</v>
      </c>
      <c r="P239" s="4" t="str">
        <f>IF(Table1_1[[#This Row],[Income]]&lt;=30000,"Low ",IF(Table1_1[[#This Row],[Income]]&lt;=70000,"Middle","High"))</f>
        <v xml:space="preserve">Low </v>
      </c>
      <c r="Q239" s="6" t="str">
        <f>IF(Table1_1[[#This Row],[Age]]&lt;30,"Young",IF(Table1_1[[#This Row],[Age]]&lt;50,"Middle aged","Senior citizen"))</f>
        <v>Young</v>
      </c>
      <c r="R239" s="7">
        <f>IF(Table1_1[[#This Row],[Marriedarital SingletatuSingle]]="M",Table1_1[[#This Row],[Children]]+2,Table1_1[[#This Row],[Children]]+1)</f>
        <v>1</v>
      </c>
      <c r="S239" s="4" t="str">
        <f>IF(Table1_1[[#This Row],[Cars]]=0,"No","Yes")</f>
        <v>Yes</v>
      </c>
      <c r="T239" s="6" t="str">
        <f>IF(AND(Table1_1[[#This Row],[Income]]&gt;50000,Table1_1[[#This Row],[Home Owner]]="Yes"),"High stability","Low stability")</f>
        <v>Low stability</v>
      </c>
      <c r="U239" s="3">
        <f>Table1_1[[#This Row],[Income]]/Table1_1[[#This Row],[Family size]]</f>
        <v>10000</v>
      </c>
      <c r="V239" s="6" t="str">
        <f>IF(Table1_1[[#This Row],[Occupation]]="Skilled manual","Blue collar",IF(Table1_1[[#This Row],[Occupation]]="Manual","Blue collar","White collar"))</f>
        <v>Blue collar</v>
      </c>
    </row>
    <row r="240" spans="1:22" x14ac:dyDescent="0.3">
      <c r="A240" t="s">
        <v>274</v>
      </c>
      <c r="B240" s="6" t="s">
        <v>1042</v>
      </c>
      <c r="C240" s="6" t="s">
        <v>1046</v>
      </c>
      <c r="D240" s="3">
        <v>70000</v>
      </c>
      <c r="E240">
        <v>5</v>
      </c>
      <c r="F240" s="6" t="s">
        <v>19</v>
      </c>
      <c r="G240" s="6" t="s">
        <v>14</v>
      </c>
      <c r="H240" s="6" t="s">
        <v>15</v>
      </c>
      <c r="I240">
        <v>3</v>
      </c>
      <c r="J240" t="s">
        <v>23</v>
      </c>
      <c r="K2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40" s="6" t="s">
        <v>24</v>
      </c>
      <c r="M240" s="7">
        <v>46</v>
      </c>
      <c r="N240" t="s">
        <v>18</v>
      </c>
      <c r="O240" s="9" t="str">
        <f>IF(Table1_1[[#This Row],[Purchased Bike]]="yes","1","0")</f>
        <v>0</v>
      </c>
      <c r="P240" s="4" t="str">
        <f>IF(Table1_1[[#This Row],[Income]]&lt;=30000,"Low ",IF(Table1_1[[#This Row],[Income]]&lt;=70000,"Middle","High"))</f>
        <v>Middle</v>
      </c>
      <c r="Q240" s="6" t="str">
        <f>IF(Table1_1[[#This Row],[Age]]&lt;30,"Young",IF(Table1_1[[#This Row],[Age]]&lt;50,"Middle aged","Senior citizen"))</f>
        <v>Middle aged</v>
      </c>
      <c r="R240" s="7">
        <f>IF(Table1_1[[#This Row],[Marriedarital SingletatuSingle]]="M",Table1_1[[#This Row],[Children]]+2,Table1_1[[#This Row],[Children]]+1)</f>
        <v>6</v>
      </c>
      <c r="S240" s="4" t="str">
        <f>IF(Table1_1[[#This Row],[Cars]]=0,"No","Yes")</f>
        <v>Yes</v>
      </c>
      <c r="T240" s="6" t="str">
        <f>IF(AND(Table1_1[[#This Row],[Income]]&gt;50000,Table1_1[[#This Row],[Home Owner]]="Yes"),"High stability","Low stability")</f>
        <v>High stability</v>
      </c>
      <c r="U240" s="3">
        <f>Table1_1[[#This Row],[Income]]/Table1_1[[#This Row],[Family size]]</f>
        <v>11666.666666666666</v>
      </c>
      <c r="V240" s="6" t="str">
        <f>IF(Table1_1[[#This Row],[Occupation]]="Skilled manual","Blue collar",IF(Table1_1[[#This Row],[Occupation]]="Manual","Blue collar","White collar"))</f>
        <v>Blue collar</v>
      </c>
    </row>
    <row r="241" spans="1:22" x14ac:dyDescent="0.3">
      <c r="A241" t="s">
        <v>275</v>
      </c>
      <c r="B241" s="6" t="s">
        <v>1044</v>
      </c>
      <c r="C241" s="6" t="s">
        <v>1045</v>
      </c>
      <c r="D241" s="3">
        <v>30000</v>
      </c>
      <c r="E241">
        <v>0</v>
      </c>
      <c r="F241" s="6" t="s">
        <v>27</v>
      </c>
      <c r="G241" s="6" t="s">
        <v>25</v>
      </c>
      <c r="H241" s="6" t="s">
        <v>18</v>
      </c>
      <c r="I241">
        <v>1</v>
      </c>
      <c r="J241" t="s">
        <v>22</v>
      </c>
      <c r="K2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41" s="6" t="s">
        <v>17</v>
      </c>
      <c r="M241" s="7">
        <v>34</v>
      </c>
      <c r="N241" t="s">
        <v>15</v>
      </c>
      <c r="O241" s="9" t="str">
        <f>IF(Table1_1[[#This Row],[Purchased Bike]]="yes","1","0")</f>
        <v>1</v>
      </c>
      <c r="P241" s="4" t="str">
        <f>IF(Table1_1[[#This Row],[Income]]&lt;=30000,"Low ",IF(Table1_1[[#This Row],[Income]]&lt;=70000,"Middle","High"))</f>
        <v xml:space="preserve">Low </v>
      </c>
      <c r="Q241" s="6" t="str">
        <f>IF(Table1_1[[#This Row],[Age]]&lt;30,"Young",IF(Table1_1[[#This Row],[Age]]&lt;50,"Middle aged","Senior citizen"))</f>
        <v>Middle aged</v>
      </c>
      <c r="R241" s="7">
        <f>IF(Table1_1[[#This Row],[Marriedarital SingletatuSingle]]="M",Table1_1[[#This Row],[Children]]+2,Table1_1[[#This Row],[Children]]+1)</f>
        <v>1</v>
      </c>
      <c r="S241" s="4" t="str">
        <f>IF(Table1_1[[#This Row],[Cars]]=0,"No","Yes")</f>
        <v>Yes</v>
      </c>
      <c r="T241" s="6" t="str">
        <f>IF(AND(Table1_1[[#This Row],[Income]]&gt;50000,Table1_1[[#This Row],[Home Owner]]="Yes"),"High stability","Low stability")</f>
        <v>Low stability</v>
      </c>
      <c r="U241" s="3">
        <f>Table1_1[[#This Row],[Income]]/Table1_1[[#This Row],[Family size]]</f>
        <v>30000</v>
      </c>
      <c r="V241" s="6" t="str">
        <f>IF(Table1_1[[#This Row],[Occupation]]="Skilled manual","Blue collar",IF(Table1_1[[#This Row],[Occupation]]="Manual","Blue collar","White collar"))</f>
        <v>Blue collar</v>
      </c>
    </row>
    <row r="242" spans="1:22" x14ac:dyDescent="0.3">
      <c r="A242" t="s">
        <v>276</v>
      </c>
      <c r="B242" s="6" t="s">
        <v>1042</v>
      </c>
      <c r="C242" s="6" t="s">
        <v>1046</v>
      </c>
      <c r="D242" s="3">
        <v>10000</v>
      </c>
      <c r="E242">
        <v>1</v>
      </c>
      <c r="F242" s="6" t="s">
        <v>31</v>
      </c>
      <c r="G242" s="6" t="s">
        <v>25</v>
      </c>
      <c r="H242" s="6" t="s">
        <v>15</v>
      </c>
      <c r="I242">
        <v>0</v>
      </c>
      <c r="J242" t="s">
        <v>16</v>
      </c>
      <c r="K2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42" s="6" t="s">
        <v>17</v>
      </c>
      <c r="M242" s="7">
        <v>37</v>
      </c>
      <c r="N242" t="s">
        <v>18</v>
      </c>
      <c r="O242" s="9" t="str">
        <f>IF(Table1_1[[#This Row],[Purchased Bike]]="yes","1","0")</f>
        <v>0</v>
      </c>
      <c r="P242" s="4" t="str">
        <f>IF(Table1_1[[#This Row],[Income]]&lt;=30000,"Low ",IF(Table1_1[[#This Row],[Income]]&lt;=70000,"Middle","High"))</f>
        <v xml:space="preserve">Low </v>
      </c>
      <c r="Q242" s="6" t="str">
        <f>IF(Table1_1[[#This Row],[Age]]&lt;30,"Young",IF(Table1_1[[#This Row],[Age]]&lt;50,"Middle aged","Senior citizen"))</f>
        <v>Middle aged</v>
      </c>
      <c r="R242" s="7">
        <f>IF(Table1_1[[#This Row],[Marriedarital SingletatuSingle]]="M",Table1_1[[#This Row],[Children]]+2,Table1_1[[#This Row],[Children]]+1)</f>
        <v>2</v>
      </c>
      <c r="S242" s="4" t="str">
        <f>IF(Table1_1[[#This Row],[Cars]]=0,"No","Yes")</f>
        <v>No</v>
      </c>
      <c r="T242" s="6" t="str">
        <f>IF(AND(Table1_1[[#This Row],[Income]]&gt;50000,Table1_1[[#This Row],[Home Owner]]="Yes"),"High stability","Low stability")</f>
        <v>Low stability</v>
      </c>
      <c r="U242" s="3">
        <f>Table1_1[[#This Row],[Income]]/Table1_1[[#This Row],[Family size]]</f>
        <v>5000</v>
      </c>
      <c r="V242" s="6" t="str">
        <f>IF(Table1_1[[#This Row],[Occupation]]="Skilled manual","Blue collar",IF(Table1_1[[#This Row],[Occupation]]="Manual","Blue collar","White collar"))</f>
        <v>Blue collar</v>
      </c>
    </row>
    <row r="243" spans="1:22" x14ac:dyDescent="0.3">
      <c r="A243" t="s">
        <v>277</v>
      </c>
      <c r="B243" s="6" t="s">
        <v>1044</v>
      </c>
      <c r="C243" s="6" t="s">
        <v>1045</v>
      </c>
      <c r="D243" s="3">
        <v>30000</v>
      </c>
      <c r="E243">
        <v>3</v>
      </c>
      <c r="F243" s="6" t="s">
        <v>19</v>
      </c>
      <c r="G243" s="6" t="s">
        <v>20</v>
      </c>
      <c r="H243" s="6" t="s">
        <v>15</v>
      </c>
      <c r="I243">
        <v>2</v>
      </c>
      <c r="J243" t="s">
        <v>16</v>
      </c>
      <c r="K2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43" s="6" t="s">
        <v>17</v>
      </c>
      <c r="M243" s="7">
        <v>27</v>
      </c>
      <c r="N243" t="s">
        <v>18</v>
      </c>
      <c r="O243" s="9" t="str">
        <f>IF(Table1_1[[#This Row],[Purchased Bike]]="yes","1","0")</f>
        <v>0</v>
      </c>
      <c r="P243" s="4" t="str">
        <f>IF(Table1_1[[#This Row],[Income]]&lt;=30000,"Low ",IF(Table1_1[[#This Row],[Income]]&lt;=70000,"Middle","High"))</f>
        <v xml:space="preserve">Low </v>
      </c>
      <c r="Q243" s="6" t="str">
        <f>IF(Table1_1[[#This Row],[Age]]&lt;30,"Young",IF(Table1_1[[#This Row],[Age]]&lt;50,"Middle aged","Senior citizen"))</f>
        <v>Young</v>
      </c>
      <c r="R243" s="7">
        <f>IF(Table1_1[[#This Row],[Marriedarital SingletatuSingle]]="M",Table1_1[[#This Row],[Children]]+2,Table1_1[[#This Row],[Children]]+1)</f>
        <v>4</v>
      </c>
      <c r="S243" s="4" t="str">
        <f>IF(Table1_1[[#This Row],[Cars]]=0,"No","Yes")</f>
        <v>Yes</v>
      </c>
      <c r="T243" s="6" t="str">
        <f>IF(AND(Table1_1[[#This Row],[Income]]&gt;50000,Table1_1[[#This Row],[Home Owner]]="Yes"),"High stability","Low stability")</f>
        <v>Low stability</v>
      </c>
      <c r="U243" s="3">
        <f>Table1_1[[#This Row],[Income]]/Table1_1[[#This Row],[Family size]]</f>
        <v>7500</v>
      </c>
      <c r="V243" s="6" t="str">
        <f>IF(Table1_1[[#This Row],[Occupation]]="Skilled manual","Blue collar",IF(Table1_1[[#This Row],[Occupation]]="Manual","Blue collar","White collar"))</f>
        <v>White collar</v>
      </c>
    </row>
    <row r="244" spans="1:22" x14ac:dyDescent="0.3">
      <c r="A244" t="s">
        <v>278</v>
      </c>
      <c r="B244" s="6" t="s">
        <v>1044</v>
      </c>
      <c r="C244" s="6" t="s">
        <v>1046</v>
      </c>
      <c r="D244" s="3">
        <v>30000</v>
      </c>
      <c r="E244">
        <v>1</v>
      </c>
      <c r="F244" s="6" t="s">
        <v>13</v>
      </c>
      <c r="G244" s="6" t="s">
        <v>20</v>
      </c>
      <c r="H244" s="6" t="s">
        <v>18</v>
      </c>
      <c r="I244">
        <v>1</v>
      </c>
      <c r="J244" t="s">
        <v>16</v>
      </c>
      <c r="K2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44" s="6" t="s">
        <v>17</v>
      </c>
      <c r="M244" s="7">
        <v>39</v>
      </c>
      <c r="N244" t="s">
        <v>15</v>
      </c>
      <c r="O244" s="9" t="str">
        <f>IF(Table1_1[[#This Row],[Purchased Bike]]="yes","1","0")</f>
        <v>1</v>
      </c>
      <c r="P244" s="4" t="str">
        <f>IF(Table1_1[[#This Row],[Income]]&lt;=30000,"Low ",IF(Table1_1[[#This Row],[Income]]&lt;=70000,"Middle","High"))</f>
        <v xml:space="preserve">Low </v>
      </c>
      <c r="Q244" s="6" t="str">
        <f>IF(Table1_1[[#This Row],[Age]]&lt;30,"Young",IF(Table1_1[[#This Row],[Age]]&lt;50,"Middle aged","Senior citizen"))</f>
        <v>Middle aged</v>
      </c>
      <c r="R244" s="7">
        <f>IF(Table1_1[[#This Row],[Marriedarital SingletatuSingle]]="M",Table1_1[[#This Row],[Children]]+2,Table1_1[[#This Row],[Children]]+1)</f>
        <v>2</v>
      </c>
      <c r="S244" s="4" t="str">
        <f>IF(Table1_1[[#This Row],[Cars]]=0,"No","Yes")</f>
        <v>Yes</v>
      </c>
      <c r="T244" s="6" t="str">
        <f>IF(AND(Table1_1[[#This Row],[Income]]&gt;50000,Table1_1[[#This Row],[Home Owner]]="Yes"),"High stability","Low stability")</f>
        <v>Low stability</v>
      </c>
      <c r="U244" s="3">
        <f>Table1_1[[#This Row],[Income]]/Table1_1[[#This Row],[Family size]]</f>
        <v>15000</v>
      </c>
      <c r="V244" s="6" t="str">
        <f>IF(Table1_1[[#This Row],[Occupation]]="Skilled manual","Blue collar",IF(Table1_1[[#This Row],[Occupation]]="Manual","Blue collar","White collar"))</f>
        <v>White collar</v>
      </c>
    </row>
    <row r="245" spans="1:22" x14ac:dyDescent="0.3">
      <c r="A245" t="s">
        <v>279</v>
      </c>
      <c r="B245" s="6" t="s">
        <v>1044</v>
      </c>
      <c r="C245" s="6" t="s">
        <v>1045</v>
      </c>
      <c r="D245" s="3">
        <v>20000</v>
      </c>
      <c r="E245">
        <v>0</v>
      </c>
      <c r="F245" s="6" t="s">
        <v>27</v>
      </c>
      <c r="G245" s="6" t="s">
        <v>25</v>
      </c>
      <c r="H245" s="6" t="s">
        <v>18</v>
      </c>
      <c r="I245">
        <v>1</v>
      </c>
      <c r="J245" t="s">
        <v>22</v>
      </c>
      <c r="K2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45" s="6" t="s">
        <v>17</v>
      </c>
      <c r="M245" s="7">
        <v>29</v>
      </c>
      <c r="N245" t="s">
        <v>18</v>
      </c>
      <c r="O245" s="9" t="str">
        <f>IF(Table1_1[[#This Row],[Purchased Bike]]="yes","1","0")</f>
        <v>0</v>
      </c>
      <c r="P245" s="4" t="str">
        <f>IF(Table1_1[[#This Row],[Income]]&lt;=30000,"Low ",IF(Table1_1[[#This Row],[Income]]&lt;=70000,"Middle","High"))</f>
        <v xml:space="preserve">Low </v>
      </c>
      <c r="Q245" s="6" t="str">
        <f>IF(Table1_1[[#This Row],[Age]]&lt;30,"Young",IF(Table1_1[[#This Row],[Age]]&lt;50,"Middle aged","Senior citizen"))</f>
        <v>Young</v>
      </c>
      <c r="R245" s="7">
        <f>IF(Table1_1[[#This Row],[Marriedarital SingletatuSingle]]="M",Table1_1[[#This Row],[Children]]+2,Table1_1[[#This Row],[Children]]+1)</f>
        <v>1</v>
      </c>
      <c r="S245" s="4" t="str">
        <f>IF(Table1_1[[#This Row],[Cars]]=0,"No","Yes")</f>
        <v>Yes</v>
      </c>
      <c r="T245" s="6" t="str">
        <f>IF(AND(Table1_1[[#This Row],[Income]]&gt;50000,Table1_1[[#This Row],[Home Owner]]="Yes"),"High stability","Low stability")</f>
        <v>Low stability</v>
      </c>
      <c r="U245" s="3">
        <f>Table1_1[[#This Row],[Income]]/Table1_1[[#This Row],[Family size]]</f>
        <v>20000</v>
      </c>
      <c r="V245" s="6" t="str">
        <f>IF(Table1_1[[#This Row],[Occupation]]="Skilled manual","Blue collar",IF(Table1_1[[#This Row],[Occupation]]="Manual","Blue collar","White collar"))</f>
        <v>Blue collar</v>
      </c>
    </row>
    <row r="246" spans="1:22" x14ac:dyDescent="0.3">
      <c r="A246" t="s">
        <v>280</v>
      </c>
      <c r="B246" s="6" t="s">
        <v>1042</v>
      </c>
      <c r="C246" s="6" t="s">
        <v>1045</v>
      </c>
      <c r="D246" s="3">
        <v>120000</v>
      </c>
      <c r="E246">
        <v>3</v>
      </c>
      <c r="F246" s="6" t="s">
        <v>13</v>
      </c>
      <c r="G246" s="6" t="s">
        <v>28</v>
      </c>
      <c r="H246" s="6" t="s">
        <v>18</v>
      </c>
      <c r="I246">
        <v>2</v>
      </c>
      <c r="J246" t="s">
        <v>30</v>
      </c>
      <c r="K2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46" s="6" t="s">
        <v>17</v>
      </c>
      <c r="M246" s="7">
        <v>52</v>
      </c>
      <c r="N246" t="s">
        <v>15</v>
      </c>
      <c r="O246" s="9" t="str">
        <f>IF(Table1_1[[#This Row],[Purchased Bike]]="yes","1","0")</f>
        <v>1</v>
      </c>
      <c r="P246" s="4" t="str">
        <f>IF(Table1_1[[#This Row],[Income]]&lt;=30000,"Low ",IF(Table1_1[[#This Row],[Income]]&lt;=70000,"Middle","High"))</f>
        <v>High</v>
      </c>
      <c r="Q246" s="6" t="str">
        <f>IF(Table1_1[[#This Row],[Age]]&lt;30,"Young",IF(Table1_1[[#This Row],[Age]]&lt;50,"Middle aged","Senior citizen"))</f>
        <v>Senior citizen</v>
      </c>
      <c r="R246" s="7">
        <f>IF(Table1_1[[#This Row],[Marriedarital SingletatuSingle]]="M",Table1_1[[#This Row],[Children]]+2,Table1_1[[#This Row],[Children]]+1)</f>
        <v>4</v>
      </c>
      <c r="S246" s="4" t="str">
        <f>IF(Table1_1[[#This Row],[Cars]]=0,"No","Yes")</f>
        <v>Yes</v>
      </c>
      <c r="T246" s="6" t="str">
        <f>IF(AND(Table1_1[[#This Row],[Income]]&gt;50000,Table1_1[[#This Row],[Home Owner]]="Yes"),"High stability","Low stability")</f>
        <v>Low stability</v>
      </c>
      <c r="U246" s="3">
        <f>Table1_1[[#This Row],[Income]]/Table1_1[[#This Row],[Family size]]</f>
        <v>30000</v>
      </c>
      <c r="V246" s="6" t="str">
        <f>IF(Table1_1[[#This Row],[Occupation]]="Skilled manual","Blue collar",IF(Table1_1[[#This Row],[Occupation]]="Manual","Blue collar","White collar"))</f>
        <v>White collar</v>
      </c>
    </row>
    <row r="247" spans="1:22" x14ac:dyDescent="0.3">
      <c r="A247" t="s">
        <v>281</v>
      </c>
      <c r="B247" s="6" t="s">
        <v>1042</v>
      </c>
      <c r="C247" s="6" t="s">
        <v>1046</v>
      </c>
      <c r="D247" s="3">
        <v>110000</v>
      </c>
      <c r="E247">
        <v>5</v>
      </c>
      <c r="F247" s="6" t="s">
        <v>13</v>
      </c>
      <c r="G247" s="6" t="s">
        <v>28</v>
      </c>
      <c r="H247" s="6" t="s">
        <v>15</v>
      </c>
      <c r="I247">
        <v>4</v>
      </c>
      <c r="J247" t="s">
        <v>22</v>
      </c>
      <c r="K2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47" s="6" t="s">
        <v>24</v>
      </c>
      <c r="M247" s="7">
        <v>48</v>
      </c>
      <c r="N247" t="s">
        <v>15</v>
      </c>
      <c r="O247" s="9" t="str">
        <f>IF(Table1_1[[#This Row],[Purchased Bike]]="yes","1","0")</f>
        <v>1</v>
      </c>
      <c r="P247" s="4" t="str">
        <f>IF(Table1_1[[#This Row],[Income]]&lt;=30000,"Low ",IF(Table1_1[[#This Row],[Income]]&lt;=70000,"Middle","High"))</f>
        <v>High</v>
      </c>
      <c r="Q247" s="6" t="str">
        <f>IF(Table1_1[[#This Row],[Age]]&lt;30,"Young",IF(Table1_1[[#This Row],[Age]]&lt;50,"Middle aged","Senior citizen"))</f>
        <v>Middle aged</v>
      </c>
      <c r="R247" s="7">
        <f>IF(Table1_1[[#This Row],[Marriedarital SingletatuSingle]]="M",Table1_1[[#This Row],[Children]]+2,Table1_1[[#This Row],[Children]]+1)</f>
        <v>6</v>
      </c>
      <c r="S247" s="4" t="str">
        <f>IF(Table1_1[[#This Row],[Cars]]=0,"No","Yes")</f>
        <v>Yes</v>
      </c>
      <c r="T247" s="6" t="str">
        <f>IF(AND(Table1_1[[#This Row],[Income]]&gt;50000,Table1_1[[#This Row],[Home Owner]]="Yes"),"High stability","Low stability")</f>
        <v>High stability</v>
      </c>
      <c r="U247" s="3">
        <f>Table1_1[[#This Row],[Income]]/Table1_1[[#This Row],[Family size]]</f>
        <v>18333.333333333332</v>
      </c>
      <c r="V247" s="6" t="str">
        <f>IF(Table1_1[[#This Row],[Occupation]]="Skilled manual","Blue collar",IF(Table1_1[[#This Row],[Occupation]]="Manual","Blue collar","White collar"))</f>
        <v>White collar</v>
      </c>
    </row>
    <row r="248" spans="1:22" x14ac:dyDescent="0.3">
      <c r="A248" t="s">
        <v>282</v>
      </c>
      <c r="B248" s="6" t="s">
        <v>1042</v>
      </c>
      <c r="C248" s="6" t="s">
        <v>1045</v>
      </c>
      <c r="D248" s="3">
        <v>130000</v>
      </c>
      <c r="E248">
        <v>3</v>
      </c>
      <c r="F248" s="6" t="s">
        <v>19</v>
      </c>
      <c r="G248" s="6" t="s">
        <v>21</v>
      </c>
      <c r="H248" s="6" t="s">
        <v>15</v>
      </c>
      <c r="I248">
        <v>3</v>
      </c>
      <c r="J248" t="s">
        <v>16</v>
      </c>
      <c r="K2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48" s="6" t="s">
        <v>17</v>
      </c>
      <c r="M248" s="7">
        <v>51</v>
      </c>
      <c r="N248" t="s">
        <v>15</v>
      </c>
      <c r="O248" s="9" t="str">
        <f>IF(Table1_1[[#This Row],[Purchased Bike]]="yes","1","0")</f>
        <v>1</v>
      </c>
      <c r="P248" s="4" t="str">
        <f>IF(Table1_1[[#This Row],[Income]]&lt;=30000,"Low ",IF(Table1_1[[#This Row],[Income]]&lt;=70000,"Middle","High"))</f>
        <v>High</v>
      </c>
      <c r="Q248" s="6" t="str">
        <f>IF(Table1_1[[#This Row],[Age]]&lt;30,"Young",IF(Table1_1[[#This Row],[Age]]&lt;50,"Middle aged","Senior citizen"))</f>
        <v>Senior citizen</v>
      </c>
      <c r="R248" s="7">
        <f>IF(Table1_1[[#This Row],[Marriedarital SingletatuSingle]]="M",Table1_1[[#This Row],[Children]]+2,Table1_1[[#This Row],[Children]]+1)</f>
        <v>4</v>
      </c>
      <c r="S248" s="4" t="str">
        <f>IF(Table1_1[[#This Row],[Cars]]=0,"No","Yes")</f>
        <v>Yes</v>
      </c>
      <c r="T248" s="6" t="str">
        <f>IF(AND(Table1_1[[#This Row],[Income]]&gt;50000,Table1_1[[#This Row],[Home Owner]]="Yes"),"High stability","Low stability")</f>
        <v>High stability</v>
      </c>
      <c r="U248" s="3">
        <f>Table1_1[[#This Row],[Income]]/Table1_1[[#This Row],[Family size]]</f>
        <v>32500</v>
      </c>
      <c r="V248" s="6" t="str">
        <f>IF(Table1_1[[#This Row],[Occupation]]="Skilled manual","Blue collar",IF(Table1_1[[#This Row],[Occupation]]="Manual","Blue collar","White collar"))</f>
        <v>White collar</v>
      </c>
    </row>
    <row r="249" spans="1:22" x14ac:dyDescent="0.3">
      <c r="A249" t="s">
        <v>283</v>
      </c>
      <c r="B249" s="6" t="s">
        <v>1042</v>
      </c>
      <c r="C249" s="6" t="s">
        <v>1045</v>
      </c>
      <c r="D249" s="3">
        <v>100000</v>
      </c>
      <c r="E249">
        <v>0</v>
      </c>
      <c r="F249" s="6" t="s">
        <v>27</v>
      </c>
      <c r="G249" s="6" t="s">
        <v>28</v>
      </c>
      <c r="H249" s="6" t="s">
        <v>15</v>
      </c>
      <c r="I249">
        <v>4</v>
      </c>
      <c r="J249" t="s">
        <v>30</v>
      </c>
      <c r="K2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49" s="6" t="s">
        <v>24</v>
      </c>
      <c r="M249" s="7">
        <v>34</v>
      </c>
      <c r="N249" t="s">
        <v>15</v>
      </c>
      <c r="O249" s="9" t="str">
        <f>IF(Table1_1[[#This Row],[Purchased Bike]]="yes","1","0")</f>
        <v>1</v>
      </c>
      <c r="P249" s="4" t="str">
        <f>IF(Table1_1[[#This Row],[Income]]&lt;=30000,"Low ",IF(Table1_1[[#This Row],[Income]]&lt;=70000,"Middle","High"))</f>
        <v>High</v>
      </c>
      <c r="Q249" s="6" t="str">
        <f>IF(Table1_1[[#This Row],[Age]]&lt;30,"Young",IF(Table1_1[[#This Row],[Age]]&lt;50,"Middle aged","Senior citizen"))</f>
        <v>Middle aged</v>
      </c>
      <c r="R249" s="7">
        <f>IF(Table1_1[[#This Row],[Marriedarital SingletatuSingle]]="M",Table1_1[[#This Row],[Children]]+2,Table1_1[[#This Row],[Children]]+1)</f>
        <v>1</v>
      </c>
      <c r="S249" s="4" t="str">
        <f>IF(Table1_1[[#This Row],[Cars]]=0,"No","Yes")</f>
        <v>Yes</v>
      </c>
      <c r="T249" s="6" t="str">
        <f>IF(AND(Table1_1[[#This Row],[Income]]&gt;50000,Table1_1[[#This Row],[Home Owner]]="Yes"),"High stability","Low stability")</f>
        <v>High stability</v>
      </c>
      <c r="U249" s="3">
        <f>Table1_1[[#This Row],[Income]]/Table1_1[[#This Row],[Family size]]</f>
        <v>100000</v>
      </c>
      <c r="V249" s="6" t="str">
        <f>IF(Table1_1[[#This Row],[Occupation]]="Skilled manual","Blue collar",IF(Table1_1[[#This Row],[Occupation]]="Manual","Blue collar","White collar"))</f>
        <v>White collar</v>
      </c>
    </row>
    <row r="250" spans="1:22" x14ac:dyDescent="0.3">
      <c r="A250" t="s">
        <v>284</v>
      </c>
      <c r="B250" s="6" t="s">
        <v>1042</v>
      </c>
      <c r="C250" s="6" t="s">
        <v>1045</v>
      </c>
      <c r="D250" s="3">
        <v>10000</v>
      </c>
      <c r="E250">
        <v>5</v>
      </c>
      <c r="F250" s="6" t="s">
        <v>27</v>
      </c>
      <c r="G250" s="6" t="s">
        <v>14</v>
      </c>
      <c r="H250" s="6" t="s">
        <v>18</v>
      </c>
      <c r="I250">
        <v>3</v>
      </c>
      <c r="J250" t="s">
        <v>26</v>
      </c>
      <c r="K2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50" s="6" t="s">
        <v>24</v>
      </c>
      <c r="M250" s="7">
        <v>62</v>
      </c>
      <c r="N250" t="s">
        <v>18</v>
      </c>
      <c r="O250" s="9" t="str">
        <f>IF(Table1_1[[#This Row],[Purchased Bike]]="yes","1","0")</f>
        <v>0</v>
      </c>
      <c r="P250" s="4" t="str">
        <f>IF(Table1_1[[#This Row],[Income]]&lt;=30000,"Low ",IF(Table1_1[[#This Row],[Income]]&lt;=70000,"Middle","High"))</f>
        <v xml:space="preserve">Low </v>
      </c>
      <c r="Q250" s="6" t="str">
        <f>IF(Table1_1[[#This Row],[Age]]&lt;30,"Young",IF(Table1_1[[#This Row],[Age]]&lt;50,"Middle aged","Senior citizen"))</f>
        <v>Senior citizen</v>
      </c>
      <c r="R250" s="7">
        <f>IF(Table1_1[[#This Row],[Marriedarital SingletatuSingle]]="M",Table1_1[[#This Row],[Children]]+2,Table1_1[[#This Row],[Children]]+1)</f>
        <v>6</v>
      </c>
      <c r="S250" s="4" t="str">
        <f>IF(Table1_1[[#This Row],[Cars]]=0,"No","Yes")</f>
        <v>Yes</v>
      </c>
      <c r="T250" s="6" t="str">
        <f>IF(AND(Table1_1[[#This Row],[Income]]&gt;50000,Table1_1[[#This Row],[Home Owner]]="Yes"),"High stability","Low stability")</f>
        <v>Low stability</v>
      </c>
      <c r="U250" s="3">
        <f>Table1_1[[#This Row],[Income]]/Table1_1[[#This Row],[Family size]]</f>
        <v>1666.6666666666667</v>
      </c>
      <c r="V250" s="6" t="str">
        <f>IF(Table1_1[[#This Row],[Occupation]]="Skilled manual","Blue collar",IF(Table1_1[[#This Row],[Occupation]]="Manual","Blue collar","White collar"))</f>
        <v>Blue collar</v>
      </c>
    </row>
    <row r="251" spans="1:22" x14ac:dyDescent="0.3">
      <c r="A251" t="s">
        <v>285</v>
      </c>
      <c r="B251" s="6" t="s">
        <v>1044</v>
      </c>
      <c r="C251" s="6" t="s">
        <v>1046</v>
      </c>
      <c r="D251" s="3">
        <v>70000</v>
      </c>
      <c r="E251">
        <v>0</v>
      </c>
      <c r="F251" s="6" t="s">
        <v>13</v>
      </c>
      <c r="G251" s="6" t="s">
        <v>21</v>
      </c>
      <c r="H251" s="6" t="s">
        <v>15</v>
      </c>
      <c r="I251">
        <v>1</v>
      </c>
      <c r="J251" t="s">
        <v>23</v>
      </c>
      <c r="K2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51" s="6" t="s">
        <v>24</v>
      </c>
      <c r="M251" s="7">
        <v>37</v>
      </c>
      <c r="N251" t="s">
        <v>15</v>
      </c>
      <c r="O251" s="9" t="str">
        <f>IF(Table1_1[[#This Row],[Purchased Bike]]="yes","1","0")</f>
        <v>1</v>
      </c>
      <c r="P251" s="4" t="str">
        <f>IF(Table1_1[[#This Row],[Income]]&lt;=30000,"Low ",IF(Table1_1[[#This Row],[Income]]&lt;=70000,"Middle","High"))</f>
        <v>Middle</v>
      </c>
      <c r="Q251" s="6" t="str">
        <f>IF(Table1_1[[#This Row],[Age]]&lt;30,"Young",IF(Table1_1[[#This Row],[Age]]&lt;50,"Middle aged","Senior citizen"))</f>
        <v>Middle aged</v>
      </c>
      <c r="R251" s="7">
        <f>IF(Table1_1[[#This Row],[Marriedarital SingletatuSingle]]="M",Table1_1[[#This Row],[Children]]+2,Table1_1[[#This Row],[Children]]+1)</f>
        <v>1</v>
      </c>
      <c r="S251" s="4" t="str">
        <f>IF(Table1_1[[#This Row],[Cars]]=0,"No","Yes")</f>
        <v>Yes</v>
      </c>
      <c r="T251" s="6" t="str">
        <f>IF(AND(Table1_1[[#This Row],[Income]]&gt;50000,Table1_1[[#This Row],[Home Owner]]="Yes"),"High stability","Low stability")</f>
        <v>High stability</v>
      </c>
      <c r="U251" s="3">
        <f>Table1_1[[#This Row],[Income]]/Table1_1[[#This Row],[Family size]]</f>
        <v>70000</v>
      </c>
      <c r="V251" s="6" t="str">
        <f>IF(Table1_1[[#This Row],[Occupation]]="Skilled manual","Blue collar",IF(Table1_1[[#This Row],[Occupation]]="Manual","Blue collar","White collar"))</f>
        <v>White collar</v>
      </c>
    </row>
    <row r="252" spans="1:22" x14ac:dyDescent="0.3">
      <c r="A252" t="s">
        <v>286</v>
      </c>
      <c r="B252" s="6" t="s">
        <v>1042</v>
      </c>
      <c r="C252" s="6" t="s">
        <v>1046</v>
      </c>
      <c r="D252" s="3">
        <v>100000</v>
      </c>
      <c r="E252">
        <v>5</v>
      </c>
      <c r="F252" s="6" t="s">
        <v>31</v>
      </c>
      <c r="G252" s="6" t="s">
        <v>28</v>
      </c>
      <c r="H252" s="6" t="s">
        <v>18</v>
      </c>
      <c r="I252">
        <v>1</v>
      </c>
      <c r="J252" t="s">
        <v>26</v>
      </c>
      <c r="K2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52" s="6" t="s">
        <v>24</v>
      </c>
      <c r="M252" s="7">
        <v>78</v>
      </c>
      <c r="N252" t="s">
        <v>15</v>
      </c>
      <c r="O252" s="9" t="str">
        <f>IF(Table1_1[[#This Row],[Purchased Bike]]="yes","1","0")</f>
        <v>1</v>
      </c>
      <c r="P252" s="4" t="str">
        <f>IF(Table1_1[[#This Row],[Income]]&lt;=30000,"Low ",IF(Table1_1[[#This Row],[Income]]&lt;=70000,"Middle","High"))</f>
        <v>High</v>
      </c>
      <c r="Q252" s="6" t="str">
        <f>IF(Table1_1[[#This Row],[Age]]&lt;30,"Young",IF(Table1_1[[#This Row],[Age]]&lt;50,"Middle aged","Senior citizen"))</f>
        <v>Senior citizen</v>
      </c>
      <c r="R252" s="7">
        <f>IF(Table1_1[[#This Row],[Marriedarital SingletatuSingle]]="M",Table1_1[[#This Row],[Children]]+2,Table1_1[[#This Row],[Children]]+1)</f>
        <v>6</v>
      </c>
      <c r="S252" s="4" t="str">
        <f>IF(Table1_1[[#This Row],[Cars]]=0,"No","Yes")</f>
        <v>Yes</v>
      </c>
      <c r="T252" s="6" t="str">
        <f>IF(AND(Table1_1[[#This Row],[Income]]&gt;50000,Table1_1[[#This Row],[Home Owner]]="Yes"),"High stability","Low stability")</f>
        <v>Low stability</v>
      </c>
      <c r="U252" s="3">
        <f>Table1_1[[#This Row],[Income]]/Table1_1[[#This Row],[Family size]]</f>
        <v>16666.666666666668</v>
      </c>
      <c r="V252" s="6" t="str">
        <f>IF(Table1_1[[#This Row],[Occupation]]="Skilled manual","Blue collar",IF(Table1_1[[#This Row],[Occupation]]="Manual","Blue collar","White collar"))</f>
        <v>White collar</v>
      </c>
    </row>
    <row r="253" spans="1:22" x14ac:dyDescent="0.3">
      <c r="A253" t="s">
        <v>287</v>
      </c>
      <c r="B253" s="6" t="s">
        <v>1042</v>
      </c>
      <c r="C253" s="6" t="s">
        <v>1046</v>
      </c>
      <c r="D253" s="3">
        <v>130000</v>
      </c>
      <c r="E253">
        <v>4</v>
      </c>
      <c r="F253" s="6" t="s">
        <v>27</v>
      </c>
      <c r="G253" s="6" t="s">
        <v>21</v>
      </c>
      <c r="H253" s="6" t="s">
        <v>15</v>
      </c>
      <c r="I253">
        <v>3</v>
      </c>
      <c r="J253" t="s">
        <v>16</v>
      </c>
      <c r="K2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53" s="6" t="s">
        <v>17</v>
      </c>
      <c r="M253" s="7">
        <v>55</v>
      </c>
      <c r="N253" t="s">
        <v>18</v>
      </c>
      <c r="O253" s="9" t="str">
        <f>IF(Table1_1[[#This Row],[Purchased Bike]]="yes","1","0")</f>
        <v>0</v>
      </c>
      <c r="P253" s="4" t="str">
        <f>IF(Table1_1[[#This Row],[Income]]&lt;=30000,"Low ",IF(Table1_1[[#This Row],[Income]]&lt;=70000,"Middle","High"))</f>
        <v>High</v>
      </c>
      <c r="Q253" s="6" t="str">
        <f>IF(Table1_1[[#This Row],[Age]]&lt;30,"Young",IF(Table1_1[[#This Row],[Age]]&lt;50,"Middle aged","Senior citizen"))</f>
        <v>Senior citizen</v>
      </c>
      <c r="R253" s="7">
        <f>IF(Table1_1[[#This Row],[Marriedarital SingletatuSingle]]="M",Table1_1[[#This Row],[Children]]+2,Table1_1[[#This Row],[Children]]+1)</f>
        <v>5</v>
      </c>
      <c r="S253" s="4" t="str">
        <f>IF(Table1_1[[#This Row],[Cars]]=0,"No","Yes")</f>
        <v>Yes</v>
      </c>
      <c r="T253" s="6" t="str">
        <f>IF(AND(Table1_1[[#This Row],[Income]]&gt;50000,Table1_1[[#This Row],[Home Owner]]="Yes"),"High stability","Low stability")</f>
        <v>High stability</v>
      </c>
      <c r="U253" s="3">
        <f>Table1_1[[#This Row],[Income]]/Table1_1[[#This Row],[Family size]]</f>
        <v>26000</v>
      </c>
      <c r="V253" s="6" t="str">
        <f>IF(Table1_1[[#This Row],[Occupation]]="Skilled manual","Blue collar",IF(Table1_1[[#This Row],[Occupation]]="Manual","Blue collar","White collar"))</f>
        <v>White collar</v>
      </c>
    </row>
    <row r="254" spans="1:22" x14ac:dyDescent="0.3">
      <c r="A254" t="s">
        <v>288</v>
      </c>
      <c r="B254" s="6" t="s">
        <v>1044</v>
      </c>
      <c r="C254" s="6" t="s">
        <v>1046</v>
      </c>
      <c r="D254" s="3">
        <v>60000</v>
      </c>
      <c r="E254">
        <v>0</v>
      </c>
      <c r="F254" s="6" t="s">
        <v>13</v>
      </c>
      <c r="G254" s="6" t="s">
        <v>21</v>
      </c>
      <c r="H254" s="6" t="s">
        <v>18</v>
      </c>
      <c r="I254">
        <v>4</v>
      </c>
      <c r="J254" t="s">
        <v>22</v>
      </c>
      <c r="K2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54" s="6" t="s">
        <v>24</v>
      </c>
      <c r="M254" s="7">
        <v>31</v>
      </c>
      <c r="N254" t="s">
        <v>18</v>
      </c>
      <c r="O254" s="9" t="str">
        <f>IF(Table1_1[[#This Row],[Purchased Bike]]="yes","1","0")</f>
        <v>0</v>
      </c>
      <c r="P254" s="4" t="str">
        <f>IF(Table1_1[[#This Row],[Income]]&lt;=30000,"Low ",IF(Table1_1[[#This Row],[Income]]&lt;=70000,"Middle","High"))</f>
        <v>Middle</v>
      </c>
      <c r="Q254" s="6" t="str">
        <f>IF(Table1_1[[#This Row],[Age]]&lt;30,"Young",IF(Table1_1[[#This Row],[Age]]&lt;50,"Middle aged","Senior citizen"))</f>
        <v>Middle aged</v>
      </c>
      <c r="R254" s="7">
        <f>IF(Table1_1[[#This Row],[Marriedarital SingletatuSingle]]="M",Table1_1[[#This Row],[Children]]+2,Table1_1[[#This Row],[Children]]+1)</f>
        <v>1</v>
      </c>
      <c r="S254" s="4" t="str">
        <f>IF(Table1_1[[#This Row],[Cars]]=0,"No","Yes")</f>
        <v>Yes</v>
      </c>
      <c r="T254" s="6" t="str">
        <f>IF(AND(Table1_1[[#This Row],[Income]]&gt;50000,Table1_1[[#This Row],[Home Owner]]="Yes"),"High stability","Low stability")</f>
        <v>Low stability</v>
      </c>
      <c r="U254" s="3">
        <f>Table1_1[[#This Row],[Income]]/Table1_1[[#This Row],[Family size]]</f>
        <v>60000</v>
      </c>
      <c r="V254" s="6" t="str">
        <f>IF(Table1_1[[#This Row],[Occupation]]="Skilled manual","Blue collar",IF(Table1_1[[#This Row],[Occupation]]="Manual","Blue collar","White collar"))</f>
        <v>White collar</v>
      </c>
    </row>
    <row r="255" spans="1:22" x14ac:dyDescent="0.3">
      <c r="A255" t="s">
        <v>289</v>
      </c>
      <c r="B255" s="6" t="s">
        <v>1042</v>
      </c>
      <c r="C255" s="6" t="s">
        <v>1046</v>
      </c>
      <c r="D255" s="3">
        <v>100000</v>
      </c>
      <c r="E255">
        <v>3</v>
      </c>
      <c r="F255" s="6" t="s">
        <v>29</v>
      </c>
      <c r="G255" s="6" t="s">
        <v>21</v>
      </c>
      <c r="H255" s="6" t="s">
        <v>15</v>
      </c>
      <c r="I255">
        <v>0</v>
      </c>
      <c r="J255" t="s">
        <v>30</v>
      </c>
      <c r="K2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55" s="6" t="s">
        <v>17</v>
      </c>
      <c r="M255" s="7">
        <v>59</v>
      </c>
      <c r="N255" t="s">
        <v>15</v>
      </c>
      <c r="O255" s="9" t="str">
        <f>IF(Table1_1[[#This Row],[Purchased Bike]]="yes","1","0")</f>
        <v>1</v>
      </c>
      <c r="P255" s="4" t="str">
        <f>IF(Table1_1[[#This Row],[Income]]&lt;=30000,"Low ",IF(Table1_1[[#This Row],[Income]]&lt;=70000,"Middle","High"))</f>
        <v>High</v>
      </c>
      <c r="Q255" s="6" t="str">
        <f>IF(Table1_1[[#This Row],[Age]]&lt;30,"Young",IF(Table1_1[[#This Row],[Age]]&lt;50,"Middle aged","Senior citizen"))</f>
        <v>Senior citizen</v>
      </c>
      <c r="R255" s="7">
        <f>IF(Table1_1[[#This Row],[Marriedarital SingletatuSingle]]="M",Table1_1[[#This Row],[Children]]+2,Table1_1[[#This Row],[Children]]+1)</f>
        <v>4</v>
      </c>
      <c r="S255" s="4" t="str">
        <f>IF(Table1_1[[#This Row],[Cars]]=0,"No","Yes")</f>
        <v>No</v>
      </c>
      <c r="T255" s="6" t="str">
        <f>IF(AND(Table1_1[[#This Row],[Income]]&gt;50000,Table1_1[[#This Row],[Home Owner]]="Yes"),"High stability","Low stability")</f>
        <v>High stability</v>
      </c>
      <c r="U255" s="3">
        <f>Table1_1[[#This Row],[Income]]/Table1_1[[#This Row],[Family size]]</f>
        <v>25000</v>
      </c>
      <c r="V255" s="6" t="str">
        <f>IF(Table1_1[[#This Row],[Occupation]]="Skilled manual","Blue collar",IF(Table1_1[[#This Row],[Occupation]]="Manual","Blue collar","White collar"))</f>
        <v>White collar</v>
      </c>
    </row>
    <row r="256" spans="1:22" x14ac:dyDescent="0.3">
      <c r="A256" t="s">
        <v>290</v>
      </c>
      <c r="B256" s="6" t="s">
        <v>1044</v>
      </c>
      <c r="C256" s="6" t="s">
        <v>1046</v>
      </c>
      <c r="D256" s="3">
        <v>20000</v>
      </c>
      <c r="E256">
        <v>2</v>
      </c>
      <c r="F256" s="6" t="s">
        <v>29</v>
      </c>
      <c r="G256" s="6" t="s">
        <v>20</v>
      </c>
      <c r="H256" s="6" t="s">
        <v>15</v>
      </c>
      <c r="I256">
        <v>2</v>
      </c>
      <c r="J256" t="s">
        <v>23</v>
      </c>
      <c r="K2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56" s="6" t="s">
        <v>24</v>
      </c>
      <c r="M256" s="7">
        <v>57</v>
      </c>
      <c r="N256" t="s">
        <v>18</v>
      </c>
      <c r="O256" s="9" t="str">
        <f>IF(Table1_1[[#This Row],[Purchased Bike]]="yes","1","0")</f>
        <v>0</v>
      </c>
      <c r="P256" s="4" t="str">
        <f>IF(Table1_1[[#This Row],[Income]]&lt;=30000,"Low ",IF(Table1_1[[#This Row],[Income]]&lt;=70000,"Middle","High"))</f>
        <v xml:space="preserve">Low </v>
      </c>
      <c r="Q256" s="6" t="str">
        <f>IF(Table1_1[[#This Row],[Age]]&lt;30,"Young",IF(Table1_1[[#This Row],[Age]]&lt;50,"Middle aged","Senior citizen"))</f>
        <v>Senior citizen</v>
      </c>
      <c r="R256" s="7">
        <f>IF(Table1_1[[#This Row],[Marriedarital SingletatuSingle]]="M",Table1_1[[#This Row],[Children]]+2,Table1_1[[#This Row],[Children]]+1)</f>
        <v>3</v>
      </c>
      <c r="S256" s="4" t="str">
        <f>IF(Table1_1[[#This Row],[Cars]]=0,"No","Yes")</f>
        <v>Yes</v>
      </c>
      <c r="T256" s="6" t="str">
        <f>IF(AND(Table1_1[[#This Row],[Income]]&gt;50000,Table1_1[[#This Row],[Home Owner]]="Yes"),"High stability","Low stability")</f>
        <v>Low stability</v>
      </c>
      <c r="U256" s="3">
        <f>Table1_1[[#This Row],[Income]]/Table1_1[[#This Row],[Family size]]</f>
        <v>6666.666666666667</v>
      </c>
      <c r="V256" s="6" t="str">
        <f>IF(Table1_1[[#This Row],[Occupation]]="Skilled manual","Blue collar",IF(Table1_1[[#This Row],[Occupation]]="Manual","Blue collar","White collar"))</f>
        <v>White collar</v>
      </c>
    </row>
    <row r="257" spans="1:22" x14ac:dyDescent="0.3">
      <c r="A257" t="s">
        <v>291</v>
      </c>
      <c r="B257" s="6" t="s">
        <v>1044</v>
      </c>
      <c r="C257" s="6" t="s">
        <v>1045</v>
      </c>
      <c r="D257" s="3">
        <v>30000</v>
      </c>
      <c r="E257">
        <v>3</v>
      </c>
      <c r="F257" s="6" t="s">
        <v>31</v>
      </c>
      <c r="G257" s="6" t="s">
        <v>20</v>
      </c>
      <c r="H257" s="6" t="s">
        <v>15</v>
      </c>
      <c r="I257">
        <v>0</v>
      </c>
      <c r="J257" t="s">
        <v>16</v>
      </c>
      <c r="K2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57" s="6" t="s">
        <v>17</v>
      </c>
      <c r="M257" s="7">
        <v>47</v>
      </c>
      <c r="N257" t="s">
        <v>15</v>
      </c>
      <c r="O257" s="9" t="str">
        <f>IF(Table1_1[[#This Row],[Purchased Bike]]="yes","1","0")</f>
        <v>1</v>
      </c>
      <c r="P257" s="4" t="str">
        <f>IF(Table1_1[[#This Row],[Income]]&lt;=30000,"Low ",IF(Table1_1[[#This Row],[Income]]&lt;=70000,"Middle","High"))</f>
        <v xml:space="preserve">Low </v>
      </c>
      <c r="Q257" s="6" t="str">
        <f>IF(Table1_1[[#This Row],[Age]]&lt;30,"Young",IF(Table1_1[[#This Row],[Age]]&lt;50,"Middle aged","Senior citizen"))</f>
        <v>Middle aged</v>
      </c>
      <c r="R257" s="7">
        <f>IF(Table1_1[[#This Row],[Marriedarital SingletatuSingle]]="M",Table1_1[[#This Row],[Children]]+2,Table1_1[[#This Row],[Children]]+1)</f>
        <v>4</v>
      </c>
      <c r="S257" s="4" t="str">
        <f>IF(Table1_1[[#This Row],[Cars]]=0,"No","Yes")</f>
        <v>No</v>
      </c>
      <c r="T257" s="6" t="str">
        <f>IF(AND(Table1_1[[#This Row],[Income]]&gt;50000,Table1_1[[#This Row],[Home Owner]]="Yes"),"High stability","Low stability")</f>
        <v>Low stability</v>
      </c>
      <c r="U257" s="3">
        <f>Table1_1[[#This Row],[Income]]/Table1_1[[#This Row],[Family size]]</f>
        <v>7500</v>
      </c>
      <c r="V257" s="6" t="str">
        <f>IF(Table1_1[[#This Row],[Occupation]]="Skilled manual","Blue collar",IF(Table1_1[[#This Row],[Occupation]]="Manual","Blue collar","White collar"))</f>
        <v>White collar</v>
      </c>
    </row>
    <row r="258" spans="1:22" x14ac:dyDescent="0.3">
      <c r="A258" t="s">
        <v>292</v>
      </c>
      <c r="B258" s="6" t="s">
        <v>1042</v>
      </c>
      <c r="C258" s="6" t="s">
        <v>1046</v>
      </c>
      <c r="D258" s="3">
        <v>20000</v>
      </c>
      <c r="E258">
        <v>1</v>
      </c>
      <c r="F258" s="6" t="s">
        <v>31</v>
      </c>
      <c r="G258" s="6" t="s">
        <v>20</v>
      </c>
      <c r="H258" s="6" t="s">
        <v>15</v>
      </c>
      <c r="I258">
        <v>0</v>
      </c>
      <c r="J258" t="s">
        <v>16</v>
      </c>
      <c r="K2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58" s="6" t="s">
        <v>17</v>
      </c>
      <c r="M258" s="7">
        <v>43</v>
      </c>
      <c r="N258" t="s">
        <v>18</v>
      </c>
      <c r="O258" s="9" t="str">
        <f>IF(Table1_1[[#This Row],[Purchased Bike]]="yes","1","0")</f>
        <v>0</v>
      </c>
      <c r="P258" s="4" t="str">
        <f>IF(Table1_1[[#This Row],[Income]]&lt;=30000,"Low ",IF(Table1_1[[#This Row],[Income]]&lt;=70000,"Middle","High"))</f>
        <v xml:space="preserve">Low </v>
      </c>
      <c r="Q258" s="6" t="str">
        <f>IF(Table1_1[[#This Row],[Age]]&lt;30,"Young",IF(Table1_1[[#This Row],[Age]]&lt;50,"Middle aged","Senior citizen"))</f>
        <v>Middle aged</v>
      </c>
      <c r="R258" s="7">
        <f>IF(Table1_1[[#This Row],[Marriedarital SingletatuSingle]]="M",Table1_1[[#This Row],[Children]]+2,Table1_1[[#This Row],[Children]]+1)</f>
        <v>2</v>
      </c>
      <c r="S258" s="4" t="str">
        <f>IF(Table1_1[[#This Row],[Cars]]=0,"No","Yes")</f>
        <v>No</v>
      </c>
      <c r="T258" s="6" t="str">
        <f>IF(AND(Table1_1[[#This Row],[Income]]&gt;50000,Table1_1[[#This Row],[Home Owner]]="Yes"),"High stability","Low stability")</f>
        <v>Low stability</v>
      </c>
      <c r="U258" s="3">
        <f>Table1_1[[#This Row],[Income]]/Table1_1[[#This Row],[Family size]]</f>
        <v>10000</v>
      </c>
      <c r="V258" s="6" t="str">
        <f>IF(Table1_1[[#This Row],[Occupation]]="Skilled manual","Blue collar",IF(Table1_1[[#This Row],[Occupation]]="Manual","Blue collar","White collar"))</f>
        <v>White collar</v>
      </c>
    </row>
    <row r="259" spans="1:22" x14ac:dyDescent="0.3">
      <c r="A259" t="s">
        <v>293</v>
      </c>
      <c r="B259" s="6" t="s">
        <v>1044</v>
      </c>
      <c r="C259" s="6" t="s">
        <v>1045</v>
      </c>
      <c r="D259" s="3">
        <v>50000</v>
      </c>
      <c r="E259">
        <v>0</v>
      </c>
      <c r="F259" s="6" t="s">
        <v>31</v>
      </c>
      <c r="G259" s="6" t="s">
        <v>14</v>
      </c>
      <c r="H259" s="6" t="s">
        <v>15</v>
      </c>
      <c r="I259">
        <v>0</v>
      </c>
      <c r="J259" t="s">
        <v>16</v>
      </c>
      <c r="K2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59" s="6" t="s">
        <v>17</v>
      </c>
      <c r="M259" s="7">
        <v>36</v>
      </c>
      <c r="N259" t="s">
        <v>15</v>
      </c>
      <c r="O259" s="9" t="str">
        <f>IF(Table1_1[[#This Row],[Purchased Bike]]="yes","1","0")</f>
        <v>1</v>
      </c>
      <c r="P259" s="4" t="str">
        <f>IF(Table1_1[[#This Row],[Income]]&lt;=30000,"Low ",IF(Table1_1[[#This Row],[Income]]&lt;=70000,"Middle","High"))</f>
        <v>Middle</v>
      </c>
      <c r="Q259" s="6" t="str">
        <f>IF(Table1_1[[#This Row],[Age]]&lt;30,"Young",IF(Table1_1[[#This Row],[Age]]&lt;50,"Middle aged","Senior citizen"))</f>
        <v>Middle aged</v>
      </c>
      <c r="R259" s="7">
        <f>IF(Table1_1[[#This Row],[Marriedarital SingletatuSingle]]="M",Table1_1[[#This Row],[Children]]+2,Table1_1[[#This Row],[Children]]+1)</f>
        <v>1</v>
      </c>
      <c r="S259" s="4" t="str">
        <f>IF(Table1_1[[#This Row],[Cars]]=0,"No","Yes")</f>
        <v>No</v>
      </c>
      <c r="T259" s="6" t="str">
        <f>IF(AND(Table1_1[[#This Row],[Income]]&gt;50000,Table1_1[[#This Row],[Home Owner]]="Yes"),"High stability","Low stability")</f>
        <v>Low stability</v>
      </c>
      <c r="U259" s="3">
        <f>Table1_1[[#This Row],[Income]]/Table1_1[[#This Row],[Family size]]</f>
        <v>50000</v>
      </c>
      <c r="V259" s="6" t="str">
        <f>IF(Table1_1[[#This Row],[Occupation]]="Skilled manual","Blue collar",IF(Table1_1[[#This Row],[Occupation]]="Manual","Blue collar","White collar"))</f>
        <v>Blue collar</v>
      </c>
    </row>
    <row r="260" spans="1:22" x14ac:dyDescent="0.3">
      <c r="A260" t="s">
        <v>294</v>
      </c>
      <c r="B260" s="6" t="s">
        <v>1044</v>
      </c>
      <c r="C260" s="6" t="s">
        <v>1045</v>
      </c>
      <c r="D260" s="3">
        <v>100000</v>
      </c>
      <c r="E260">
        <v>3</v>
      </c>
      <c r="F260" s="6" t="s">
        <v>19</v>
      </c>
      <c r="G260" s="6" t="s">
        <v>28</v>
      </c>
      <c r="H260" s="6" t="s">
        <v>15</v>
      </c>
      <c r="I260">
        <v>4</v>
      </c>
      <c r="J260" t="s">
        <v>30</v>
      </c>
      <c r="K2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60" s="6" t="s">
        <v>17</v>
      </c>
      <c r="M260" s="7">
        <v>56</v>
      </c>
      <c r="N260" t="s">
        <v>18</v>
      </c>
      <c r="O260" s="9" t="str">
        <f>IF(Table1_1[[#This Row],[Purchased Bike]]="yes","1","0")</f>
        <v>0</v>
      </c>
      <c r="P260" s="4" t="str">
        <f>IF(Table1_1[[#This Row],[Income]]&lt;=30000,"Low ",IF(Table1_1[[#This Row],[Income]]&lt;=70000,"Middle","High"))</f>
        <v>High</v>
      </c>
      <c r="Q260" s="6" t="str">
        <f>IF(Table1_1[[#This Row],[Age]]&lt;30,"Young",IF(Table1_1[[#This Row],[Age]]&lt;50,"Middle aged","Senior citizen"))</f>
        <v>Senior citizen</v>
      </c>
      <c r="R260" s="7">
        <f>IF(Table1_1[[#This Row],[Marriedarital SingletatuSingle]]="M",Table1_1[[#This Row],[Children]]+2,Table1_1[[#This Row],[Children]]+1)</f>
        <v>4</v>
      </c>
      <c r="S260" s="4" t="str">
        <f>IF(Table1_1[[#This Row],[Cars]]=0,"No","Yes")</f>
        <v>Yes</v>
      </c>
      <c r="T260" s="6" t="str">
        <f>IF(AND(Table1_1[[#This Row],[Income]]&gt;50000,Table1_1[[#This Row],[Home Owner]]="Yes"),"High stability","Low stability")</f>
        <v>High stability</v>
      </c>
      <c r="U260" s="3">
        <f>Table1_1[[#This Row],[Income]]/Table1_1[[#This Row],[Family size]]</f>
        <v>25000</v>
      </c>
      <c r="V260" s="6" t="str">
        <f>IF(Table1_1[[#This Row],[Occupation]]="Skilled manual","Blue collar",IF(Table1_1[[#This Row],[Occupation]]="Manual","Blue collar","White collar"))</f>
        <v>White collar</v>
      </c>
    </row>
    <row r="261" spans="1:22" x14ac:dyDescent="0.3">
      <c r="A261" t="s">
        <v>295</v>
      </c>
      <c r="B261" s="6" t="s">
        <v>1042</v>
      </c>
      <c r="C261" s="6" t="s">
        <v>1046</v>
      </c>
      <c r="D261" s="3">
        <v>150000</v>
      </c>
      <c r="E261">
        <v>0</v>
      </c>
      <c r="F261" s="6" t="s">
        <v>13</v>
      </c>
      <c r="G261" s="6" t="s">
        <v>28</v>
      </c>
      <c r="H261" s="6" t="s">
        <v>15</v>
      </c>
      <c r="I261">
        <v>4</v>
      </c>
      <c r="J261" t="s">
        <v>16</v>
      </c>
      <c r="K2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61" s="6" t="s">
        <v>24</v>
      </c>
      <c r="M261" s="7">
        <v>37</v>
      </c>
      <c r="N261" t="s">
        <v>15</v>
      </c>
      <c r="O261" s="9" t="str">
        <f>IF(Table1_1[[#This Row],[Purchased Bike]]="yes","1","0")</f>
        <v>1</v>
      </c>
      <c r="P261" s="4" t="str">
        <f>IF(Table1_1[[#This Row],[Income]]&lt;=30000,"Low ",IF(Table1_1[[#This Row],[Income]]&lt;=70000,"Middle","High"))</f>
        <v>High</v>
      </c>
      <c r="Q261" s="6" t="str">
        <f>IF(Table1_1[[#This Row],[Age]]&lt;30,"Young",IF(Table1_1[[#This Row],[Age]]&lt;50,"Middle aged","Senior citizen"))</f>
        <v>Middle aged</v>
      </c>
      <c r="R261" s="7">
        <f>IF(Table1_1[[#This Row],[Marriedarital SingletatuSingle]]="M",Table1_1[[#This Row],[Children]]+2,Table1_1[[#This Row],[Children]]+1)</f>
        <v>1</v>
      </c>
      <c r="S261" s="4" t="str">
        <f>IF(Table1_1[[#This Row],[Cars]]=0,"No","Yes")</f>
        <v>Yes</v>
      </c>
      <c r="T261" s="6" t="str">
        <f>IF(AND(Table1_1[[#This Row],[Income]]&gt;50000,Table1_1[[#This Row],[Home Owner]]="Yes"),"High stability","Low stability")</f>
        <v>High stability</v>
      </c>
      <c r="U261" s="3">
        <f>Table1_1[[#This Row],[Income]]/Table1_1[[#This Row],[Family size]]</f>
        <v>150000</v>
      </c>
      <c r="V261" s="6" t="str">
        <f>IF(Table1_1[[#This Row],[Occupation]]="Skilled manual","Blue collar",IF(Table1_1[[#This Row],[Occupation]]="Manual","Blue collar","White collar"))</f>
        <v>White collar</v>
      </c>
    </row>
    <row r="262" spans="1:22" x14ac:dyDescent="0.3">
      <c r="A262" t="s">
        <v>296</v>
      </c>
      <c r="B262" s="6" t="s">
        <v>1044</v>
      </c>
      <c r="C262" s="6" t="s">
        <v>1045</v>
      </c>
      <c r="D262" s="3">
        <v>30000</v>
      </c>
      <c r="E262">
        <v>2</v>
      </c>
      <c r="F262" s="6" t="s">
        <v>19</v>
      </c>
      <c r="G262" s="6" t="s">
        <v>20</v>
      </c>
      <c r="H262" s="6" t="s">
        <v>15</v>
      </c>
      <c r="I262">
        <v>0</v>
      </c>
      <c r="J262" t="s">
        <v>16</v>
      </c>
      <c r="K2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62" s="6" t="s">
        <v>17</v>
      </c>
      <c r="M262" s="7">
        <v>43</v>
      </c>
      <c r="N262" t="s">
        <v>18</v>
      </c>
      <c r="O262" s="9" t="str">
        <f>IF(Table1_1[[#This Row],[Purchased Bike]]="yes","1","0")</f>
        <v>0</v>
      </c>
      <c r="P262" s="4" t="str">
        <f>IF(Table1_1[[#This Row],[Income]]&lt;=30000,"Low ",IF(Table1_1[[#This Row],[Income]]&lt;=70000,"Middle","High"))</f>
        <v xml:space="preserve">Low </v>
      </c>
      <c r="Q262" s="6" t="str">
        <f>IF(Table1_1[[#This Row],[Age]]&lt;30,"Young",IF(Table1_1[[#This Row],[Age]]&lt;50,"Middle aged","Senior citizen"))</f>
        <v>Middle aged</v>
      </c>
      <c r="R262" s="7">
        <f>IF(Table1_1[[#This Row],[Marriedarital SingletatuSingle]]="M",Table1_1[[#This Row],[Children]]+2,Table1_1[[#This Row],[Children]]+1)</f>
        <v>3</v>
      </c>
      <c r="S262" s="4" t="str">
        <f>IF(Table1_1[[#This Row],[Cars]]=0,"No","Yes")</f>
        <v>No</v>
      </c>
      <c r="T262" s="6" t="str">
        <f>IF(AND(Table1_1[[#This Row],[Income]]&gt;50000,Table1_1[[#This Row],[Home Owner]]="Yes"),"High stability","Low stability")</f>
        <v>Low stability</v>
      </c>
      <c r="U262" s="3">
        <f>Table1_1[[#This Row],[Income]]/Table1_1[[#This Row],[Family size]]</f>
        <v>10000</v>
      </c>
      <c r="V262" s="6" t="str">
        <f>IF(Table1_1[[#This Row],[Occupation]]="Skilled manual","Blue collar",IF(Table1_1[[#This Row],[Occupation]]="Manual","Blue collar","White collar"))</f>
        <v>White collar</v>
      </c>
    </row>
    <row r="263" spans="1:22" x14ac:dyDescent="0.3">
      <c r="A263" t="s">
        <v>297</v>
      </c>
      <c r="B263" s="6" t="s">
        <v>1042</v>
      </c>
      <c r="C263" s="6" t="s">
        <v>1045</v>
      </c>
      <c r="D263" s="3">
        <v>40000</v>
      </c>
      <c r="E263">
        <v>1</v>
      </c>
      <c r="F263" s="6" t="s">
        <v>13</v>
      </c>
      <c r="G263" s="6" t="s">
        <v>14</v>
      </c>
      <c r="H263" s="6" t="s">
        <v>15</v>
      </c>
      <c r="I263">
        <v>1</v>
      </c>
      <c r="J263" t="s">
        <v>26</v>
      </c>
      <c r="K2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63" s="6" t="s">
        <v>17</v>
      </c>
      <c r="M263" s="7">
        <v>33</v>
      </c>
      <c r="N263" t="s">
        <v>15</v>
      </c>
      <c r="O263" s="9" t="str">
        <f>IF(Table1_1[[#This Row],[Purchased Bike]]="yes","1","0")</f>
        <v>1</v>
      </c>
      <c r="P263" s="4" t="str">
        <f>IF(Table1_1[[#This Row],[Income]]&lt;=30000,"Low ",IF(Table1_1[[#This Row],[Income]]&lt;=70000,"Middle","High"))</f>
        <v>Middle</v>
      </c>
      <c r="Q263" s="6" t="str">
        <f>IF(Table1_1[[#This Row],[Age]]&lt;30,"Young",IF(Table1_1[[#This Row],[Age]]&lt;50,"Middle aged","Senior citizen"))</f>
        <v>Middle aged</v>
      </c>
      <c r="R263" s="7">
        <f>IF(Table1_1[[#This Row],[Marriedarital SingletatuSingle]]="M",Table1_1[[#This Row],[Children]]+2,Table1_1[[#This Row],[Children]]+1)</f>
        <v>2</v>
      </c>
      <c r="S263" s="4" t="str">
        <f>IF(Table1_1[[#This Row],[Cars]]=0,"No","Yes")</f>
        <v>Yes</v>
      </c>
      <c r="T263" s="6" t="str">
        <f>IF(AND(Table1_1[[#This Row],[Income]]&gt;50000,Table1_1[[#This Row],[Home Owner]]="Yes"),"High stability","Low stability")</f>
        <v>Low stability</v>
      </c>
      <c r="U263" s="3">
        <f>Table1_1[[#This Row],[Income]]/Table1_1[[#This Row],[Family size]]</f>
        <v>20000</v>
      </c>
      <c r="V263" s="6" t="str">
        <f>IF(Table1_1[[#This Row],[Occupation]]="Skilled manual","Blue collar",IF(Table1_1[[#This Row],[Occupation]]="Manual","Blue collar","White collar"))</f>
        <v>Blue collar</v>
      </c>
    </row>
    <row r="264" spans="1:22" x14ac:dyDescent="0.3">
      <c r="A264" t="s">
        <v>298</v>
      </c>
      <c r="B264" s="6" t="s">
        <v>1042</v>
      </c>
      <c r="C264" s="6" t="s">
        <v>1045</v>
      </c>
      <c r="D264" s="3">
        <v>10000</v>
      </c>
      <c r="E264">
        <v>2</v>
      </c>
      <c r="F264" s="6" t="s">
        <v>19</v>
      </c>
      <c r="G264" s="6" t="s">
        <v>25</v>
      </c>
      <c r="H264" s="6" t="s">
        <v>15</v>
      </c>
      <c r="I264">
        <v>0</v>
      </c>
      <c r="J264" t="s">
        <v>26</v>
      </c>
      <c r="K2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64" s="6" t="s">
        <v>17</v>
      </c>
      <c r="M264" s="7">
        <v>51</v>
      </c>
      <c r="N264" t="s">
        <v>18</v>
      </c>
      <c r="O264" s="9" t="str">
        <f>IF(Table1_1[[#This Row],[Purchased Bike]]="yes","1","0")</f>
        <v>0</v>
      </c>
      <c r="P264" s="4" t="str">
        <f>IF(Table1_1[[#This Row],[Income]]&lt;=30000,"Low ",IF(Table1_1[[#This Row],[Income]]&lt;=70000,"Middle","High"))</f>
        <v xml:space="preserve">Low </v>
      </c>
      <c r="Q264" s="6" t="str">
        <f>IF(Table1_1[[#This Row],[Age]]&lt;30,"Young",IF(Table1_1[[#This Row],[Age]]&lt;50,"Middle aged","Senior citizen"))</f>
        <v>Senior citizen</v>
      </c>
      <c r="R264" s="7">
        <f>IF(Table1_1[[#This Row],[Marriedarital SingletatuSingle]]="M",Table1_1[[#This Row],[Children]]+2,Table1_1[[#This Row],[Children]]+1)</f>
        <v>3</v>
      </c>
      <c r="S264" s="4" t="str">
        <f>IF(Table1_1[[#This Row],[Cars]]=0,"No","Yes")</f>
        <v>No</v>
      </c>
      <c r="T264" s="6" t="str">
        <f>IF(AND(Table1_1[[#This Row],[Income]]&gt;50000,Table1_1[[#This Row],[Home Owner]]="Yes"),"High stability","Low stability")</f>
        <v>Low stability</v>
      </c>
      <c r="U264" s="3">
        <f>Table1_1[[#This Row],[Income]]/Table1_1[[#This Row],[Family size]]</f>
        <v>3333.3333333333335</v>
      </c>
      <c r="V264" s="6" t="str">
        <f>IF(Table1_1[[#This Row],[Occupation]]="Skilled manual","Blue collar",IF(Table1_1[[#This Row],[Occupation]]="Manual","Blue collar","White collar"))</f>
        <v>Blue collar</v>
      </c>
    </row>
    <row r="265" spans="1:22" x14ac:dyDescent="0.3">
      <c r="A265" t="s">
        <v>299</v>
      </c>
      <c r="B265" s="6" t="s">
        <v>1044</v>
      </c>
      <c r="C265" s="6" t="s">
        <v>1045</v>
      </c>
      <c r="D265" s="3">
        <v>70000</v>
      </c>
      <c r="E265">
        <v>5</v>
      </c>
      <c r="F265" s="6" t="s">
        <v>13</v>
      </c>
      <c r="G265" s="6" t="s">
        <v>21</v>
      </c>
      <c r="H265" s="6" t="s">
        <v>15</v>
      </c>
      <c r="I265">
        <v>3</v>
      </c>
      <c r="J265" t="s">
        <v>30</v>
      </c>
      <c r="K2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65" s="6" t="s">
        <v>24</v>
      </c>
      <c r="M265" s="7">
        <v>39</v>
      </c>
      <c r="N265" t="s">
        <v>18</v>
      </c>
      <c r="O265" s="9" t="str">
        <f>IF(Table1_1[[#This Row],[Purchased Bike]]="yes","1","0")</f>
        <v>0</v>
      </c>
      <c r="P265" s="4" t="str">
        <f>IF(Table1_1[[#This Row],[Income]]&lt;=30000,"Low ",IF(Table1_1[[#This Row],[Income]]&lt;=70000,"Middle","High"))</f>
        <v>Middle</v>
      </c>
      <c r="Q265" s="6" t="str">
        <f>IF(Table1_1[[#This Row],[Age]]&lt;30,"Young",IF(Table1_1[[#This Row],[Age]]&lt;50,"Middle aged","Senior citizen"))</f>
        <v>Middle aged</v>
      </c>
      <c r="R265" s="7">
        <f>IF(Table1_1[[#This Row],[Marriedarital SingletatuSingle]]="M",Table1_1[[#This Row],[Children]]+2,Table1_1[[#This Row],[Children]]+1)</f>
        <v>6</v>
      </c>
      <c r="S265" s="4" t="str">
        <f>IF(Table1_1[[#This Row],[Cars]]=0,"No","Yes")</f>
        <v>Yes</v>
      </c>
      <c r="T265" s="6" t="str">
        <f>IF(AND(Table1_1[[#This Row],[Income]]&gt;50000,Table1_1[[#This Row],[Home Owner]]="Yes"),"High stability","Low stability")</f>
        <v>High stability</v>
      </c>
      <c r="U265" s="3">
        <f>Table1_1[[#This Row],[Income]]/Table1_1[[#This Row],[Family size]]</f>
        <v>11666.666666666666</v>
      </c>
      <c r="V265" s="6" t="str">
        <f>IF(Table1_1[[#This Row],[Occupation]]="Skilled manual","Blue collar",IF(Table1_1[[#This Row],[Occupation]]="Manual","Blue collar","White collar"))</f>
        <v>White collar</v>
      </c>
    </row>
    <row r="266" spans="1:22" x14ac:dyDescent="0.3">
      <c r="A266" t="s">
        <v>300</v>
      </c>
      <c r="B266" s="6" t="s">
        <v>1042</v>
      </c>
      <c r="C266" s="6" t="s">
        <v>1046</v>
      </c>
      <c r="D266" s="3">
        <v>40000</v>
      </c>
      <c r="E266">
        <v>0</v>
      </c>
      <c r="F266" s="6" t="s">
        <v>31</v>
      </c>
      <c r="G266" s="6" t="s">
        <v>20</v>
      </c>
      <c r="H266" s="6" t="s">
        <v>15</v>
      </c>
      <c r="I266">
        <v>0</v>
      </c>
      <c r="J266" t="s">
        <v>16</v>
      </c>
      <c r="K2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66" s="6" t="s">
        <v>17</v>
      </c>
      <c r="M266" s="7">
        <v>37</v>
      </c>
      <c r="N266" t="s">
        <v>15</v>
      </c>
      <c r="O266" s="9" t="str">
        <f>IF(Table1_1[[#This Row],[Purchased Bike]]="yes","1","0")</f>
        <v>1</v>
      </c>
      <c r="P266" s="4" t="str">
        <f>IF(Table1_1[[#This Row],[Income]]&lt;=30000,"Low ",IF(Table1_1[[#This Row],[Income]]&lt;=70000,"Middle","High"))</f>
        <v>Middle</v>
      </c>
      <c r="Q266" s="6" t="str">
        <f>IF(Table1_1[[#This Row],[Age]]&lt;30,"Young",IF(Table1_1[[#This Row],[Age]]&lt;50,"Middle aged","Senior citizen"))</f>
        <v>Middle aged</v>
      </c>
      <c r="R266" s="7">
        <f>IF(Table1_1[[#This Row],[Marriedarital SingletatuSingle]]="M",Table1_1[[#This Row],[Children]]+2,Table1_1[[#This Row],[Children]]+1)</f>
        <v>1</v>
      </c>
      <c r="S266" s="4" t="str">
        <f>IF(Table1_1[[#This Row],[Cars]]=0,"No","Yes")</f>
        <v>No</v>
      </c>
      <c r="T266" s="6" t="str">
        <f>IF(AND(Table1_1[[#This Row],[Income]]&gt;50000,Table1_1[[#This Row],[Home Owner]]="Yes"),"High stability","Low stability")</f>
        <v>Low stability</v>
      </c>
      <c r="U266" s="3">
        <f>Table1_1[[#This Row],[Income]]/Table1_1[[#This Row],[Family size]]</f>
        <v>40000</v>
      </c>
      <c r="V266" s="6" t="str">
        <f>IF(Table1_1[[#This Row],[Occupation]]="Skilled manual","Blue collar",IF(Table1_1[[#This Row],[Occupation]]="Manual","Blue collar","White collar"))</f>
        <v>White collar</v>
      </c>
    </row>
    <row r="267" spans="1:22" x14ac:dyDescent="0.3">
      <c r="A267" t="s">
        <v>301</v>
      </c>
      <c r="B267" s="6" t="s">
        <v>1044</v>
      </c>
      <c r="C267" s="6" t="s">
        <v>1045</v>
      </c>
      <c r="D267" s="3">
        <v>30000</v>
      </c>
      <c r="E267">
        <v>2</v>
      </c>
      <c r="F267" s="6" t="s">
        <v>19</v>
      </c>
      <c r="G267" s="6" t="s">
        <v>20</v>
      </c>
      <c r="H267" s="6" t="s">
        <v>15</v>
      </c>
      <c r="I267">
        <v>2</v>
      </c>
      <c r="J267" t="s">
        <v>16</v>
      </c>
      <c r="K2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67" s="6" t="s">
        <v>17</v>
      </c>
      <c r="M267" s="7">
        <v>42</v>
      </c>
      <c r="N267" t="s">
        <v>18</v>
      </c>
      <c r="O267" s="9" t="str">
        <f>IF(Table1_1[[#This Row],[Purchased Bike]]="yes","1","0")</f>
        <v>0</v>
      </c>
      <c r="P267" s="4" t="str">
        <f>IF(Table1_1[[#This Row],[Income]]&lt;=30000,"Low ",IF(Table1_1[[#This Row],[Income]]&lt;=70000,"Middle","High"))</f>
        <v xml:space="preserve">Low </v>
      </c>
      <c r="Q267" s="6" t="str">
        <f>IF(Table1_1[[#This Row],[Age]]&lt;30,"Young",IF(Table1_1[[#This Row],[Age]]&lt;50,"Middle aged","Senior citizen"))</f>
        <v>Middle aged</v>
      </c>
      <c r="R267" s="7">
        <f>IF(Table1_1[[#This Row],[Marriedarital SingletatuSingle]]="M",Table1_1[[#This Row],[Children]]+2,Table1_1[[#This Row],[Children]]+1)</f>
        <v>3</v>
      </c>
      <c r="S267" s="4" t="str">
        <f>IF(Table1_1[[#This Row],[Cars]]=0,"No","Yes")</f>
        <v>Yes</v>
      </c>
      <c r="T267" s="6" t="str">
        <f>IF(AND(Table1_1[[#This Row],[Income]]&gt;50000,Table1_1[[#This Row],[Home Owner]]="Yes"),"High stability","Low stability")</f>
        <v>Low stability</v>
      </c>
      <c r="U267" s="3">
        <f>Table1_1[[#This Row],[Income]]/Table1_1[[#This Row],[Family size]]</f>
        <v>10000</v>
      </c>
      <c r="V267" s="6" t="str">
        <f>IF(Table1_1[[#This Row],[Occupation]]="Skilled manual","Blue collar",IF(Table1_1[[#This Row],[Occupation]]="Manual","Blue collar","White collar"))</f>
        <v>White collar</v>
      </c>
    </row>
    <row r="268" spans="1:22" x14ac:dyDescent="0.3">
      <c r="A268" t="s">
        <v>302</v>
      </c>
      <c r="B268" s="6" t="s">
        <v>1044</v>
      </c>
      <c r="C268" s="6" t="s">
        <v>1045</v>
      </c>
      <c r="D268" s="3">
        <v>20000</v>
      </c>
      <c r="E268">
        <v>5</v>
      </c>
      <c r="F268" s="6" t="s">
        <v>27</v>
      </c>
      <c r="G268" s="6" t="s">
        <v>25</v>
      </c>
      <c r="H268" s="6" t="s">
        <v>15</v>
      </c>
      <c r="I268">
        <v>2</v>
      </c>
      <c r="J268" t="s">
        <v>16</v>
      </c>
      <c r="K2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68" s="6" t="s">
        <v>17</v>
      </c>
      <c r="M268" s="7">
        <v>27</v>
      </c>
      <c r="N268" t="s">
        <v>18</v>
      </c>
      <c r="O268" s="9" t="str">
        <f>IF(Table1_1[[#This Row],[Purchased Bike]]="yes","1","0")</f>
        <v>0</v>
      </c>
      <c r="P268" s="4" t="str">
        <f>IF(Table1_1[[#This Row],[Income]]&lt;=30000,"Low ",IF(Table1_1[[#This Row],[Income]]&lt;=70000,"Middle","High"))</f>
        <v xml:space="preserve">Low </v>
      </c>
      <c r="Q268" s="6" t="str">
        <f>IF(Table1_1[[#This Row],[Age]]&lt;30,"Young",IF(Table1_1[[#This Row],[Age]]&lt;50,"Middle aged","Senior citizen"))</f>
        <v>Young</v>
      </c>
      <c r="R268" s="7">
        <f>IF(Table1_1[[#This Row],[Marriedarital SingletatuSingle]]="M",Table1_1[[#This Row],[Children]]+2,Table1_1[[#This Row],[Children]]+1)</f>
        <v>6</v>
      </c>
      <c r="S268" s="4" t="str">
        <f>IF(Table1_1[[#This Row],[Cars]]=0,"No","Yes")</f>
        <v>Yes</v>
      </c>
      <c r="T268" s="6" t="str">
        <f>IF(AND(Table1_1[[#This Row],[Income]]&gt;50000,Table1_1[[#This Row],[Home Owner]]="Yes"),"High stability","Low stability")</f>
        <v>Low stability</v>
      </c>
      <c r="U268" s="3">
        <f>Table1_1[[#This Row],[Income]]/Table1_1[[#This Row],[Family size]]</f>
        <v>3333.3333333333335</v>
      </c>
      <c r="V268" s="6" t="str">
        <f>IF(Table1_1[[#This Row],[Occupation]]="Skilled manual","Blue collar",IF(Table1_1[[#This Row],[Occupation]]="Manual","Blue collar","White collar"))</f>
        <v>Blue collar</v>
      </c>
    </row>
    <row r="269" spans="1:22" x14ac:dyDescent="0.3">
      <c r="A269" t="s">
        <v>303</v>
      </c>
      <c r="B269" s="6" t="s">
        <v>1044</v>
      </c>
      <c r="C269" s="6" t="s">
        <v>1046</v>
      </c>
      <c r="D269" s="3">
        <v>100000</v>
      </c>
      <c r="E269">
        <v>5</v>
      </c>
      <c r="F269" s="6" t="s">
        <v>13</v>
      </c>
      <c r="G269" s="6" t="s">
        <v>21</v>
      </c>
      <c r="H269" s="6" t="s">
        <v>15</v>
      </c>
      <c r="I269">
        <v>1</v>
      </c>
      <c r="J269" t="s">
        <v>23</v>
      </c>
      <c r="K2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69" s="6" t="s">
        <v>24</v>
      </c>
      <c r="M269" s="7">
        <v>47</v>
      </c>
      <c r="N269" t="s">
        <v>15</v>
      </c>
      <c r="O269" s="9" t="str">
        <f>IF(Table1_1[[#This Row],[Purchased Bike]]="yes","1","0")</f>
        <v>1</v>
      </c>
      <c r="P269" s="4" t="str">
        <f>IF(Table1_1[[#This Row],[Income]]&lt;=30000,"Low ",IF(Table1_1[[#This Row],[Income]]&lt;=70000,"Middle","High"))</f>
        <v>High</v>
      </c>
      <c r="Q269" s="6" t="str">
        <f>IF(Table1_1[[#This Row],[Age]]&lt;30,"Young",IF(Table1_1[[#This Row],[Age]]&lt;50,"Middle aged","Senior citizen"))</f>
        <v>Middle aged</v>
      </c>
      <c r="R269" s="7">
        <f>IF(Table1_1[[#This Row],[Marriedarital SingletatuSingle]]="M",Table1_1[[#This Row],[Children]]+2,Table1_1[[#This Row],[Children]]+1)</f>
        <v>6</v>
      </c>
      <c r="S269" s="4" t="str">
        <f>IF(Table1_1[[#This Row],[Cars]]=0,"No","Yes")</f>
        <v>Yes</v>
      </c>
      <c r="T269" s="6" t="str">
        <f>IF(AND(Table1_1[[#This Row],[Income]]&gt;50000,Table1_1[[#This Row],[Home Owner]]="Yes"),"High stability","Low stability")</f>
        <v>High stability</v>
      </c>
      <c r="U269" s="3">
        <f>Table1_1[[#This Row],[Income]]/Table1_1[[#This Row],[Family size]]</f>
        <v>16666.666666666668</v>
      </c>
      <c r="V269" s="6" t="str">
        <f>IF(Table1_1[[#This Row],[Occupation]]="Skilled manual","Blue collar",IF(Table1_1[[#This Row],[Occupation]]="Manual","Blue collar","White collar"))</f>
        <v>White collar</v>
      </c>
    </row>
    <row r="270" spans="1:22" x14ac:dyDescent="0.3">
      <c r="A270" t="s">
        <v>304</v>
      </c>
      <c r="B270" s="6" t="s">
        <v>1042</v>
      </c>
      <c r="C270" s="6" t="s">
        <v>1046</v>
      </c>
      <c r="D270" s="3">
        <v>70000</v>
      </c>
      <c r="E270">
        <v>5</v>
      </c>
      <c r="F270" s="6" t="s">
        <v>19</v>
      </c>
      <c r="G270" s="6" t="s">
        <v>14</v>
      </c>
      <c r="H270" s="6" t="s">
        <v>15</v>
      </c>
      <c r="I270">
        <v>3</v>
      </c>
      <c r="J270" t="s">
        <v>23</v>
      </c>
      <c r="K2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70" s="6" t="s">
        <v>24</v>
      </c>
      <c r="M270" s="7">
        <v>45</v>
      </c>
      <c r="N270" t="s">
        <v>18</v>
      </c>
      <c r="O270" s="9" t="str">
        <f>IF(Table1_1[[#This Row],[Purchased Bike]]="yes","1","0")</f>
        <v>0</v>
      </c>
      <c r="P270" s="4" t="str">
        <f>IF(Table1_1[[#This Row],[Income]]&lt;=30000,"Low ",IF(Table1_1[[#This Row],[Income]]&lt;=70000,"Middle","High"))</f>
        <v>Middle</v>
      </c>
      <c r="Q270" s="6" t="str">
        <f>IF(Table1_1[[#This Row],[Age]]&lt;30,"Young",IF(Table1_1[[#This Row],[Age]]&lt;50,"Middle aged","Senior citizen"))</f>
        <v>Middle aged</v>
      </c>
      <c r="R270" s="7">
        <f>IF(Table1_1[[#This Row],[Marriedarital SingletatuSingle]]="M",Table1_1[[#This Row],[Children]]+2,Table1_1[[#This Row],[Children]]+1)</f>
        <v>6</v>
      </c>
      <c r="S270" s="4" t="str">
        <f>IF(Table1_1[[#This Row],[Cars]]=0,"No","Yes")</f>
        <v>Yes</v>
      </c>
      <c r="T270" s="6" t="str">
        <f>IF(AND(Table1_1[[#This Row],[Income]]&gt;50000,Table1_1[[#This Row],[Home Owner]]="Yes"),"High stability","Low stability")</f>
        <v>High stability</v>
      </c>
      <c r="U270" s="3">
        <f>Table1_1[[#This Row],[Income]]/Table1_1[[#This Row],[Family size]]</f>
        <v>11666.666666666666</v>
      </c>
      <c r="V270" s="6" t="str">
        <f>IF(Table1_1[[#This Row],[Occupation]]="Skilled manual","Blue collar",IF(Table1_1[[#This Row],[Occupation]]="Manual","Blue collar","White collar"))</f>
        <v>Blue collar</v>
      </c>
    </row>
    <row r="271" spans="1:22" x14ac:dyDescent="0.3">
      <c r="A271" t="s">
        <v>305</v>
      </c>
      <c r="B271" s="6" t="s">
        <v>1044</v>
      </c>
      <c r="C271" s="6" t="s">
        <v>1045</v>
      </c>
      <c r="D271" s="3">
        <v>50000</v>
      </c>
      <c r="E271">
        <v>0</v>
      </c>
      <c r="F271" s="6" t="s">
        <v>31</v>
      </c>
      <c r="G271" s="6" t="s">
        <v>14</v>
      </c>
      <c r="H271" s="6" t="s">
        <v>18</v>
      </c>
      <c r="I271">
        <v>0</v>
      </c>
      <c r="J271" t="s">
        <v>16</v>
      </c>
      <c r="K2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71" s="6" t="s">
        <v>17</v>
      </c>
      <c r="M271" s="7">
        <v>37</v>
      </c>
      <c r="N271" t="s">
        <v>15</v>
      </c>
      <c r="O271" s="9" t="str">
        <f>IF(Table1_1[[#This Row],[Purchased Bike]]="yes","1","0")</f>
        <v>1</v>
      </c>
      <c r="P271" s="4" t="str">
        <f>IF(Table1_1[[#This Row],[Income]]&lt;=30000,"Low ",IF(Table1_1[[#This Row],[Income]]&lt;=70000,"Middle","High"))</f>
        <v>Middle</v>
      </c>
      <c r="Q271" s="6" t="str">
        <f>IF(Table1_1[[#This Row],[Age]]&lt;30,"Young",IF(Table1_1[[#This Row],[Age]]&lt;50,"Middle aged","Senior citizen"))</f>
        <v>Middle aged</v>
      </c>
      <c r="R271" s="7">
        <f>IF(Table1_1[[#This Row],[Marriedarital SingletatuSingle]]="M",Table1_1[[#This Row],[Children]]+2,Table1_1[[#This Row],[Children]]+1)</f>
        <v>1</v>
      </c>
      <c r="S271" s="4" t="str">
        <f>IF(Table1_1[[#This Row],[Cars]]=0,"No","Yes")</f>
        <v>No</v>
      </c>
      <c r="T271" s="6" t="str">
        <f>IF(AND(Table1_1[[#This Row],[Income]]&gt;50000,Table1_1[[#This Row],[Home Owner]]="Yes"),"High stability","Low stability")</f>
        <v>Low stability</v>
      </c>
      <c r="U271" s="3">
        <f>Table1_1[[#This Row],[Income]]/Table1_1[[#This Row],[Family size]]</f>
        <v>50000</v>
      </c>
      <c r="V271" s="6" t="str">
        <f>IF(Table1_1[[#This Row],[Occupation]]="Skilled manual","Blue collar",IF(Table1_1[[#This Row],[Occupation]]="Manual","Blue collar","White collar"))</f>
        <v>Blue collar</v>
      </c>
    </row>
    <row r="272" spans="1:22" x14ac:dyDescent="0.3">
      <c r="A272" t="s">
        <v>306</v>
      </c>
      <c r="B272" s="6" t="s">
        <v>1044</v>
      </c>
      <c r="C272" s="6" t="s">
        <v>1045</v>
      </c>
      <c r="D272" s="3">
        <v>10000</v>
      </c>
      <c r="E272">
        <v>2</v>
      </c>
      <c r="F272" s="6" t="s">
        <v>19</v>
      </c>
      <c r="G272" s="6" t="s">
        <v>25</v>
      </c>
      <c r="H272" s="6" t="s">
        <v>15</v>
      </c>
      <c r="I272">
        <v>0</v>
      </c>
      <c r="J272" t="s">
        <v>16</v>
      </c>
      <c r="K2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72" s="6" t="s">
        <v>17</v>
      </c>
      <c r="M272" s="7">
        <v>51</v>
      </c>
      <c r="N272" t="s">
        <v>15</v>
      </c>
      <c r="O272" s="9" t="str">
        <f>IF(Table1_1[[#This Row],[Purchased Bike]]="yes","1","0")</f>
        <v>1</v>
      </c>
      <c r="P272" s="4" t="str">
        <f>IF(Table1_1[[#This Row],[Income]]&lt;=30000,"Low ",IF(Table1_1[[#This Row],[Income]]&lt;=70000,"Middle","High"))</f>
        <v xml:space="preserve">Low </v>
      </c>
      <c r="Q272" s="6" t="str">
        <f>IF(Table1_1[[#This Row],[Age]]&lt;30,"Young",IF(Table1_1[[#This Row],[Age]]&lt;50,"Middle aged","Senior citizen"))</f>
        <v>Senior citizen</v>
      </c>
      <c r="R272" s="7">
        <f>IF(Table1_1[[#This Row],[Marriedarital SingletatuSingle]]="M",Table1_1[[#This Row],[Children]]+2,Table1_1[[#This Row],[Children]]+1)</f>
        <v>3</v>
      </c>
      <c r="S272" s="4" t="str">
        <f>IF(Table1_1[[#This Row],[Cars]]=0,"No","Yes")</f>
        <v>No</v>
      </c>
      <c r="T272" s="6" t="str">
        <f>IF(AND(Table1_1[[#This Row],[Income]]&gt;50000,Table1_1[[#This Row],[Home Owner]]="Yes"),"High stability","Low stability")</f>
        <v>Low stability</v>
      </c>
      <c r="U272" s="3">
        <f>Table1_1[[#This Row],[Income]]/Table1_1[[#This Row],[Family size]]</f>
        <v>3333.3333333333335</v>
      </c>
      <c r="V272" s="6" t="str">
        <f>IF(Table1_1[[#This Row],[Occupation]]="Skilled manual","Blue collar",IF(Table1_1[[#This Row],[Occupation]]="Manual","Blue collar","White collar"))</f>
        <v>Blue collar</v>
      </c>
    </row>
    <row r="273" spans="1:22" x14ac:dyDescent="0.3">
      <c r="A273" t="s">
        <v>307</v>
      </c>
      <c r="B273" s="6" t="s">
        <v>1044</v>
      </c>
      <c r="C273" s="6" t="s">
        <v>1045</v>
      </c>
      <c r="D273" s="3">
        <v>20000</v>
      </c>
      <c r="E273">
        <v>0</v>
      </c>
      <c r="F273" s="6" t="s">
        <v>27</v>
      </c>
      <c r="G273" s="6" t="s">
        <v>25</v>
      </c>
      <c r="H273" s="6" t="s">
        <v>18</v>
      </c>
      <c r="I273">
        <v>1</v>
      </c>
      <c r="J273" t="s">
        <v>26</v>
      </c>
      <c r="K2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73" s="6" t="s">
        <v>17</v>
      </c>
      <c r="M273" s="7">
        <v>28</v>
      </c>
      <c r="N273" t="s">
        <v>18</v>
      </c>
      <c r="O273" s="9" t="str">
        <f>IF(Table1_1[[#This Row],[Purchased Bike]]="yes","1","0")</f>
        <v>0</v>
      </c>
      <c r="P273" s="4" t="str">
        <f>IF(Table1_1[[#This Row],[Income]]&lt;=30000,"Low ",IF(Table1_1[[#This Row],[Income]]&lt;=70000,"Middle","High"))</f>
        <v xml:space="preserve">Low </v>
      </c>
      <c r="Q273" s="6" t="str">
        <f>IF(Table1_1[[#This Row],[Age]]&lt;30,"Young",IF(Table1_1[[#This Row],[Age]]&lt;50,"Middle aged","Senior citizen"))</f>
        <v>Young</v>
      </c>
      <c r="R273" s="7">
        <f>IF(Table1_1[[#This Row],[Marriedarital SingletatuSingle]]="M",Table1_1[[#This Row],[Children]]+2,Table1_1[[#This Row],[Children]]+1)</f>
        <v>1</v>
      </c>
      <c r="S273" s="4" t="str">
        <f>IF(Table1_1[[#This Row],[Cars]]=0,"No","Yes")</f>
        <v>Yes</v>
      </c>
      <c r="T273" s="6" t="str">
        <f>IF(AND(Table1_1[[#This Row],[Income]]&gt;50000,Table1_1[[#This Row],[Home Owner]]="Yes"),"High stability","Low stability")</f>
        <v>Low stability</v>
      </c>
      <c r="U273" s="3">
        <f>Table1_1[[#This Row],[Income]]/Table1_1[[#This Row],[Family size]]</f>
        <v>20000</v>
      </c>
      <c r="V273" s="6" t="str">
        <f>IF(Table1_1[[#This Row],[Occupation]]="Skilled manual","Blue collar",IF(Table1_1[[#This Row],[Occupation]]="Manual","Blue collar","White collar"))</f>
        <v>Blue collar</v>
      </c>
    </row>
    <row r="274" spans="1:22" x14ac:dyDescent="0.3">
      <c r="A274" t="s">
        <v>308</v>
      </c>
      <c r="B274" s="6" t="s">
        <v>1042</v>
      </c>
      <c r="C274" s="6" t="s">
        <v>1046</v>
      </c>
      <c r="D274" s="3">
        <v>10000</v>
      </c>
      <c r="E274">
        <v>4</v>
      </c>
      <c r="F274" s="6" t="s">
        <v>29</v>
      </c>
      <c r="G274" s="6" t="s">
        <v>25</v>
      </c>
      <c r="H274" s="6" t="s">
        <v>15</v>
      </c>
      <c r="I274">
        <v>1</v>
      </c>
      <c r="J274" t="s">
        <v>16</v>
      </c>
      <c r="K2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74" s="6" t="s">
        <v>17</v>
      </c>
      <c r="M274" s="7">
        <v>40</v>
      </c>
      <c r="N274" t="s">
        <v>15</v>
      </c>
      <c r="O274" s="9" t="str">
        <f>IF(Table1_1[[#This Row],[Purchased Bike]]="yes","1","0")</f>
        <v>1</v>
      </c>
      <c r="P274" s="4" t="str">
        <f>IF(Table1_1[[#This Row],[Income]]&lt;=30000,"Low ",IF(Table1_1[[#This Row],[Income]]&lt;=70000,"Middle","High"))</f>
        <v xml:space="preserve">Low </v>
      </c>
      <c r="Q274" s="6" t="str">
        <f>IF(Table1_1[[#This Row],[Age]]&lt;30,"Young",IF(Table1_1[[#This Row],[Age]]&lt;50,"Middle aged","Senior citizen"))</f>
        <v>Middle aged</v>
      </c>
      <c r="R274" s="7">
        <f>IF(Table1_1[[#This Row],[Marriedarital SingletatuSingle]]="M",Table1_1[[#This Row],[Children]]+2,Table1_1[[#This Row],[Children]]+1)</f>
        <v>5</v>
      </c>
      <c r="S274" s="4" t="str">
        <f>IF(Table1_1[[#This Row],[Cars]]=0,"No","Yes")</f>
        <v>Yes</v>
      </c>
      <c r="T274" s="6" t="str">
        <f>IF(AND(Table1_1[[#This Row],[Income]]&gt;50000,Table1_1[[#This Row],[Home Owner]]="Yes"),"High stability","Low stability")</f>
        <v>Low stability</v>
      </c>
      <c r="U274" s="3">
        <f>Table1_1[[#This Row],[Income]]/Table1_1[[#This Row],[Family size]]</f>
        <v>2000</v>
      </c>
      <c r="V274" s="6" t="str">
        <f>IF(Table1_1[[#This Row],[Occupation]]="Skilled manual","Blue collar",IF(Table1_1[[#This Row],[Occupation]]="Manual","Blue collar","White collar"))</f>
        <v>Blue collar</v>
      </c>
    </row>
    <row r="275" spans="1:22" x14ac:dyDescent="0.3">
      <c r="A275" t="s">
        <v>309</v>
      </c>
      <c r="B275" s="6" t="s">
        <v>1044</v>
      </c>
      <c r="C275" s="6" t="s">
        <v>1045</v>
      </c>
      <c r="D275" s="3">
        <v>20000</v>
      </c>
      <c r="E275">
        <v>0</v>
      </c>
      <c r="F275" s="6" t="s">
        <v>27</v>
      </c>
      <c r="G275" s="6" t="s">
        <v>25</v>
      </c>
      <c r="H275" s="6" t="s">
        <v>18</v>
      </c>
      <c r="I275">
        <v>1</v>
      </c>
      <c r="J275" t="s">
        <v>22</v>
      </c>
      <c r="K2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75" s="6" t="s">
        <v>17</v>
      </c>
      <c r="M275" s="7">
        <v>30</v>
      </c>
      <c r="N275" t="s">
        <v>18</v>
      </c>
      <c r="O275" s="9" t="str">
        <f>IF(Table1_1[[#This Row],[Purchased Bike]]="yes","1","0")</f>
        <v>0</v>
      </c>
      <c r="P275" s="4" t="str">
        <f>IF(Table1_1[[#This Row],[Income]]&lt;=30000,"Low ",IF(Table1_1[[#This Row],[Income]]&lt;=70000,"Middle","High"))</f>
        <v xml:space="preserve">Low </v>
      </c>
      <c r="Q275" s="6" t="str">
        <f>IF(Table1_1[[#This Row],[Age]]&lt;30,"Young",IF(Table1_1[[#This Row],[Age]]&lt;50,"Middle aged","Senior citizen"))</f>
        <v>Middle aged</v>
      </c>
      <c r="R275" s="7">
        <f>IF(Table1_1[[#This Row],[Marriedarital SingletatuSingle]]="M",Table1_1[[#This Row],[Children]]+2,Table1_1[[#This Row],[Children]]+1)</f>
        <v>1</v>
      </c>
      <c r="S275" s="4" t="str">
        <f>IF(Table1_1[[#This Row],[Cars]]=0,"No","Yes")</f>
        <v>Yes</v>
      </c>
      <c r="T275" s="6" t="str">
        <f>IF(AND(Table1_1[[#This Row],[Income]]&gt;50000,Table1_1[[#This Row],[Home Owner]]="Yes"),"High stability","Low stability")</f>
        <v>Low stability</v>
      </c>
      <c r="U275" s="3">
        <f>Table1_1[[#This Row],[Income]]/Table1_1[[#This Row],[Family size]]</f>
        <v>20000</v>
      </c>
      <c r="V275" s="6" t="str">
        <f>IF(Table1_1[[#This Row],[Occupation]]="Skilled manual","Blue collar",IF(Table1_1[[#This Row],[Occupation]]="Manual","Blue collar","White collar"))</f>
        <v>Blue collar</v>
      </c>
    </row>
    <row r="276" spans="1:22" x14ac:dyDescent="0.3">
      <c r="A276" t="s">
        <v>310</v>
      </c>
      <c r="B276" s="6" t="s">
        <v>1042</v>
      </c>
      <c r="C276" s="6" t="s">
        <v>1045</v>
      </c>
      <c r="D276" s="3">
        <v>30000</v>
      </c>
      <c r="E276">
        <v>0</v>
      </c>
      <c r="F276" s="6" t="s">
        <v>13</v>
      </c>
      <c r="G276" s="6" t="s">
        <v>20</v>
      </c>
      <c r="H276" s="6" t="s">
        <v>18</v>
      </c>
      <c r="I276">
        <v>0</v>
      </c>
      <c r="J276" t="s">
        <v>16</v>
      </c>
      <c r="K2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76" s="6" t="s">
        <v>17</v>
      </c>
      <c r="M276" s="7">
        <v>36</v>
      </c>
      <c r="N276" t="s">
        <v>15</v>
      </c>
      <c r="O276" s="9" t="str">
        <f>IF(Table1_1[[#This Row],[Purchased Bike]]="yes","1","0")</f>
        <v>1</v>
      </c>
      <c r="P276" s="4" t="str">
        <f>IF(Table1_1[[#This Row],[Income]]&lt;=30000,"Low ",IF(Table1_1[[#This Row],[Income]]&lt;=70000,"Middle","High"))</f>
        <v xml:space="preserve">Low </v>
      </c>
      <c r="Q276" s="6" t="str">
        <f>IF(Table1_1[[#This Row],[Age]]&lt;30,"Young",IF(Table1_1[[#This Row],[Age]]&lt;50,"Middle aged","Senior citizen"))</f>
        <v>Middle aged</v>
      </c>
      <c r="R276" s="7">
        <f>IF(Table1_1[[#This Row],[Marriedarital SingletatuSingle]]="M",Table1_1[[#This Row],[Children]]+2,Table1_1[[#This Row],[Children]]+1)</f>
        <v>1</v>
      </c>
      <c r="S276" s="4" t="str">
        <f>IF(Table1_1[[#This Row],[Cars]]=0,"No","Yes")</f>
        <v>No</v>
      </c>
      <c r="T276" s="6" t="str">
        <f>IF(AND(Table1_1[[#This Row],[Income]]&gt;50000,Table1_1[[#This Row],[Home Owner]]="Yes"),"High stability","Low stability")</f>
        <v>Low stability</v>
      </c>
      <c r="U276" s="3">
        <f>Table1_1[[#This Row],[Income]]/Table1_1[[#This Row],[Family size]]</f>
        <v>30000</v>
      </c>
      <c r="V276" s="6" t="str">
        <f>IF(Table1_1[[#This Row],[Occupation]]="Skilled manual","Blue collar",IF(Table1_1[[#This Row],[Occupation]]="Manual","Blue collar","White collar"))</f>
        <v>White collar</v>
      </c>
    </row>
    <row r="277" spans="1:22" x14ac:dyDescent="0.3">
      <c r="A277" t="s">
        <v>311</v>
      </c>
      <c r="B277" s="6" t="s">
        <v>1042</v>
      </c>
      <c r="C277" s="6" t="s">
        <v>1045</v>
      </c>
      <c r="D277" s="3">
        <v>90000</v>
      </c>
      <c r="E277">
        <v>1</v>
      </c>
      <c r="F277" s="6" t="s">
        <v>31</v>
      </c>
      <c r="G277" s="6" t="s">
        <v>28</v>
      </c>
      <c r="H277" s="6" t="s">
        <v>15</v>
      </c>
      <c r="I277">
        <v>0</v>
      </c>
      <c r="J277" t="s">
        <v>16</v>
      </c>
      <c r="K2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77" s="6" t="s">
        <v>24</v>
      </c>
      <c r="M277" s="7">
        <v>37</v>
      </c>
      <c r="N277" t="s">
        <v>15</v>
      </c>
      <c r="O277" s="9" t="str">
        <f>IF(Table1_1[[#This Row],[Purchased Bike]]="yes","1","0")</f>
        <v>1</v>
      </c>
      <c r="P277" s="4" t="str">
        <f>IF(Table1_1[[#This Row],[Income]]&lt;=30000,"Low ",IF(Table1_1[[#This Row],[Income]]&lt;=70000,"Middle","High"))</f>
        <v>High</v>
      </c>
      <c r="Q277" s="6" t="str">
        <f>IF(Table1_1[[#This Row],[Age]]&lt;30,"Young",IF(Table1_1[[#This Row],[Age]]&lt;50,"Middle aged","Senior citizen"))</f>
        <v>Middle aged</v>
      </c>
      <c r="R277" s="7">
        <f>IF(Table1_1[[#This Row],[Marriedarital SingletatuSingle]]="M",Table1_1[[#This Row],[Children]]+2,Table1_1[[#This Row],[Children]]+1)</f>
        <v>2</v>
      </c>
      <c r="S277" s="4" t="str">
        <f>IF(Table1_1[[#This Row],[Cars]]=0,"No","Yes")</f>
        <v>No</v>
      </c>
      <c r="T277" s="6" t="str">
        <f>IF(AND(Table1_1[[#This Row],[Income]]&gt;50000,Table1_1[[#This Row],[Home Owner]]="Yes"),"High stability","Low stability")</f>
        <v>High stability</v>
      </c>
      <c r="U277" s="3">
        <f>Table1_1[[#This Row],[Income]]/Table1_1[[#This Row],[Family size]]</f>
        <v>45000</v>
      </c>
      <c r="V277" s="6" t="str">
        <f>IF(Table1_1[[#This Row],[Occupation]]="Skilled manual","Blue collar",IF(Table1_1[[#This Row],[Occupation]]="Manual","Blue collar","White collar"))</f>
        <v>White collar</v>
      </c>
    </row>
    <row r="278" spans="1:22" x14ac:dyDescent="0.3">
      <c r="A278" t="s">
        <v>312</v>
      </c>
      <c r="B278" s="6" t="s">
        <v>1042</v>
      </c>
      <c r="C278" s="6" t="s">
        <v>1045</v>
      </c>
      <c r="D278" s="3">
        <v>10000</v>
      </c>
      <c r="E278">
        <v>2</v>
      </c>
      <c r="F278" s="6" t="s">
        <v>19</v>
      </c>
      <c r="G278" s="6" t="s">
        <v>25</v>
      </c>
      <c r="H278" s="6" t="s">
        <v>15</v>
      </c>
      <c r="I278">
        <v>0</v>
      </c>
      <c r="J278" t="s">
        <v>26</v>
      </c>
      <c r="K2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278" s="6" t="s">
        <v>17</v>
      </c>
      <c r="M278" s="7">
        <v>49</v>
      </c>
      <c r="N278" t="s">
        <v>18</v>
      </c>
      <c r="O278" s="9" t="str">
        <f>IF(Table1_1[[#This Row],[Purchased Bike]]="yes","1","0")</f>
        <v>0</v>
      </c>
      <c r="P278" s="4" t="str">
        <f>IF(Table1_1[[#This Row],[Income]]&lt;=30000,"Low ",IF(Table1_1[[#This Row],[Income]]&lt;=70000,"Middle","High"))</f>
        <v xml:space="preserve">Low </v>
      </c>
      <c r="Q278" s="6" t="str">
        <f>IF(Table1_1[[#This Row],[Age]]&lt;30,"Young",IF(Table1_1[[#This Row],[Age]]&lt;50,"Middle aged","Senior citizen"))</f>
        <v>Middle aged</v>
      </c>
      <c r="R278" s="7">
        <f>IF(Table1_1[[#This Row],[Marriedarital SingletatuSingle]]="M",Table1_1[[#This Row],[Children]]+2,Table1_1[[#This Row],[Children]]+1)</f>
        <v>3</v>
      </c>
      <c r="S278" s="4" t="str">
        <f>IF(Table1_1[[#This Row],[Cars]]=0,"No","Yes")</f>
        <v>No</v>
      </c>
      <c r="T278" s="6" t="str">
        <f>IF(AND(Table1_1[[#This Row],[Income]]&gt;50000,Table1_1[[#This Row],[Home Owner]]="Yes"),"High stability","Low stability")</f>
        <v>Low stability</v>
      </c>
      <c r="U278" s="3">
        <f>Table1_1[[#This Row],[Income]]/Table1_1[[#This Row],[Family size]]</f>
        <v>3333.3333333333335</v>
      </c>
      <c r="V278" s="6" t="str">
        <f>IF(Table1_1[[#This Row],[Occupation]]="Skilled manual","Blue collar",IF(Table1_1[[#This Row],[Occupation]]="Manual","Blue collar","White collar"))</f>
        <v>Blue collar</v>
      </c>
    </row>
    <row r="279" spans="1:22" x14ac:dyDescent="0.3">
      <c r="A279" t="s">
        <v>313</v>
      </c>
      <c r="B279" s="6" t="s">
        <v>1042</v>
      </c>
      <c r="C279" s="6" t="s">
        <v>1045</v>
      </c>
      <c r="D279" s="3">
        <v>10000</v>
      </c>
      <c r="E279">
        <v>2</v>
      </c>
      <c r="F279" s="6" t="s">
        <v>27</v>
      </c>
      <c r="G279" s="6" t="s">
        <v>25</v>
      </c>
      <c r="H279" s="6" t="s">
        <v>15</v>
      </c>
      <c r="I279">
        <v>0</v>
      </c>
      <c r="J279" t="s">
        <v>16</v>
      </c>
      <c r="K2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79" s="6" t="s">
        <v>17</v>
      </c>
      <c r="M279" s="7">
        <v>37</v>
      </c>
      <c r="N279" t="s">
        <v>15</v>
      </c>
      <c r="O279" s="9" t="str">
        <f>IF(Table1_1[[#This Row],[Purchased Bike]]="yes","1","0")</f>
        <v>1</v>
      </c>
      <c r="P279" s="4" t="str">
        <f>IF(Table1_1[[#This Row],[Income]]&lt;=30000,"Low ",IF(Table1_1[[#This Row],[Income]]&lt;=70000,"Middle","High"))</f>
        <v xml:space="preserve">Low </v>
      </c>
      <c r="Q279" s="6" t="str">
        <f>IF(Table1_1[[#This Row],[Age]]&lt;30,"Young",IF(Table1_1[[#This Row],[Age]]&lt;50,"Middle aged","Senior citizen"))</f>
        <v>Middle aged</v>
      </c>
      <c r="R279" s="7">
        <f>IF(Table1_1[[#This Row],[Marriedarital SingletatuSingle]]="M",Table1_1[[#This Row],[Children]]+2,Table1_1[[#This Row],[Children]]+1)</f>
        <v>3</v>
      </c>
      <c r="S279" s="4" t="str">
        <f>IF(Table1_1[[#This Row],[Cars]]=0,"No","Yes")</f>
        <v>No</v>
      </c>
      <c r="T279" s="6" t="str">
        <f>IF(AND(Table1_1[[#This Row],[Income]]&gt;50000,Table1_1[[#This Row],[Home Owner]]="Yes"),"High stability","Low stability")</f>
        <v>Low stability</v>
      </c>
      <c r="U279" s="3">
        <f>Table1_1[[#This Row],[Income]]/Table1_1[[#This Row],[Family size]]</f>
        <v>3333.3333333333335</v>
      </c>
      <c r="V279" s="6" t="str">
        <f>IF(Table1_1[[#This Row],[Occupation]]="Skilled manual","Blue collar",IF(Table1_1[[#This Row],[Occupation]]="Manual","Blue collar","White collar"))</f>
        <v>Blue collar</v>
      </c>
    </row>
    <row r="280" spans="1:22" x14ac:dyDescent="0.3">
      <c r="A280" t="s">
        <v>314</v>
      </c>
      <c r="B280" s="6" t="s">
        <v>1042</v>
      </c>
      <c r="C280" s="6" t="s">
        <v>1046</v>
      </c>
      <c r="D280" s="3">
        <v>100000</v>
      </c>
      <c r="E280">
        <v>0</v>
      </c>
      <c r="F280" s="6" t="s">
        <v>27</v>
      </c>
      <c r="G280" s="6" t="s">
        <v>28</v>
      </c>
      <c r="H280" s="6" t="s">
        <v>15</v>
      </c>
      <c r="I280">
        <v>3</v>
      </c>
      <c r="J280" t="s">
        <v>30</v>
      </c>
      <c r="K2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80" s="6" t="s">
        <v>24</v>
      </c>
      <c r="M280" s="7">
        <v>35</v>
      </c>
      <c r="N280" t="s">
        <v>15</v>
      </c>
      <c r="O280" s="9" t="str">
        <f>IF(Table1_1[[#This Row],[Purchased Bike]]="yes","1","0")</f>
        <v>1</v>
      </c>
      <c r="P280" s="4" t="str">
        <f>IF(Table1_1[[#This Row],[Income]]&lt;=30000,"Low ",IF(Table1_1[[#This Row],[Income]]&lt;=70000,"Middle","High"))</f>
        <v>High</v>
      </c>
      <c r="Q280" s="6" t="str">
        <f>IF(Table1_1[[#This Row],[Age]]&lt;30,"Young",IF(Table1_1[[#This Row],[Age]]&lt;50,"Middle aged","Senior citizen"))</f>
        <v>Middle aged</v>
      </c>
      <c r="R280" s="7">
        <f>IF(Table1_1[[#This Row],[Marriedarital SingletatuSingle]]="M",Table1_1[[#This Row],[Children]]+2,Table1_1[[#This Row],[Children]]+1)</f>
        <v>1</v>
      </c>
      <c r="S280" s="4" t="str">
        <f>IF(Table1_1[[#This Row],[Cars]]=0,"No","Yes")</f>
        <v>Yes</v>
      </c>
      <c r="T280" s="6" t="str">
        <f>IF(AND(Table1_1[[#This Row],[Income]]&gt;50000,Table1_1[[#This Row],[Home Owner]]="Yes"),"High stability","Low stability")</f>
        <v>High stability</v>
      </c>
      <c r="U280" s="3">
        <f>Table1_1[[#This Row],[Income]]/Table1_1[[#This Row],[Family size]]</f>
        <v>100000</v>
      </c>
      <c r="V280" s="6" t="str">
        <f>IF(Table1_1[[#This Row],[Occupation]]="Skilled manual","Blue collar",IF(Table1_1[[#This Row],[Occupation]]="Manual","Blue collar","White collar"))</f>
        <v>White collar</v>
      </c>
    </row>
    <row r="281" spans="1:22" x14ac:dyDescent="0.3">
      <c r="A281" t="s">
        <v>315</v>
      </c>
      <c r="B281" s="6" t="s">
        <v>1044</v>
      </c>
      <c r="C281" s="6" t="s">
        <v>1046</v>
      </c>
      <c r="D281" s="3">
        <v>30000</v>
      </c>
      <c r="E281">
        <v>1</v>
      </c>
      <c r="F281" s="6" t="s">
        <v>13</v>
      </c>
      <c r="G281" s="6" t="s">
        <v>20</v>
      </c>
      <c r="H281" s="6" t="s">
        <v>18</v>
      </c>
      <c r="I281">
        <v>0</v>
      </c>
      <c r="J281" t="s">
        <v>16</v>
      </c>
      <c r="K2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81" s="6" t="s">
        <v>17</v>
      </c>
      <c r="M281" s="7">
        <v>38</v>
      </c>
      <c r="N281" t="s">
        <v>15</v>
      </c>
      <c r="O281" s="9" t="str">
        <f>IF(Table1_1[[#This Row],[Purchased Bike]]="yes","1","0")</f>
        <v>1</v>
      </c>
      <c r="P281" s="4" t="str">
        <f>IF(Table1_1[[#This Row],[Income]]&lt;=30000,"Low ",IF(Table1_1[[#This Row],[Income]]&lt;=70000,"Middle","High"))</f>
        <v xml:space="preserve">Low </v>
      </c>
      <c r="Q281" s="6" t="str">
        <f>IF(Table1_1[[#This Row],[Age]]&lt;30,"Young",IF(Table1_1[[#This Row],[Age]]&lt;50,"Middle aged","Senior citizen"))</f>
        <v>Middle aged</v>
      </c>
      <c r="R281" s="7">
        <f>IF(Table1_1[[#This Row],[Marriedarital SingletatuSingle]]="M",Table1_1[[#This Row],[Children]]+2,Table1_1[[#This Row],[Children]]+1)</f>
        <v>2</v>
      </c>
      <c r="S281" s="4" t="str">
        <f>IF(Table1_1[[#This Row],[Cars]]=0,"No","Yes")</f>
        <v>No</v>
      </c>
      <c r="T281" s="6" t="str">
        <f>IF(AND(Table1_1[[#This Row],[Income]]&gt;50000,Table1_1[[#This Row],[Home Owner]]="Yes"),"High stability","Low stability")</f>
        <v>Low stability</v>
      </c>
      <c r="U281" s="3">
        <f>Table1_1[[#This Row],[Income]]/Table1_1[[#This Row],[Family size]]</f>
        <v>15000</v>
      </c>
      <c r="V281" s="6" t="str">
        <f>IF(Table1_1[[#This Row],[Occupation]]="Skilled manual","Blue collar",IF(Table1_1[[#This Row],[Occupation]]="Manual","Blue collar","White collar"))</f>
        <v>White collar</v>
      </c>
    </row>
    <row r="282" spans="1:22" x14ac:dyDescent="0.3">
      <c r="A282" t="s">
        <v>316</v>
      </c>
      <c r="B282" s="6" t="s">
        <v>1044</v>
      </c>
      <c r="C282" s="6" t="s">
        <v>1045</v>
      </c>
      <c r="D282" s="3">
        <v>10000</v>
      </c>
      <c r="E282">
        <v>3</v>
      </c>
      <c r="F282" s="6" t="s">
        <v>29</v>
      </c>
      <c r="G282" s="6" t="s">
        <v>25</v>
      </c>
      <c r="H282" s="6" t="s">
        <v>15</v>
      </c>
      <c r="I282">
        <v>2</v>
      </c>
      <c r="J282" t="s">
        <v>16</v>
      </c>
      <c r="K2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82" s="6" t="s">
        <v>17</v>
      </c>
      <c r="M282" s="7">
        <v>43</v>
      </c>
      <c r="N282" t="s">
        <v>18</v>
      </c>
      <c r="O282" s="9" t="str">
        <f>IF(Table1_1[[#This Row],[Purchased Bike]]="yes","1","0")</f>
        <v>0</v>
      </c>
      <c r="P282" s="4" t="str">
        <f>IF(Table1_1[[#This Row],[Income]]&lt;=30000,"Low ",IF(Table1_1[[#This Row],[Income]]&lt;=70000,"Middle","High"))</f>
        <v xml:space="preserve">Low </v>
      </c>
      <c r="Q282" s="6" t="str">
        <f>IF(Table1_1[[#This Row],[Age]]&lt;30,"Young",IF(Table1_1[[#This Row],[Age]]&lt;50,"Middle aged","Senior citizen"))</f>
        <v>Middle aged</v>
      </c>
      <c r="R282" s="7">
        <f>IF(Table1_1[[#This Row],[Marriedarital SingletatuSingle]]="M",Table1_1[[#This Row],[Children]]+2,Table1_1[[#This Row],[Children]]+1)</f>
        <v>4</v>
      </c>
      <c r="S282" s="4" t="str">
        <f>IF(Table1_1[[#This Row],[Cars]]=0,"No","Yes")</f>
        <v>Yes</v>
      </c>
      <c r="T282" s="6" t="str">
        <f>IF(AND(Table1_1[[#This Row],[Income]]&gt;50000,Table1_1[[#This Row],[Home Owner]]="Yes"),"High stability","Low stability")</f>
        <v>Low stability</v>
      </c>
      <c r="U282" s="3">
        <f>Table1_1[[#This Row],[Income]]/Table1_1[[#This Row],[Family size]]</f>
        <v>2500</v>
      </c>
      <c r="V282" s="6" t="str">
        <f>IF(Table1_1[[#This Row],[Occupation]]="Skilled manual","Blue collar",IF(Table1_1[[#This Row],[Occupation]]="Manual","Blue collar","White collar"))</f>
        <v>Blue collar</v>
      </c>
    </row>
    <row r="283" spans="1:22" x14ac:dyDescent="0.3">
      <c r="A283" t="s">
        <v>317</v>
      </c>
      <c r="B283" s="6" t="s">
        <v>1044</v>
      </c>
      <c r="C283" s="6" t="s">
        <v>1046</v>
      </c>
      <c r="D283" s="3">
        <v>20000</v>
      </c>
      <c r="E283">
        <v>1</v>
      </c>
      <c r="F283" s="6" t="s">
        <v>19</v>
      </c>
      <c r="G283" s="6" t="s">
        <v>25</v>
      </c>
      <c r="H283" s="6" t="s">
        <v>18</v>
      </c>
      <c r="I283">
        <v>0</v>
      </c>
      <c r="J283" t="s">
        <v>16</v>
      </c>
      <c r="K2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83" s="6" t="s">
        <v>17</v>
      </c>
      <c r="M283" s="7">
        <v>37</v>
      </c>
      <c r="N283" t="s">
        <v>18</v>
      </c>
      <c r="O283" s="9" t="str">
        <f>IF(Table1_1[[#This Row],[Purchased Bike]]="yes","1","0")</f>
        <v>0</v>
      </c>
      <c r="P283" s="4" t="str">
        <f>IF(Table1_1[[#This Row],[Income]]&lt;=30000,"Low ",IF(Table1_1[[#This Row],[Income]]&lt;=70000,"Middle","High"))</f>
        <v xml:space="preserve">Low </v>
      </c>
      <c r="Q283" s="6" t="str">
        <f>IF(Table1_1[[#This Row],[Age]]&lt;30,"Young",IF(Table1_1[[#This Row],[Age]]&lt;50,"Middle aged","Senior citizen"))</f>
        <v>Middle aged</v>
      </c>
      <c r="R283" s="7">
        <f>IF(Table1_1[[#This Row],[Marriedarital SingletatuSingle]]="M",Table1_1[[#This Row],[Children]]+2,Table1_1[[#This Row],[Children]]+1)</f>
        <v>2</v>
      </c>
      <c r="S283" s="4" t="str">
        <f>IF(Table1_1[[#This Row],[Cars]]=0,"No","Yes")</f>
        <v>No</v>
      </c>
      <c r="T283" s="6" t="str">
        <f>IF(AND(Table1_1[[#This Row],[Income]]&gt;50000,Table1_1[[#This Row],[Home Owner]]="Yes"),"High stability","Low stability")</f>
        <v>Low stability</v>
      </c>
      <c r="U283" s="3">
        <f>Table1_1[[#This Row],[Income]]/Table1_1[[#This Row],[Family size]]</f>
        <v>10000</v>
      </c>
      <c r="V283" s="6" t="str">
        <f>IF(Table1_1[[#This Row],[Occupation]]="Skilled manual","Blue collar",IF(Table1_1[[#This Row],[Occupation]]="Manual","Blue collar","White collar"))</f>
        <v>Blue collar</v>
      </c>
    </row>
    <row r="284" spans="1:22" x14ac:dyDescent="0.3">
      <c r="A284" t="s">
        <v>318</v>
      </c>
      <c r="B284" s="6" t="s">
        <v>1044</v>
      </c>
      <c r="C284" s="6" t="s">
        <v>1046</v>
      </c>
      <c r="D284" s="3">
        <v>10000</v>
      </c>
      <c r="E284">
        <v>0</v>
      </c>
      <c r="F284" s="6" t="s">
        <v>29</v>
      </c>
      <c r="G284" s="6" t="s">
        <v>25</v>
      </c>
      <c r="H284" s="6" t="s">
        <v>18</v>
      </c>
      <c r="I284">
        <v>2</v>
      </c>
      <c r="J284" t="s">
        <v>16</v>
      </c>
      <c r="K2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84" s="6" t="s">
        <v>17</v>
      </c>
      <c r="M284" s="7">
        <v>34</v>
      </c>
      <c r="N284" t="s">
        <v>18</v>
      </c>
      <c r="O284" s="9" t="str">
        <f>IF(Table1_1[[#This Row],[Purchased Bike]]="yes","1","0")</f>
        <v>0</v>
      </c>
      <c r="P284" s="4" t="str">
        <f>IF(Table1_1[[#This Row],[Income]]&lt;=30000,"Low ",IF(Table1_1[[#This Row],[Income]]&lt;=70000,"Middle","High"))</f>
        <v xml:space="preserve">Low </v>
      </c>
      <c r="Q284" s="6" t="str">
        <f>IF(Table1_1[[#This Row],[Age]]&lt;30,"Young",IF(Table1_1[[#This Row],[Age]]&lt;50,"Middle aged","Senior citizen"))</f>
        <v>Middle aged</v>
      </c>
      <c r="R284" s="7">
        <f>IF(Table1_1[[#This Row],[Marriedarital SingletatuSingle]]="M",Table1_1[[#This Row],[Children]]+2,Table1_1[[#This Row],[Children]]+1)</f>
        <v>1</v>
      </c>
      <c r="S284" s="4" t="str">
        <f>IF(Table1_1[[#This Row],[Cars]]=0,"No","Yes")</f>
        <v>Yes</v>
      </c>
      <c r="T284" s="6" t="str">
        <f>IF(AND(Table1_1[[#This Row],[Income]]&gt;50000,Table1_1[[#This Row],[Home Owner]]="Yes"),"High stability","Low stability")</f>
        <v>Low stability</v>
      </c>
      <c r="U284" s="3">
        <f>Table1_1[[#This Row],[Income]]/Table1_1[[#This Row],[Family size]]</f>
        <v>10000</v>
      </c>
      <c r="V284" s="6" t="str">
        <f>IF(Table1_1[[#This Row],[Occupation]]="Skilled manual","Blue collar",IF(Table1_1[[#This Row],[Occupation]]="Manual","Blue collar","White collar"))</f>
        <v>Blue collar</v>
      </c>
    </row>
    <row r="285" spans="1:22" x14ac:dyDescent="0.3">
      <c r="A285" t="s">
        <v>319</v>
      </c>
      <c r="B285" s="6" t="s">
        <v>1042</v>
      </c>
      <c r="C285" s="6" t="s">
        <v>1045</v>
      </c>
      <c r="D285" s="3">
        <v>70000</v>
      </c>
      <c r="E285">
        <v>5</v>
      </c>
      <c r="F285" s="6" t="s">
        <v>19</v>
      </c>
      <c r="G285" s="6" t="s">
        <v>14</v>
      </c>
      <c r="H285" s="6" t="s">
        <v>18</v>
      </c>
      <c r="I285">
        <v>3</v>
      </c>
      <c r="J285" t="s">
        <v>23</v>
      </c>
      <c r="K2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85" s="6" t="s">
        <v>24</v>
      </c>
      <c r="M285" s="7">
        <v>46</v>
      </c>
      <c r="N285" t="s">
        <v>18</v>
      </c>
      <c r="O285" s="9" t="str">
        <f>IF(Table1_1[[#This Row],[Purchased Bike]]="yes","1","0")</f>
        <v>0</v>
      </c>
      <c r="P285" s="4" t="str">
        <f>IF(Table1_1[[#This Row],[Income]]&lt;=30000,"Low ",IF(Table1_1[[#This Row],[Income]]&lt;=70000,"Middle","High"))</f>
        <v>Middle</v>
      </c>
      <c r="Q285" s="6" t="str">
        <f>IF(Table1_1[[#This Row],[Age]]&lt;30,"Young",IF(Table1_1[[#This Row],[Age]]&lt;50,"Middle aged","Senior citizen"))</f>
        <v>Middle aged</v>
      </c>
      <c r="R285" s="7">
        <f>IF(Table1_1[[#This Row],[Marriedarital SingletatuSingle]]="M",Table1_1[[#This Row],[Children]]+2,Table1_1[[#This Row],[Children]]+1)</f>
        <v>6</v>
      </c>
      <c r="S285" s="4" t="str">
        <f>IF(Table1_1[[#This Row],[Cars]]=0,"No","Yes")</f>
        <v>Yes</v>
      </c>
      <c r="T285" s="6" t="str">
        <f>IF(AND(Table1_1[[#This Row],[Income]]&gt;50000,Table1_1[[#This Row],[Home Owner]]="Yes"),"High stability","Low stability")</f>
        <v>Low stability</v>
      </c>
      <c r="U285" s="3">
        <f>Table1_1[[#This Row],[Income]]/Table1_1[[#This Row],[Family size]]</f>
        <v>11666.666666666666</v>
      </c>
      <c r="V285" s="6" t="str">
        <f>IF(Table1_1[[#This Row],[Occupation]]="Skilled manual","Blue collar",IF(Table1_1[[#This Row],[Occupation]]="Manual","Blue collar","White collar"))</f>
        <v>Blue collar</v>
      </c>
    </row>
    <row r="286" spans="1:22" x14ac:dyDescent="0.3">
      <c r="A286" t="s">
        <v>320</v>
      </c>
      <c r="B286" s="6" t="s">
        <v>1044</v>
      </c>
      <c r="C286" s="6" t="s">
        <v>1046</v>
      </c>
      <c r="D286" s="3">
        <v>10000</v>
      </c>
      <c r="E286">
        <v>1</v>
      </c>
      <c r="F286" s="6" t="s">
        <v>19</v>
      </c>
      <c r="G286" s="6" t="s">
        <v>25</v>
      </c>
      <c r="H286" s="6" t="s">
        <v>15</v>
      </c>
      <c r="I286">
        <v>0</v>
      </c>
      <c r="J286" t="s">
        <v>16</v>
      </c>
      <c r="K2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86" s="6" t="s">
        <v>17</v>
      </c>
      <c r="M286" s="7">
        <v>49</v>
      </c>
      <c r="N286" t="s">
        <v>18</v>
      </c>
      <c r="O286" s="9" t="str">
        <f>IF(Table1_1[[#This Row],[Purchased Bike]]="yes","1","0")</f>
        <v>0</v>
      </c>
      <c r="P286" s="4" t="str">
        <f>IF(Table1_1[[#This Row],[Income]]&lt;=30000,"Low ",IF(Table1_1[[#This Row],[Income]]&lt;=70000,"Middle","High"))</f>
        <v xml:space="preserve">Low </v>
      </c>
      <c r="Q286" s="6" t="str">
        <f>IF(Table1_1[[#This Row],[Age]]&lt;30,"Young",IF(Table1_1[[#This Row],[Age]]&lt;50,"Middle aged","Senior citizen"))</f>
        <v>Middle aged</v>
      </c>
      <c r="R286" s="7">
        <f>IF(Table1_1[[#This Row],[Marriedarital SingletatuSingle]]="M",Table1_1[[#This Row],[Children]]+2,Table1_1[[#This Row],[Children]]+1)</f>
        <v>2</v>
      </c>
      <c r="S286" s="4" t="str">
        <f>IF(Table1_1[[#This Row],[Cars]]=0,"No","Yes")</f>
        <v>No</v>
      </c>
      <c r="T286" s="6" t="str">
        <f>IF(AND(Table1_1[[#This Row],[Income]]&gt;50000,Table1_1[[#This Row],[Home Owner]]="Yes"),"High stability","Low stability")</f>
        <v>Low stability</v>
      </c>
      <c r="U286" s="3">
        <f>Table1_1[[#This Row],[Income]]/Table1_1[[#This Row],[Family size]]</f>
        <v>5000</v>
      </c>
      <c r="V286" s="6" t="str">
        <f>IF(Table1_1[[#This Row],[Occupation]]="Skilled manual","Blue collar",IF(Table1_1[[#This Row],[Occupation]]="Manual","Blue collar","White collar"))</f>
        <v>Blue collar</v>
      </c>
    </row>
    <row r="287" spans="1:22" x14ac:dyDescent="0.3">
      <c r="A287" t="s">
        <v>321</v>
      </c>
      <c r="B287" s="6" t="s">
        <v>1042</v>
      </c>
      <c r="C287" s="6" t="s">
        <v>1045</v>
      </c>
      <c r="D287" s="3">
        <v>60000</v>
      </c>
      <c r="E287">
        <v>1</v>
      </c>
      <c r="F287" s="6" t="s">
        <v>19</v>
      </c>
      <c r="G287" s="6" t="s">
        <v>14</v>
      </c>
      <c r="H287" s="6" t="s">
        <v>15</v>
      </c>
      <c r="I287">
        <v>1</v>
      </c>
      <c r="J287" t="s">
        <v>23</v>
      </c>
      <c r="K2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87" s="6" t="s">
        <v>24</v>
      </c>
      <c r="M287" s="7">
        <v>45</v>
      </c>
      <c r="N287" t="s">
        <v>18</v>
      </c>
      <c r="O287" s="9" t="str">
        <f>IF(Table1_1[[#This Row],[Purchased Bike]]="yes","1","0")</f>
        <v>0</v>
      </c>
      <c r="P287" s="4" t="str">
        <f>IF(Table1_1[[#This Row],[Income]]&lt;=30000,"Low ",IF(Table1_1[[#This Row],[Income]]&lt;=70000,"Middle","High"))</f>
        <v>Middle</v>
      </c>
      <c r="Q287" s="6" t="str">
        <f>IF(Table1_1[[#This Row],[Age]]&lt;30,"Young",IF(Table1_1[[#This Row],[Age]]&lt;50,"Middle aged","Senior citizen"))</f>
        <v>Middle aged</v>
      </c>
      <c r="R287" s="7">
        <f>IF(Table1_1[[#This Row],[Marriedarital SingletatuSingle]]="M",Table1_1[[#This Row],[Children]]+2,Table1_1[[#This Row],[Children]]+1)</f>
        <v>2</v>
      </c>
      <c r="S287" s="4" t="str">
        <f>IF(Table1_1[[#This Row],[Cars]]=0,"No","Yes")</f>
        <v>Yes</v>
      </c>
      <c r="T287" s="6" t="str">
        <f>IF(AND(Table1_1[[#This Row],[Income]]&gt;50000,Table1_1[[#This Row],[Home Owner]]="Yes"),"High stability","Low stability")</f>
        <v>High stability</v>
      </c>
      <c r="U287" s="3">
        <f>Table1_1[[#This Row],[Income]]/Table1_1[[#This Row],[Family size]]</f>
        <v>30000</v>
      </c>
      <c r="V287" s="6" t="str">
        <f>IF(Table1_1[[#This Row],[Occupation]]="Skilled manual","Blue collar",IF(Table1_1[[#This Row],[Occupation]]="Manual","Blue collar","White collar"))</f>
        <v>Blue collar</v>
      </c>
    </row>
    <row r="288" spans="1:22" x14ac:dyDescent="0.3">
      <c r="A288" t="s">
        <v>322</v>
      </c>
      <c r="B288" s="6" t="s">
        <v>1044</v>
      </c>
      <c r="C288" s="6" t="s">
        <v>1045</v>
      </c>
      <c r="D288" s="3">
        <v>100000</v>
      </c>
      <c r="E288">
        <v>1</v>
      </c>
      <c r="F288" s="6" t="s">
        <v>13</v>
      </c>
      <c r="G288" s="6" t="s">
        <v>28</v>
      </c>
      <c r="H288" s="6" t="s">
        <v>15</v>
      </c>
      <c r="I288">
        <v>4</v>
      </c>
      <c r="J288" t="s">
        <v>22</v>
      </c>
      <c r="K2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88" s="6" t="s">
        <v>24</v>
      </c>
      <c r="M288" s="7">
        <v>48</v>
      </c>
      <c r="N288" t="s">
        <v>18</v>
      </c>
      <c r="O288" s="9" t="str">
        <f>IF(Table1_1[[#This Row],[Purchased Bike]]="yes","1","0")</f>
        <v>0</v>
      </c>
      <c r="P288" s="4" t="str">
        <f>IF(Table1_1[[#This Row],[Income]]&lt;=30000,"Low ",IF(Table1_1[[#This Row],[Income]]&lt;=70000,"Middle","High"))</f>
        <v>High</v>
      </c>
      <c r="Q288" s="6" t="str">
        <f>IF(Table1_1[[#This Row],[Age]]&lt;30,"Young",IF(Table1_1[[#This Row],[Age]]&lt;50,"Middle aged","Senior citizen"))</f>
        <v>Middle aged</v>
      </c>
      <c r="R288" s="7">
        <f>IF(Table1_1[[#This Row],[Marriedarital SingletatuSingle]]="M",Table1_1[[#This Row],[Children]]+2,Table1_1[[#This Row],[Children]]+1)</f>
        <v>2</v>
      </c>
      <c r="S288" s="4" t="str">
        <f>IF(Table1_1[[#This Row],[Cars]]=0,"No","Yes")</f>
        <v>Yes</v>
      </c>
      <c r="T288" s="6" t="str">
        <f>IF(AND(Table1_1[[#This Row],[Income]]&gt;50000,Table1_1[[#This Row],[Home Owner]]="Yes"),"High stability","Low stability")</f>
        <v>High stability</v>
      </c>
      <c r="U288" s="3">
        <f>Table1_1[[#This Row],[Income]]/Table1_1[[#This Row],[Family size]]</f>
        <v>50000</v>
      </c>
      <c r="V288" s="6" t="str">
        <f>IF(Table1_1[[#This Row],[Occupation]]="Skilled manual","Blue collar",IF(Table1_1[[#This Row],[Occupation]]="Manual","Blue collar","White collar"))</f>
        <v>White collar</v>
      </c>
    </row>
    <row r="289" spans="1:22" x14ac:dyDescent="0.3">
      <c r="A289" t="s">
        <v>323</v>
      </c>
      <c r="B289" s="6" t="s">
        <v>1044</v>
      </c>
      <c r="C289" s="6" t="s">
        <v>1045</v>
      </c>
      <c r="D289" s="3">
        <v>30000</v>
      </c>
      <c r="E289">
        <v>3</v>
      </c>
      <c r="F289" s="6" t="s">
        <v>31</v>
      </c>
      <c r="G289" s="6" t="s">
        <v>20</v>
      </c>
      <c r="H289" s="6" t="s">
        <v>18</v>
      </c>
      <c r="I289">
        <v>0</v>
      </c>
      <c r="J289" t="s">
        <v>16</v>
      </c>
      <c r="K2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89" s="6" t="s">
        <v>17</v>
      </c>
      <c r="M289" s="7">
        <v>46</v>
      </c>
      <c r="N289" t="s">
        <v>15</v>
      </c>
      <c r="O289" s="9" t="str">
        <f>IF(Table1_1[[#This Row],[Purchased Bike]]="yes","1","0")</f>
        <v>1</v>
      </c>
      <c r="P289" s="4" t="str">
        <f>IF(Table1_1[[#This Row],[Income]]&lt;=30000,"Low ",IF(Table1_1[[#This Row],[Income]]&lt;=70000,"Middle","High"))</f>
        <v xml:space="preserve">Low </v>
      </c>
      <c r="Q289" s="6" t="str">
        <f>IF(Table1_1[[#This Row],[Age]]&lt;30,"Young",IF(Table1_1[[#This Row],[Age]]&lt;50,"Middle aged","Senior citizen"))</f>
        <v>Middle aged</v>
      </c>
      <c r="R289" s="7">
        <f>IF(Table1_1[[#This Row],[Marriedarital SingletatuSingle]]="M",Table1_1[[#This Row],[Children]]+2,Table1_1[[#This Row],[Children]]+1)</f>
        <v>4</v>
      </c>
      <c r="S289" s="4" t="str">
        <f>IF(Table1_1[[#This Row],[Cars]]=0,"No","Yes")</f>
        <v>No</v>
      </c>
      <c r="T289" s="6" t="str">
        <f>IF(AND(Table1_1[[#This Row],[Income]]&gt;50000,Table1_1[[#This Row],[Home Owner]]="Yes"),"High stability","Low stability")</f>
        <v>Low stability</v>
      </c>
      <c r="U289" s="3">
        <f>Table1_1[[#This Row],[Income]]/Table1_1[[#This Row],[Family size]]</f>
        <v>7500</v>
      </c>
      <c r="V289" s="6" t="str">
        <f>IF(Table1_1[[#This Row],[Occupation]]="Skilled manual","Blue collar",IF(Table1_1[[#This Row],[Occupation]]="Manual","Blue collar","White collar"))</f>
        <v>White collar</v>
      </c>
    </row>
    <row r="290" spans="1:22" x14ac:dyDescent="0.3">
      <c r="A290" t="s">
        <v>324</v>
      </c>
      <c r="B290" s="6" t="s">
        <v>1042</v>
      </c>
      <c r="C290" s="6" t="s">
        <v>1046</v>
      </c>
      <c r="D290" s="3">
        <v>130000</v>
      </c>
      <c r="E290">
        <v>0</v>
      </c>
      <c r="F290" s="6" t="s">
        <v>31</v>
      </c>
      <c r="G290" s="6" t="s">
        <v>28</v>
      </c>
      <c r="H290" s="6" t="s">
        <v>15</v>
      </c>
      <c r="I290">
        <v>0</v>
      </c>
      <c r="J290" t="s">
        <v>23</v>
      </c>
      <c r="K2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90" s="6" t="s">
        <v>24</v>
      </c>
      <c r="M290" s="7">
        <v>48</v>
      </c>
      <c r="N290" t="s">
        <v>18</v>
      </c>
      <c r="O290" s="9" t="str">
        <f>IF(Table1_1[[#This Row],[Purchased Bike]]="yes","1","0")</f>
        <v>0</v>
      </c>
      <c r="P290" s="4" t="str">
        <f>IF(Table1_1[[#This Row],[Income]]&lt;=30000,"Low ",IF(Table1_1[[#This Row],[Income]]&lt;=70000,"Middle","High"))</f>
        <v>High</v>
      </c>
      <c r="Q290" s="6" t="str">
        <f>IF(Table1_1[[#This Row],[Age]]&lt;30,"Young",IF(Table1_1[[#This Row],[Age]]&lt;50,"Middle aged","Senior citizen"))</f>
        <v>Middle aged</v>
      </c>
      <c r="R290" s="7">
        <f>IF(Table1_1[[#This Row],[Marriedarital SingletatuSingle]]="M",Table1_1[[#This Row],[Children]]+2,Table1_1[[#This Row],[Children]]+1)</f>
        <v>1</v>
      </c>
      <c r="S290" s="4" t="str">
        <f>IF(Table1_1[[#This Row],[Cars]]=0,"No","Yes")</f>
        <v>No</v>
      </c>
      <c r="T290" s="6" t="str">
        <f>IF(AND(Table1_1[[#This Row],[Income]]&gt;50000,Table1_1[[#This Row],[Home Owner]]="Yes"),"High stability","Low stability")</f>
        <v>High stability</v>
      </c>
      <c r="U290" s="3">
        <f>Table1_1[[#This Row],[Income]]/Table1_1[[#This Row],[Family size]]</f>
        <v>130000</v>
      </c>
      <c r="V290" s="6" t="str">
        <f>IF(Table1_1[[#This Row],[Occupation]]="Skilled manual","Blue collar",IF(Table1_1[[#This Row],[Occupation]]="Manual","Blue collar","White collar"))</f>
        <v>White collar</v>
      </c>
    </row>
    <row r="291" spans="1:22" x14ac:dyDescent="0.3">
      <c r="A291" t="s">
        <v>325</v>
      </c>
      <c r="B291" s="6" t="s">
        <v>1042</v>
      </c>
      <c r="C291" s="6" t="s">
        <v>1046</v>
      </c>
      <c r="D291" s="3">
        <v>30000</v>
      </c>
      <c r="E291">
        <v>3</v>
      </c>
      <c r="F291" s="6" t="s">
        <v>27</v>
      </c>
      <c r="G291" s="6" t="s">
        <v>14</v>
      </c>
      <c r="H291" s="6" t="s">
        <v>15</v>
      </c>
      <c r="I291">
        <v>2</v>
      </c>
      <c r="J291" t="s">
        <v>23</v>
      </c>
      <c r="K2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291" s="6" t="s">
        <v>24</v>
      </c>
      <c r="M291" s="7">
        <v>54</v>
      </c>
      <c r="N291" t="s">
        <v>15</v>
      </c>
      <c r="O291" s="9" t="str">
        <f>IF(Table1_1[[#This Row],[Purchased Bike]]="yes","1","0")</f>
        <v>1</v>
      </c>
      <c r="P291" s="4" t="str">
        <f>IF(Table1_1[[#This Row],[Income]]&lt;=30000,"Low ",IF(Table1_1[[#This Row],[Income]]&lt;=70000,"Middle","High"))</f>
        <v xml:space="preserve">Low </v>
      </c>
      <c r="Q291" s="6" t="str">
        <f>IF(Table1_1[[#This Row],[Age]]&lt;30,"Young",IF(Table1_1[[#This Row],[Age]]&lt;50,"Middle aged","Senior citizen"))</f>
        <v>Senior citizen</v>
      </c>
      <c r="R291" s="7">
        <f>IF(Table1_1[[#This Row],[Marriedarital SingletatuSingle]]="M",Table1_1[[#This Row],[Children]]+2,Table1_1[[#This Row],[Children]]+1)</f>
        <v>4</v>
      </c>
      <c r="S291" s="4" t="str">
        <f>IF(Table1_1[[#This Row],[Cars]]=0,"No","Yes")</f>
        <v>Yes</v>
      </c>
      <c r="T291" s="6" t="str">
        <f>IF(AND(Table1_1[[#This Row],[Income]]&gt;50000,Table1_1[[#This Row],[Home Owner]]="Yes"),"High stability","Low stability")</f>
        <v>Low stability</v>
      </c>
      <c r="U291" s="3">
        <f>Table1_1[[#This Row],[Income]]/Table1_1[[#This Row],[Family size]]</f>
        <v>7500</v>
      </c>
      <c r="V291" s="6" t="str">
        <f>IF(Table1_1[[#This Row],[Occupation]]="Skilled manual","Blue collar",IF(Table1_1[[#This Row],[Occupation]]="Manual","Blue collar","White collar"))</f>
        <v>Blue collar</v>
      </c>
    </row>
    <row r="292" spans="1:22" x14ac:dyDescent="0.3">
      <c r="A292" t="s">
        <v>326</v>
      </c>
      <c r="B292" s="6" t="s">
        <v>1044</v>
      </c>
      <c r="C292" s="6" t="s">
        <v>1045</v>
      </c>
      <c r="D292" s="3">
        <v>60000</v>
      </c>
      <c r="E292">
        <v>1</v>
      </c>
      <c r="F292" s="6" t="s">
        <v>19</v>
      </c>
      <c r="G292" s="6" t="s">
        <v>14</v>
      </c>
      <c r="H292" s="6" t="s">
        <v>18</v>
      </c>
      <c r="I292">
        <v>1</v>
      </c>
      <c r="J292" t="s">
        <v>16</v>
      </c>
      <c r="K2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92" s="6" t="s">
        <v>24</v>
      </c>
      <c r="M292" s="7">
        <v>46</v>
      </c>
      <c r="N292" t="s">
        <v>15</v>
      </c>
      <c r="O292" s="9" t="str">
        <f>IF(Table1_1[[#This Row],[Purchased Bike]]="yes","1","0")</f>
        <v>1</v>
      </c>
      <c r="P292" s="4" t="str">
        <f>IF(Table1_1[[#This Row],[Income]]&lt;=30000,"Low ",IF(Table1_1[[#This Row],[Income]]&lt;=70000,"Middle","High"))</f>
        <v>Middle</v>
      </c>
      <c r="Q292" s="6" t="str">
        <f>IF(Table1_1[[#This Row],[Age]]&lt;30,"Young",IF(Table1_1[[#This Row],[Age]]&lt;50,"Middle aged","Senior citizen"))</f>
        <v>Middle aged</v>
      </c>
      <c r="R292" s="7">
        <f>IF(Table1_1[[#This Row],[Marriedarital SingletatuSingle]]="M",Table1_1[[#This Row],[Children]]+2,Table1_1[[#This Row],[Children]]+1)</f>
        <v>2</v>
      </c>
      <c r="S292" s="4" t="str">
        <f>IF(Table1_1[[#This Row],[Cars]]=0,"No","Yes")</f>
        <v>Yes</v>
      </c>
      <c r="T292" s="6" t="str">
        <f>IF(AND(Table1_1[[#This Row],[Income]]&gt;50000,Table1_1[[#This Row],[Home Owner]]="Yes"),"High stability","Low stability")</f>
        <v>Low stability</v>
      </c>
      <c r="U292" s="3">
        <f>Table1_1[[#This Row],[Income]]/Table1_1[[#This Row],[Family size]]</f>
        <v>30000</v>
      </c>
      <c r="V292" s="6" t="str">
        <f>IF(Table1_1[[#This Row],[Occupation]]="Skilled manual","Blue collar",IF(Table1_1[[#This Row],[Occupation]]="Manual","Blue collar","White collar"))</f>
        <v>Blue collar</v>
      </c>
    </row>
    <row r="293" spans="1:22" x14ac:dyDescent="0.3">
      <c r="A293" t="s">
        <v>327</v>
      </c>
      <c r="B293" s="6" t="s">
        <v>1042</v>
      </c>
      <c r="C293" s="6" t="s">
        <v>1046</v>
      </c>
      <c r="D293" s="3">
        <v>40000</v>
      </c>
      <c r="E293">
        <v>0</v>
      </c>
      <c r="F293" s="6" t="s">
        <v>13</v>
      </c>
      <c r="G293" s="6" t="s">
        <v>20</v>
      </c>
      <c r="H293" s="6" t="s">
        <v>18</v>
      </c>
      <c r="I293">
        <v>0</v>
      </c>
      <c r="J293" t="s">
        <v>16</v>
      </c>
      <c r="K2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93" s="6" t="s">
        <v>17</v>
      </c>
      <c r="M293" s="7">
        <v>38</v>
      </c>
      <c r="N293" t="s">
        <v>15</v>
      </c>
      <c r="O293" s="9" t="str">
        <f>IF(Table1_1[[#This Row],[Purchased Bike]]="yes","1","0")</f>
        <v>1</v>
      </c>
      <c r="P293" s="4" t="str">
        <f>IF(Table1_1[[#This Row],[Income]]&lt;=30000,"Low ",IF(Table1_1[[#This Row],[Income]]&lt;=70000,"Middle","High"))</f>
        <v>Middle</v>
      </c>
      <c r="Q293" s="6" t="str">
        <f>IF(Table1_1[[#This Row],[Age]]&lt;30,"Young",IF(Table1_1[[#This Row],[Age]]&lt;50,"Middle aged","Senior citizen"))</f>
        <v>Middle aged</v>
      </c>
      <c r="R293" s="7">
        <f>IF(Table1_1[[#This Row],[Marriedarital SingletatuSingle]]="M",Table1_1[[#This Row],[Children]]+2,Table1_1[[#This Row],[Children]]+1)</f>
        <v>1</v>
      </c>
      <c r="S293" s="4" t="str">
        <f>IF(Table1_1[[#This Row],[Cars]]=0,"No","Yes")</f>
        <v>No</v>
      </c>
      <c r="T293" s="6" t="str">
        <f>IF(AND(Table1_1[[#This Row],[Income]]&gt;50000,Table1_1[[#This Row],[Home Owner]]="Yes"),"High stability","Low stability")</f>
        <v>Low stability</v>
      </c>
      <c r="U293" s="3">
        <f>Table1_1[[#This Row],[Income]]/Table1_1[[#This Row],[Family size]]</f>
        <v>40000</v>
      </c>
      <c r="V293" s="6" t="str">
        <f>IF(Table1_1[[#This Row],[Occupation]]="Skilled manual","Blue collar",IF(Table1_1[[#This Row],[Occupation]]="Manual","Blue collar","White collar"))</f>
        <v>White collar</v>
      </c>
    </row>
    <row r="294" spans="1:22" x14ac:dyDescent="0.3">
      <c r="A294" t="s">
        <v>328</v>
      </c>
      <c r="B294" s="6" t="s">
        <v>1042</v>
      </c>
      <c r="C294" s="6" t="s">
        <v>1045</v>
      </c>
      <c r="D294" s="3">
        <v>40000</v>
      </c>
      <c r="E294">
        <v>1</v>
      </c>
      <c r="F294" s="6" t="s">
        <v>13</v>
      </c>
      <c r="G294" s="6" t="s">
        <v>14</v>
      </c>
      <c r="H294" s="6" t="s">
        <v>15</v>
      </c>
      <c r="I294">
        <v>0</v>
      </c>
      <c r="J294" t="s">
        <v>16</v>
      </c>
      <c r="K2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94" s="6" t="s">
        <v>17</v>
      </c>
      <c r="M294" s="7">
        <v>42</v>
      </c>
      <c r="N294" t="s">
        <v>15</v>
      </c>
      <c r="O294" s="9" t="str">
        <f>IF(Table1_1[[#This Row],[Purchased Bike]]="yes","1","0")</f>
        <v>1</v>
      </c>
      <c r="P294" s="4" t="str">
        <f>IF(Table1_1[[#This Row],[Income]]&lt;=30000,"Low ",IF(Table1_1[[#This Row],[Income]]&lt;=70000,"Middle","High"))</f>
        <v>Middle</v>
      </c>
      <c r="Q294" s="6" t="str">
        <f>IF(Table1_1[[#This Row],[Age]]&lt;30,"Young",IF(Table1_1[[#This Row],[Age]]&lt;50,"Middle aged","Senior citizen"))</f>
        <v>Middle aged</v>
      </c>
      <c r="R294" s="7">
        <f>IF(Table1_1[[#This Row],[Marriedarital SingletatuSingle]]="M",Table1_1[[#This Row],[Children]]+2,Table1_1[[#This Row],[Children]]+1)</f>
        <v>2</v>
      </c>
      <c r="S294" s="4" t="str">
        <f>IF(Table1_1[[#This Row],[Cars]]=0,"No","Yes")</f>
        <v>No</v>
      </c>
      <c r="T294" s="6" t="str">
        <f>IF(AND(Table1_1[[#This Row],[Income]]&gt;50000,Table1_1[[#This Row],[Home Owner]]="Yes"),"High stability","Low stability")</f>
        <v>Low stability</v>
      </c>
      <c r="U294" s="3">
        <f>Table1_1[[#This Row],[Income]]/Table1_1[[#This Row],[Family size]]</f>
        <v>20000</v>
      </c>
      <c r="V294" s="6" t="str">
        <f>IF(Table1_1[[#This Row],[Occupation]]="Skilled manual","Blue collar",IF(Table1_1[[#This Row],[Occupation]]="Manual","Blue collar","White collar"))</f>
        <v>Blue collar</v>
      </c>
    </row>
    <row r="295" spans="1:22" x14ac:dyDescent="0.3">
      <c r="A295" t="s">
        <v>329</v>
      </c>
      <c r="B295" s="6" t="s">
        <v>1044</v>
      </c>
      <c r="C295" s="6" t="s">
        <v>1045</v>
      </c>
      <c r="D295" s="3">
        <v>10000</v>
      </c>
      <c r="E295">
        <v>1</v>
      </c>
      <c r="F295" s="6" t="s">
        <v>27</v>
      </c>
      <c r="G295" s="6" t="s">
        <v>25</v>
      </c>
      <c r="H295" s="6" t="s">
        <v>18</v>
      </c>
      <c r="I295">
        <v>1</v>
      </c>
      <c r="J295" t="s">
        <v>22</v>
      </c>
      <c r="K2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95" s="6" t="s">
        <v>17</v>
      </c>
      <c r="M295" s="7">
        <v>46</v>
      </c>
      <c r="N295" t="s">
        <v>15</v>
      </c>
      <c r="O295" s="9" t="str">
        <f>IF(Table1_1[[#This Row],[Purchased Bike]]="yes","1","0")</f>
        <v>1</v>
      </c>
      <c r="P295" s="4" t="str">
        <f>IF(Table1_1[[#This Row],[Income]]&lt;=30000,"Low ",IF(Table1_1[[#This Row],[Income]]&lt;=70000,"Middle","High"))</f>
        <v xml:space="preserve">Low </v>
      </c>
      <c r="Q295" s="6" t="str">
        <f>IF(Table1_1[[#This Row],[Age]]&lt;30,"Young",IF(Table1_1[[#This Row],[Age]]&lt;50,"Middle aged","Senior citizen"))</f>
        <v>Middle aged</v>
      </c>
      <c r="R295" s="7">
        <f>IF(Table1_1[[#This Row],[Marriedarital SingletatuSingle]]="M",Table1_1[[#This Row],[Children]]+2,Table1_1[[#This Row],[Children]]+1)</f>
        <v>2</v>
      </c>
      <c r="S295" s="4" t="str">
        <f>IF(Table1_1[[#This Row],[Cars]]=0,"No","Yes")</f>
        <v>Yes</v>
      </c>
      <c r="T295" s="6" t="str">
        <f>IF(AND(Table1_1[[#This Row],[Income]]&gt;50000,Table1_1[[#This Row],[Home Owner]]="Yes"),"High stability","Low stability")</f>
        <v>Low stability</v>
      </c>
      <c r="U295" s="3">
        <f>Table1_1[[#This Row],[Income]]/Table1_1[[#This Row],[Family size]]</f>
        <v>5000</v>
      </c>
      <c r="V295" s="6" t="str">
        <f>IF(Table1_1[[#This Row],[Occupation]]="Skilled manual","Blue collar",IF(Table1_1[[#This Row],[Occupation]]="Manual","Blue collar","White collar"))</f>
        <v>Blue collar</v>
      </c>
    </row>
    <row r="296" spans="1:22" x14ac:dyDescent="0.3">
      <c r="A296" t="s">
        <v>330</v>
      </c>
      <c r="B296" s="6" t="s">
        <v>1044</v>
      </c>
      <c r="C296" s="6" t="s">
        <v>1046</v>
      </c>
      <c r="D296" s="3">
        <v>20000</v>
      </c>
      <c r="E296">
        <v>0</v>
      </c>
      <c r="F296" s="6" t="s">
        <v>19</v>
      </c>
      <c r="G296" s="6" t="s">
        <v>25</v>
      </c>
      <c r="H296" s="6" t="s">
        <v>18</v>
      </c>
      <c r="I296">
        <v>1</v>
      </c>
      <c r="J296" t="s">
        <v>22</v>
      </c>
      <c r="K2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96" s="6" t="s">
        <v>17</v>
      </c>
      <c r="M296" s="7">
        <v>36</v>
      </c>
      <c r="N296" t="s">
        <v>15</v>
      </c>
      <c r="O296" s="9" t="str">
        <f>IF(Table1_1[[#This Row],[Purchased Bike]]="yes","1","0")</f>
        <v>1</v>
      </c>
      <c r="P296" s="4" t="str">
        <f>IF(Table1_1[[#This Row],[Income]]&lt;=30000,"Low ",IF(Table1_1[[#This Row],[Income]]&lt;=70000,"Middle","High"))</f>
        <v xml:space="preserve">Low </v>
      </c>
      <c r="Q296" s="6" t="str">
        <f>IF(Table1_1[[#This Row],[Age]]&lt;30,"Young",IF(Table1_1[[#This Row],[Age]]&lt;50,"Middle aged","Senior citizen"))</f>
        <v>Middle aged</v>
      </c>
      <c r="R296" s="7">
        <f>IF(Table1_1[[#This Row],[Marriedarital SingletatuSingle]]="M",Table1_1[[#This Row],[Children]]+2,Table1_1[[#This Row],[Children]]+1)</f>
        <v>1</v>
      </c>
      <c r="S296" s="4" t="str">
        <f>IF(Table1_1[[#This Row],[Cars]]=0,"No","Yes")</f>
        <v>Yes</v>
      </c>
      <c r="T296" s="6" t="str">
        <f>IF(AND(Table1_1[[#This Row],[Income]]&gt;50000,Table1_1[[#This Row],[Home Owner]]="Yes"),"High stability","Low stability")</f>
        <v>Low stability</v>
      </c>
      <c r="U296" s="3">
        <f>Table1_1[[#This Row],[Income]]/Table1_1[[#This Row],[Family size]]</f>
        <v>20000</v>
      </c>
      <c r="V296" s="6" t="str">
        <f>IF(Table1_1[[#This Row],[Occupation]]="Skilled manual","Blue collar",IF(Table1_1[[#This Row],[Occupation]]="Manual","Blue collar","White collar"))</f>
        <v>Blue collar</v>
      </c>
    </row>
    <row r="297" spans="1:22" x14ac:dyDescent="0.3">
      <c r="A297" t="s">
        <v>331</v>
      </c>
      <c r="B297" s="6" t="s">
        <v>1044</v>
      </c>
      <c r="C297" s="6" t="s">
        <v>1045</v>
      </c>
      <c r="D297" s="3">
        <v>110000</v>
      </c>
      <c r="E297">
        <v>0</v>
      </c>
      <c r="F297" s="6" t="s">
        <v>19</v>
      </c>
      <c r="G297" s="6" t="s">
        <v>28</v>
      </c>
      <c r="H297" s="6" t="s">
        <v>15</v>
      </c>
      <c r="I297">
        <v>3</v>
      </c>
      <c r="J297" t="s">
        <v>30</v>
      </c>
      <c r="K2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297" s="6" t="s">
        <v>24</v>
      </c>
      <c r="M297" s="7">
        <v>32</v>
      </c>
      <c r="N297" t="s">
        <v>15</v>
      </c>
      <c r="O297" s="9" t="str">
        <f>IF(Table1_1[[#This Row],[Purchased Bike]]="yes","1","0")</f>
        <v>1</v>
      </c>
      <c r="P297" s="4" t="str">
        <f>IF(Table1_1[[#This Row],[Income]]&lt;=30000,"Low ",IF(Table1_1[[#This Row],[Income]]&lt;=70000,"Middle","High"))</f>
        <v>High</v>
      </c>
      <c r="Q297" s="6" t="str">
        <f>IF(Table1_1[[#This Row],[Age]]&lt;30,"Young",IF(Table1_1[[#This Row],[Age]]&lt;50,"Middle aged","Senior citizen"))</f>
        <v>Middle aged</v>
      </c>
      <c r="R297" s="7">
        <f>IF(Table1_1[[#This Row],[Marriedarital SingletatuSingle]]="M",Table1_1[[#This Row],[Children]]+2,Table1_1[[#This Row],[Children]]+1)</f>
        <v>1</v>
      </c>
      <c r="S297" s="4" t="str">
        <f>IF(Table1_1[[#This Row],[Cars]]=0,"No","Yes")</f>
        <v>Yes</v>
      </c>
      <c r="T297" s="6" t="str">
        <f>IF(AND(Table1_1[[#This Row],[Income]]&gt;50000,Table1_1[[#This Row],[Home Owner]]="Yes"),"High stability","Low stability")</f>
        <v>High stability</v>
      </c>
      <c r="U297" s="3">
        <f>Table1_1[[#This Row],[Income]]/Table1_1[[#This Row],[Family size]]</f>
        <v>110000</v>
      </c>
      <c r="V297" s="6" t="str">
        <f>IF(Table1_1[[#This Row],[Occupation]]="Skilled manual","Blue collar",IF(Table1_1[[#This Row],[Occupation]]="Manual","Blue collar","White collar"))</f>
        <v>White collar</v>
      </c>
    </row>
    <row r="298" spans="1:22" x14ac:dyDescent="0.3">
      <c r="A298" t="s">
        <v>332</v>
      </c>
      <c r="B298" s="6" t="s">
        <v>1044</v>
      </c>
      <c r="C298" s="6" t="s">
        <v>1045</v>
      </c>
      <c r="D298" s="3">
        <v>60000</v>
      </c>
      <c r="E298">
        <v>2</v>
      </c>
      <c r="F298" s="6" t="s">
        <v>13</v>
      </c>
      <c r="G298" s="6" t="s">
        <v>21</v>
      </c>
      <c r="H298" s="6" t="s">
        <v>18</v>
      </c>
      <c r="I298">
        <v>1</v>
      </c>
      <c r="J298" t="s">
        <v>16</v>
      </c>
      <c r="K2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298" s="6" t="s">
        <v>24</v>
      </c>
      <c r="M298" s="7">
        <v>39</v>
      </c>
      <c r="N298" t="s">
        <v>15</v>
      </c>
      <c r="O298" s="9" t="str">
        <f>IF(Table1_1[[#This Row],[Purchased Bike]]="yes","1","0")</f>
        <v>1</v>
      </c>
      <c r="P298" s="4" t="str">
        <f>IF(Table1_1[[#This Row],[Income]]&lt;=30000,"Low ",IF(Table1_1[[#This Row],[Income]]&lt;=70000,"Middle","High"))</f>
        <v>Middle</v>
      </c>
      <c r="Q298" s="6" t="str">
        <f>IF(Table1_1[[#This Row],[Age]]&lt;30,"Young",IF(Table1_1[[#This Row],[Age]]&lt;50,"Middle aged","Senior citizen"))</f>
        <v>Middle aged</v>
      </c>
      <c r="R298" s="7">
        <f>IF(Table1_1[[#This Row],[Marriedarital SingletatuSingle]]="M",Table1_1[[#This Row],[Children]]+2,Table1_1[[#This Row],[Children]]+1)</f>
        <v>3</v>
      </c>
      <c r="S298" s="4" t="str">
        <f>IF(Table1_1[[#This Row],[Cars]]=0,"No","Yes")</f>
        <v>Yes</v>
      </c>
      <c r="T298" s="6" t="str">
        <f>IF(AND(Table1_1[[#This Row],[Income]]&gt;50000,Table1_1[[#This Row],[Home Owner]]="Yes"),"High stability","Low stability")</f>
        <v>Low stability</v>
      </c>
      <c r="U298" s="3">
        <f>Table1_1[[#This Row],[Income]]/Table1_1[[#This Row],[Family size]]</f>
        <v>20000</v>
      </c>
      <c r="V298" s="6" t="str">
        <f>IF(Table1_1[[#This Row],[Occupation]]="Skilled manual","Blue collar",IF(Table1_1[[#This Row],[Occupation]]="Manual","Blue collar","White collar"))</f>
        <v>White collar</v>
      </c>
    </row>
    <row r="299" spans="1:22" x14ac:dyDescent="0.3">
      <c r="A299" t="s">
        <v>333</v>
      </c>
      <c r="B299" s="6" t="s">
        <v>1042</v>
      </c>
      <c r="C299" s="6" t="s">
        <v>1046</v>
      </c>
      <c r="D299" s="3">
        <v>100000</v>
      </c>
      <c r="E299">
        <v>1</v>
      </c>
      <c r="F299" s="6" t="s">
        <v>31</v>
      </c>
      <c r="G299" s="6" t="s">
        <v>28</v>
      </c>
      <c r="H299" s="6" t="s">
        <v>15</v>
      </c>
      <c r="I299">
        <v>0</v>
      </c>
      <c r="J299" t="s">
        <v>22</v>
      </c>
      <c r="K2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299" s="6" t="s">
        <v>24</v>
      </c>
      <c r="M299" s="7">
        <v>36</v>
      </c>
      <c r="N299" t="s">
        <v>15</v>
      </c>
      <c r="O299" s="9" t="str">
        <f>IF(Table1_1[[#This Row],[Purchased Bike]]="yes","1","0")</f>
        <v>1</v>
      </c>
      <c r="P299" s="4" t="str">
        <f>IF(Table1_1[[#This Row],[Income]]&lt;=30000,"Low ",IF(Table1_1[[#This Row],[Income]]&lt;=70000,"Middle","High"))</f>
        <v>High</v>
      </c>
      <c r="Q299" s="6" t="str">
        <f>IF(Table1_1[[#This Row],[Age]]&lt;30,"Young",IF(Table1_1[[#This Row],[Age]]&lt;50,"Middle aged","Senior citizen"))</f>
        <v>Middle aged</v>
      </c>
      <c r="R299" s="7">
        <f>IF(Table1_1[[#This Row],[Marriedarital SingletatuSingle]]="M",Table1_1[[#This Row],[Children]]+2,Table1_1[[#This Row],[Children]]+1)</f>
        <v>2</v>
      </c>
      <c r="S299" s="4" t="str">
        <f>IF(Table1_1[[#This Row],[Cars]]=0,"No","Yes")</f>
        <v>No</v>
      </c>
      <c r="T299" s="6" t="str">
        <f>IF(AND(Table1_1[[#This Row],[Income]]&gt;50000,Table1_1[[#This Row],[Home Owner]]="Yes"),"High stability","Low stability")</f>
        <v>High stability</v>
      </c>
      <c r="U299" s="3">
        <f>Table1_1[[#This Row],[Income]]/Table1_1[[#This Row],[Family size]]</f>
        <v>50000</v>
      </c>
      <c r="V299" s="6" t="str">
        <f>IF(Table1_1[[#This Row],[Occupation]]="Skilled manual","Blue collar",IF(Table1_1[[#This Row],[Occupation]]="Manual","Blue collar","White collar"))</f>
        <v>White collar</v>
      </c>
    </row>
    <row r="300" spans="1:22" x14ac:dyDescent="0.3">
      <c r="A300" t="s">
        <v>334</v>
      </c>
      <c r="B300" s="6" t="s">
        <v>1042</v>
      </c>
      <c r="C300" s="6" t="s">
        <v>1045</v>
      </c>
      <c r="D300" s="3">
        <v>90000</v>
      </c>
      <c r="E300">
        <v>4</v>
      </c>
      <c r="F300" s="6" t="s">
        <v>27</v>
      </c>
      <c r="G300" s="6" t="s">
        <v>21</v>
      </c>
      <c r="H300" s="6" t="s">
        <v>18</v>
      </c>
      <c r="I300">
        <v>2</v>
      </c>
      <c r="J300" t="s">
        <v>22</v>
      </c>
      <c r="K3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00" s="6" t="s">
        <v>17</v>
      </c>
      <c r="M300" s="7">
        <v>54</v>
      </c>
      <c r="N300" t="s">
        <v>15</v>
      </c>
      <c r="O300" s="9" t="str">
        <f>IF(Table1_1[[#This Row],[Purchased Bike]]="yes","1","0")</f>
        <v>1</v>
      </c>
      <c r="P300" s="4" t="str">
        <f>IF(Table1_1[[#This Row],[Income]]&lt;=30000,"Low ",IF(Table1_1[[#This Row],[Income]]&lt;=70000,"Middle","High"))</f>
        <v>High</v>
      </c>
      <c r="Q300" s="6" t="str">
        <f>IF(Table1_1[[#This Row],[Age]]&lt;30,"Young",IF(Table1_1[[#This Row],[Age]]&lt;50,"Middle aged","Senior citizen"))</f>
        <v>Senior citizen</v>
      </c>
      <c r="R300" s="7">
        <f>IF(Table1_1[[#This Row],[Marriedarital SingletatuSingle]]="M",Table1_1[[#This Row],[Children]]+2,Table1_1[[#This Row],[Children]]+1)</f>
        <v>5</v>
      </c>
      <c r="S300" s="4" t="str">
        <f>IF(Table1_1[[#This Row],[Cars]]=0,"No","Yes")</f>
        <v>Yes</v>
      </c>
      <c r="T300" s="6" t="str">
        <f>IF(AND(Table1_1[[#This Row],[Income]]&gt;50000,Table1_1[[#This Row],[Home Owner]]="Yes"),"High stability","Low stability")</f>
        <v>Low stability</v>
      </c>
      <c r="U300" s="3">
        <f>Table1_1[[#This Row],[Income]]/Table1_1[[#This Row],[Family size]]</f>
        <v>18000</v>
      </c>
      <c r="V300" s="6" t="str">
        <f>IF(Table1_1[[#This Row],[Occupation]]="Skilled manual","Blue collar",IF(Table1_1[[#This Row],[Occupation]]="Manual","Blue collar","White collar"))</f>
        <v>White collar</v>
      </c>
    </row>
    <row r="301" spans="1:22" x14ac:dyDescent="0.3">
      <c r="A301" t="s">
        <v>335</v>
      </c>
      <c r="B301" s="6" t="s">
        <v>1042</v>
      </c>
      <c r="C301" s="6" t="s">
        <v>1045</v>
      </c>
      <c r="D301" s="3">
        <v>30000</v>
      </c>
      <c r="E301">
        <v>2</v>
      </c>
      <c r="F301" s="6" t="s">
        <v>19</v>
      </c>
      <c r="G301" s="6" t="s">
        <v>20</v>
      </c>
      <c r="H301" s="6" t="s">
        <v>18</v>
      </c>
      <c r="I301">
        <v>2</v>
      </c>
      <c r="J301" t="s">
        <v>23</v>
      </c>
      <c r="K3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01" s="6" t="s">
        <v>24</v>
      </c>
      <c r="M301" s="7">
        <v>69</v>
      </c>
      <c r="N301" t="s">
        <v>18</v>
      </c>
      <c r="O301" s="9" t="str">
        <f>IF(Table1_1[[#This Row],[Purchased Bike]]="yes","1","0")</f>
        <v>0</v>
      </c>
      <c r="P301" s="4" t="str">
        <f>IF(Table1_1[[#This Row],[Income]]&lt;=30000,"Low ",IF(Table1_1[[#This Row],[Income]]&lt;=70000,"Middle","High"))</f>
        <v xml:space="preserve">Low </v>
      </c>
      <c r="Q301" s="6" t="str">
        <f>IF(Table1_1[[#This Row],[Age]]&lt;30,"Young",IF(Table1_1[[#This Row],[Age]]&lt;50,"Middle aged","Senior citizen"))</f>
        <v>Senior citizen</v>
      </c>
      <c r="R301" s="7">
        <f>IF(Table1_1[[#This Row],[Marriedarital SingletatuSingle]]="M",Table1_1[[#This Row],[Children]]+2,Table1_1[[#This Row],[Children]]+1)</f>
        <v>3</v>
      </c>
      <c r="S301" s="4" t="str">
        <f>IF(Table1_1[[#This Row],[Cars]]=0,"No","Yes")</f>
        <v>Yes</v>
      </c>
      <c r="T301" s="6" t="str">
        <f>IF(AND(Table1_1[[#This Row],[Income]]&gt;50000,Table1_1[[#This Row],[Home Owner]]="Yes"),"High stability","Low stability")</f>
        <v>Low stability</v>
      </c>
      <c r="U301" s="3">
        <f>Table1_1[[#This Row],[Income]]/Table1_1[[#This Row],[Family size]]</f>
        <v>10000</v>
      </c>
      <c r="V301" s="6" t="str">
        <f>IF(Table1_1[[#This Row],[Occupation]]="Skilled manual","Blue collar",IF(Table1_1[[#This Row],[Occupation]]="Manual","Blue collar","White collar"))</f>
        <v>White collar</v>
      </c>
    </row>
    <row r="302" spans="1:22" x14ac:dyDescent="0.3">
      <c r="A302" t="s">
        <v>336</v>
      </c>
      <c r="B302" s="6" t="s">
        <v>1044</v>
      </c>
      <c r="C302" s="6" t="s">
        <v>1045</v>
      </c>
      <c r="D302" s="3">
        <v>10000</v>
      </c>
      <c r="E302">
        <v>5</v>
      </c>
      <c r="F302" s="6" t="s">
        <v>27</v>
      </c>
      <c r="G302" s="6" t="s">
        <v>14</v>
      </c>
      <c r="H302" s="6" t="s">
        <v>18</v>
      </c>
      <c r="I302">
        <v>2</v>
      </c>
      <c r="J302" t="s">
        <v>26</v>
      </c>
      <c r="K30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02" s="6" t="s">
        <v>24</v>
      </c>
      <c r="M302" s="7">
        <v>62</v>
      </c>
      <c r="N302" t="s">
        <v>18</v>
      </c>
      <c r="O302" s="9" t="str">
        <f>IF(Table1_1[[#This Row],[Purchased Bike]]="yes","1","0")</f>
        <v>0</v>
      </c>
      <c r="P302" s="4" t="str">
        <f>IF(Table1_1[[#This Row],[Income]]&lt;=30000,"Low ",IF(Table1_1[[#This Row],[Income]]&lt;=70000,"Middle","High"))</f>
        <v xml:space="preserve">Low </v>
      </c>
      <c r="Q302" s="6" t="str">
        <f>IF(Table1_1[[#This Row],[Age]]&lt;30,"Young",IF(Table1_1[[#This Row],[Age]]&lt;50,"Middle aged","Senior citizen"))</f>
        <v>Senior citizen</v>
      </c>
      <c r="R302" s="7">
        <f>IF(Table1_1[[#This Row],[Marriedarital SingletatuSingle]]="M",Table1_1[[#This Row],[Children]]+2,Table1_1[[#This Row],[Children]]+1)</f>
        <v>6</v>
      </c>
      <c r="S302" s="4" t="str">
        <f>IF(Table1_1[[#This Row],[Cars]]=0,"No","Yes")</f>
        <v>Yes</v>
      </c>
      <c r="T302" s="6" t="str">
        <f>IF(AND(Table1_1[[#This Row],[Income]]&gt;50000,Table1_1[[#This Row],[Home Owner]]="Yes"),"High stability","Low stability")</f>
        <v>Low stability</v>
      </c>
      <c r="U302" s="3">
        <f>Table1_1[[#This Row],[Income]]/Table1_1[[#This Row],[Family size]]</f>
        <v>1666.6666666666667</v>
      </c>
      <c r="V302" s="6" t="str">
        <f>IF(Table1_1[[#This Row],[Occupation]]="Skilled manual","Blue collar",IF(Table1_1[[#This Row],[Occupation]]="Manual","Blue collar","White collar"))</f>
        <v>Blue collar</v>
      </c>
    </row>
    <row r="303" spans="1:22" x14ac:dyDescent="0.3">
      <c r="A303" t="s">
        <v>337</v>
      </c>
      <c r="B303" s="6" t="s">
        <v>1044</v>
      </c>
      <c r="C303" s="6" t="s">
        <v>1045</v>
      </c>
      <c r="D303" s="3">
        <v>40000</v>
      </c>
      <c r="E303">
        <v>0</v>
      </c>
      <c r="F303" s="6" t="s">
        <v>13</v>
      </c>
      <c r="G303" s="6" t="s">
        <v>20</v>
      </c>
      <c r="H303" s="6" t="s">
        <v>18</v>
      </c>
      <c r="I303">
        <v>0</v>
      </c>
      <c r="J303" t="s">
        <v>16</v>
      </c>
      <c r="K30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03" s="6" t="s">
        <v>24</v>
      </c>
      <c r="M303" s="7">
        <v>28</v>
      </c>
      <c r="N303" t="s">
        <v>15</v>
      </c>
      <c r="O303" s="9" t="str">
        <f>IF(Table1_1[[#This Row],[Purchased Bike]]="yes","1","0")</f>
        <v>1</v>
      </c>
      <c r="P303" s="4" t="str">
        <f>IF(Table1_1[[#This Row],[Income]]&lt;=30000,"Low ",IF(Table1_1[[#This Row],[Income]]&lt;=70000,"Middle","High"))</f>
        <v>Middle</v>
      </c>
      <c r="Q303" s="6" t="str">
        <f>IF(Table1_1[[#This Row],[Age]]&lt;30,"Young",IF(Table1_1[[#This Row],[Age]]&lt;50,"Middle aged","Senior citizen"))</f>
        <v>Young</v>
      </c>
      <c r="R303" s="7">
        <f>IF(Table1_1[[#This Row],[Marriedarital SingletatuSingle]]="M",Table1_1[[#This Row],[Children]]+2,Table1_1[[#This Row],[Children]]+1)</f>
        <v>1</v>
      </c>
      <c r="S303" s="4" t="str">
        <f>IF(Table1_1[[#This Row],[Cars]]=0,"No","Yes")</f>
        <v>No</v>
      </c>
      <c r="T303" s="6" t="str">
        <f>IF(AND(Table1_1[[#This Row],[Income]]&gt;50000,Table1_1[[#This Row],[Home Owner]]="Yes"),"High stability","Low stability")</f>
        <v>Low stability</v>
      </c>
      <c r="U303" s="3">
        <f>Table1_1[[#This Row],[Income]]/Table1_1[[#This Row],[Family size]]</f>
        <v>40000</v>
      </c>
      <c r="V303" s="6" t="str">
        <f>IF(Table1_1[[#This Row],[Occupation]]="Skilled manual","Blue collar",IF(Table1_1[[#This Row],[Occupation]]="Manual","Blue collar","White collar"))</f>
        <v>White collar</v>
      </c>
    </row>
    <row r="304" spans="1:22" x14ac:dyDescent="0.3">
      <c r="A304" t="s">
        <v>338</v>
      </c>
      <c r="B304" s="6" t="s">
        <v>1044</v>
      </c>
      <c r="C304" s="6" t="s">
        <v>1046</v>
      </c>
      <c r="D304" s="3">
        <v>30000</v>
      </c>
      <c r="E304">
        <v>1</v>
      </c>
      <c r="F304" s="6" t="s">
        <v>13</v>
      </c>
      <c r="G304" s="6" t="s">
        <v>20</v>
      </c>
      <c r="H304" s="6" t="s">
        <v>15</v>
      </c>
      <c r="I304">
        <v>0</v>
      </c>
      <c r="J304" t="s">
        <v>16</v>
      </c>
      <c r="K30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04" s="6" t="s">
        <v>17</v>
      </c>
      <c r="M304" s="7">
        <v>62</v>
      </c>
      <c r="N304" t="s">
        <v>15</v>
      </c>
      <c r="O304" s="9" t="str">
        <f>IF(Table1_1[[#This Row],[Purchased Bike]]="yes","1","0")</f>
        <v>1</v>
      </c>
      <c r="P304" s="4" t="str">
        <f>IF(Table1_1[[#This Row],[Income]]&lt;=30000,"Low ",IF(Table1_1[[#This Row],[Income]]&lt;=70000,"Middle","High"))</f>
        <v xml:space="preserve">Low </v>
      </c>
      <c r="Q304" s="6" t="str">
        <f>IF(Table1_1[[#This Row],[Age]]&lt;30,"Young",IF(Table1_1[[#This Row],[Age]]&lt;50,"Middle aged","Senior citizen"))</f>
        <v>Senior citizen</v>
      </c>
      <c r="R304" s="7">
        <f>IF(Table1_1[[#This Row],[Marriedarital SingletatuSingle]]="M",Table1_1[[#This Row],[Children]]+2,Table1_1[[#This Row],[Children]]+1)</f>
        <v>2</v>
      </c>
      <c r="S304" s="4" t="str">
        <f>IF(Table1_1[[#This Row],[Cars]]=0,"No","Yes")</f>
        <v>No</v>
      </c>
      <c r="T304" s="6" t="str">
        <f>IF(AND(Table1_1[[#This Row],[Income]]&gt;50000,Table1_1[[#This Row],[Home Owner]]="Yes"),"High stability","Low stability")</f>
        <v>Low stability</v>
      </c>
      <c r="U304" s="3">
        <f>Table1_1[[#This Row],[Income]]/Table1_1[[#This Row],[Family size]]</f>
        <v>15000</v>
      </c>
      <c r="V304" s="6" t="str">
        <f>IF(Table1_1[[#This Row],[Occupation]]="Skilled manual","Blue collar",IF(Table1_1[[#This Row],[Occupation]]="Manual","Blue collar","White collar"))</f>
        <v>White collar</v>
      </c>
    </row>
    <row r="305" spans="1:22" x14ac:dyDescent="0.3">
      <c r="A305" t="s">
        <v>339</v>
      </c>
      <c r="B305" s="6" t="s">
        <v>1042</v>
      </c>
      <c r="C305" s="6" t="s">
        <v>1045</v>
      </c>
      <c r="D305" s="3">
        <v>30000</v>
      </c>
      <c r="E305">
        <v>1</v>
      </c>
      <c r="F305" s="6" t="s">
        <v>13</v>
      </c>
      <c r="G305" s="6" t="s">
        <v>14</v>
      </c>
      <c r="H305" s="6" t="s">
        <v>15</v>
      </c>
      <c r="I305">
        <v>2</v>
      </c>
      <c r="J305" t="s">
        <v>16</v>
      </c>
      <c r="K30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05" s="6" t="s">
        <v>17</v>
      </c>
      <c r="M305" s="7">
        <v>40</v>
      </c>
      <c r="N305" t="s">
        <v>18</v>
      </c>
      <c r="O305" s="9" t="str">
        <f>IF(Table1_1[[#This Row],[Purchased Bike]]="yes","1","0")</f>
        <v>0</v>
      </c>
      <c r="P305" s="4" t="str">
        <f>IF(Table1_1[[#This Row],[Income]]&lt;=30000,"Low ",IF(Table1_1[[#This Row],[Income]]&lt;=70000,"Middle","High"))</f>
        <v xml:space="preserve">Low </v>
      </c>
      <c r="Q305" s="6" t="str">
        <f>IF(Table1_1[[#This Row],[Age]]&lt;30,"Young",IF(Table1_1[[#This Row],[Age]]&lt;50,"Middle aged","Senior citizen"))</f>
        <v>Middle aged</v>
      </c>
      <c r="R305" s="7">
        <f>IF(Table1_1[[#This Row],[Marriedarital SingletatuSingle]]="M",Table1_1[[#This Row],[Children]]+2,Table1_1[[#This Row],[Children]]+1)</f>
        <v>2</v>
      </c>
      <c r="S305" s="4" t="str">
        <f>IF(Table1_1[[#This Row],[Cars]]=0,"No","Yes")</f>
        <v>Yes</v>
      </c>
      <c r="T305" s="6" t="str">
        <f>IF(AND(Table1_1[[#This Row],[Income]]&gt;50000,Table1_1[[#This Row],[Home Owner]]="Yes"),"High stability","Low stability")</f>
        <v>Low stability</v>
      </c>
      <c r="U305" s="3">
        <f>Table1_1[[#This Row],[Income]]/Table1_1[[#This Row],[Family size]]</f>
        <v>15000</v>
      </c>
      <c r="V305" s="6" t="str">
        <f>IF(Table1_1[[#This Row],[Occupation]]="Skilled manual","Blue collar",IF(Table1_1[[#This Row],[Occupation]]="Manual","Blue collar","White collar"))</f>
        <v>Blue collar</v>
      </c>
    </row>
    <row r="306" spans="1:22" x14ac:dyDescent="0.3">
      <c r="A306" t="s">
        <v>340</v>
      </c>
      <c r="B306" s="6" t="s">
        <v>1042</v>
      </c>
      <c r="C306" s="6" t="s">
        <v>1046</v>
      </c>
      <c r="D306" s="3">
        <v>80000</v>
      </c>
      <c r="E306">
        <v>4</v>
      </c>
      <c r="F306" s="6" t="s">
        <v>31</v>
      </c>
      <c r="G306" s="6" t="s">
        <v>28</v>
      </c>
      <c r="H306" s="6" t="s">
        <v>15</v>
      </c>
      <c r="I306">
        <v>1</v>
      </c>
      <c r="J306" t="s">
        <v>16</v>
      </c>
      <c r="K30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06" s="6" t="s">
        <v>24</v>
      </c>
      <c r="M306" s="7">
        <v>36</v>
      </c>
      <c r="N306" t="s">
        <v>15</v>
      </c>
      <c r="O306" s="9" t="str">
        <f>IF(Table1_1[[#This Row],[Purchased Bike]]="yes","1","0")</f>
        <v>1</v>
      </c>
      <c r="P306" s="4" t="str">
        <f>IF(Table1_1[[#This Row],[Income]]&lt;=30000,"Low ",IF(Table1_1[[#This Row],[Income]]&lt;=70000,"Middle","High"))</f>
        <v>High</v>
      </c>
      <c r="Q306" s="6" t="str">
        <f>IF(Table1_1[[#This Row],[Age]]&lt;30,"Young",IF(Table1_1[[#This Row],[Age]]&lt;50,"Middle aged","Senior citizen"))</f>
        <v>Middle aged</v>
      </c>
      <c r="R306" s="7">
        <f>IF(Table1_1[[#This Row],[Marriedarital SingletatuSingle]]="M",Table1_1[[#This Row],[Children]]+2,Table1_1[[#This Row],[Children]]+1)</f>
        <v>5</v>
      </c>
      <c r="S306" s="4" t="str">
        <f>IF(Table1_1[[#This Row],[Cars]]=0,"No","Yes")</f>
        <v>Yes</v>
      </c>
      <c r="T306" s="6" t="str">
        <f>IF(AND(Table1_1[[#This Row],[Income]]&gt;50000,Table1_1[[#This Row],[Home Owner]]="Yes"),"High stability","Low stability")</f>
        <v>High stability</v>
      </c>
      <c r="U306" s="3">
        <f>Table1_1[[#This Row],[Income]]/Table1_1[[#This Row],[Family size]]</f>
        <v>16000</v>
      </c>
      <c r="V306" s="6" t="str">
        <f>IF(Table1_1[[#This Row],[Occupation]]="Skilled manual","Blue collar",IF(Table1_1[[#This Row],[Occupation]]="Manual","Blue collar","White collar"))</f>
        <v>White collar</v>
      </c>
    </row>
    <row r="307" spans="1:22" x14ac:dyDescent="0.3">
      <c r="A307" t="s">
        <v>341</v>
      </c>
      <c r="B307" s="6" t="s">
        <v>1044</v>
      </c>
      <c r="C307" s="6" t="s">
        <v>1046</v>
      </c>
      <c r="D307" s="3">
        <v>10000</v>
      </c>
      <c r="E307">
        <v>2</v>
      </c>
      <c r="F307" s="6" t="s">
        <v>29</v>
      </c>
      <c r="G307" s="6" t="s">
        <v>20</v>
      </c>
      <c r="H307" s="6" t="s">
        <v>15</v>
      </c>
      <c r="I307">
        <v>2</v>
      </c>
      <c r="J307" t="s">
        <v>23</v>
      </c>
      <c r="K30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07" s="6" t="s">
        <v>24</v>
      </c>
      <c r="M307" s="7">
        <v>58</v>
      </c>
      <c r="N307" t="s">
        <v>18</v>
      </c>
      <c r="O307" s="9" t="str">
        <f>IF(Table1_1[[#This Row],[Purchased Bike]]="yes","1","0")</f>
        <v>0</v>
      </c>
      <c r="P307" s="4" t="str">
        <f>IF(Table1_1[[#This Row],[Income]]&lt;=30000,"Low ",IF(Table1_1[[#This Row],[Income]]&lt;=70000,"Middle","High"))</f>
        <v xml:space="preserve">Low </v>
      </c>
      <c r="Q307" s="6" t="str">
        <f>IF(Table1_1[[#This Row],[Age]]&lt;30,"Young",IF(Table1_1[[#This Row],[Age]]&lt;50,"Middle aged","Senior citizen"))</f>
        <v>Senior citizen</v>
      </c>
      <c r="R307" s="7">
        <f>IF(Table1_1[[#This Row],[Marriedarital SingletatuSingle]]="M",Table1_1[[#This Row],[Children]]+2,Table1_1[[#This Row],[Children]]+1)</f>
        <v>3</v>
      </c>
      <c r="S307" s="4" t="str">
        <f>IF(Table1_1[[#This Row],[Cars]]=0,"No","Yes")</f>
        <v>Yes</v>
      </c>
      <c r="T307" s="6" t="str">
        <f>IF(AND(Table1_1[[#This Row],[Income]]&gt;50000,Table1_1[[#This Row],[Home Owner]]="Yes"),"High stability","Low stability")</f>
        <v>Low stability</v>
      </c>
      <c r="U307" s="3">
        <f>Table1_1[[#This Row],[Income]]/Table1_1[[#This Row],[Family size]]</f>
        <v>3333.3333333333335</v>
      </c>
      <c r="V307" s="6" t="str">
        <f>IF(Table1_1[[#This Row],[Occupation]]="Skilled manual","Blue collar",IF(Table1_1[[#This Row],[Occupation]]="Manual","Blue collar","White collar"))</f>
        <v>White collar</v>
      </c>
    </row>
    <row r="308" spans="1:22" x14ac:dyDescent="0.3">
      <c r="A308" t="s">
        <v>342</v>
      </c>
      <c r="B308" s="6" t="s">
        <v>1042</v>
      </c>
      <c r="C308" s="6" t="s">
        <v>1046</v>
      </c>
      <c r="D308" s="3">
        <v>90000</v>
      </c>
      <c r="E308">
        <v>2</v>
      </c>
      <c r="F308" s="6" t="s">
        <v>13</v>
      </c>
      <c r="G308" s="6" t="s">
        <v>21</v>
      </c>
      <c r="H308" s="6" t="s">
        <v>15</v>
      </c>
      <c r="I308">
        <v>0</v>
      </c>
      <c r="J308" t="s">
        <v>26</v>
      </c>
      <c r="K30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08" s="6" t="s">
        <v>24</v>
      </c>
      <c r="M308" s="7">
        <v>40</v>
      </c>
      <c r="N308" t="s">
        <v>15</v>
      </c>
      <c r="O308" s="9" t="str">
        <f>IF(Table1_1[[#This Row],[Purchased Bike]]="yes","1","0")</f>
        <v>1</v>
      </c>
      <c r="P308" s="4" t="str">
        <f>IF(Table1_1[[#This Row],[Income]]&lt;=30000,"Low ",IF(Table1_1[[#This Row],[Income]]&lt;=70000,"Middle","High"))</f>
        <v>High</v>
      </c>
      <c r="Q308" s="6" t="str">
        <f>IF(Table1_1[[#This Row],[Age]]&lt;30,"Young",IF(Table1_1[[#This Row],[Age]]&lt;50,"Middle aged","Senior citizen"))</f>
        <v>Middle aged</v>
      </c>
      <c r="R308" s="7">
        <f>IF(Table1_1[[#This Row],[Marriedarital SingletatuSingle]]="M",Table1_1[[#This Row],[Children]]+2,Table1_1[[#This Row],[Children]]+1)</f>
        <v>3</v>
      </c>
      <c r="S308" s="4" t="str">
        <f>IF(Table1_1[[#This Row],[Cars]]=0,"No","Yes")</f>
        <v>No</v>
      </c>
      <c r="T308" s="6" t="str">
        <f>IF(AND(Table1_1[[#This Row],[Income]]&gt;50000,Table1_1[[#This Row],[Home Owner]]="Yes"),"High stability","Low stability")</f>
        <v>High stability</v>
      </c>
      <c r="U308" s="3">
        <f>Table1_1[[#This Row],[Income]]/Table1_1[[#This Row],[Family size]]</f>
        <v>30000</v>
      </c>
      <c r="V308" s="6" t="str">
        <f>IF(Table1_1[[#This Row],[Occupation]]="Skilled manual","Blue collar",IF(Table1_1[[#This Row],[Occupation]]="Manual","Blue collar","White collar"))</f>
        <v>White collar</v>
      </c>
    </row>
    <row r="309" spans="1:22" x14ac:dyDescent="0.3">
      <c r="A309" t="s">
        <v>343</v>
      </c>
      <c r="B309" s="6" t="s">
        <v>1042</v>
      </c>
      <c r="C309" s="6" t="s">
        <v>1046</v>
      </c>
      <c r="D309" s="3">
        <v>10000</v>
      </c>
      <c r="E309">
        <v>2</v>
      </c>
      <c r="F309" s="6" t="s">
        <v>13</v>
      </c>
      <c r="G309" s="6" t="s">
        <v>20</v>
      </c>
      <c r="H309" s="6" t="s">
        <v>15</v>
      </c>
      <c r="I309">
        <v>1</v>
      </c>
      <c r="J309" t="s">
        <v>16</v>
      </c>
      <c r="K30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09" s="6" t="s">
        <v>17</v>
      </c>
      <c r="M309" s="7">
        <v>66</v>
      </c>
      <c r="N309" t="s">
        <v>18</v>
      </c>
      <c r="O309" s="9" t="str">
        <f>IF(Table1_1[[#This Row],[Purchased Bike]]="yes","1","0")</f>
        <v>0</v>
      </c>
      <c r="P309" s="4" t="str">
        <f>IF(Table1_1[[#This Row],[Income]]&lt;=30000,"Low ",IF(Table1_1[[#This Row],[Income]]&lt;=70000,"Middle","High"))</f>
        <v xml:space="preserve">Low </v>
      </c>
      <c r="Q309" s="6" t="str">
        <f>IF(Table1_1[[#This Row],[Age]]&lt;30,"Young",IF(Table1_1[[#This Row],[Age]]&lt;50,"Middle aged","Senior citizen"))</f>
        <v>Senior citizen</v>
      </c>
      <c r="R309" s="7">
        <f>IF(Table1_1[[#This Row],[Marriedarital SingletatuSingle]]="M",Table1_1[[#This Row],[Children]]+2,Table1_1[[#This Row],[Children]]+1)</f>
        <v>3</v>
      </c>
      <c r="S309" s="4" t="str">
        <f>IF(Table1_1[[#This Row],[Cars]]=0,"No","Yes")</f>
        <v>Yes</v>
      </c>
      <c r="T309" s="6" t="str">
        <f>IF(AND(Table1_1[[#This Row],[Income]]&gt;50000,Table1_1[[#This Row],[Home Owner]]="Yes"),"High stability","Low stability")</f>
        <v>Low stability</v>
      </c>
      <c r="U309" s="3">
        <f>Table1_1[[#This Row],[Income]]/Table1_1[[#This Row],[Family size]]</f>
        <v>3333.3333333333335</v>
      </c>
      <c r="V309" s="6" t="str">
        <f>IF(Table1_1[[#This Row],[Occupation]]="Skilled manual","Blue collar",IF(Table1_1[[#This Row],[Occupation]]="Manual","Blue collar","White collar"))</f>
        <v>White collar</v>
      </c>
    </row>
    <row r="310" spans="1:22" x14ac:dyDescent="0.3">
      <c r="A310" t="s">
        <v>344</v>
      </c>
      <c r="B310" s="6" t="s">
        <v>1042</v>
      </c>
      <c r="C310" s="6" t="s">
        <v>1046</v>
      </c>
      <c r="D310" s="3">
        <v>40000</v>
      </c>
      <c r="E310">
        <v>2</v>
      </c>
      <c r="F310" s="6" t="s">
        <v>19</v>
      </c>
      <c r="G310" s="6" t="s">
        <v>20</v>
      </c>
      <c r="H310" s="6" t="s">
        <v>15</v>
      </c>
      <c r="I310">
        <v>1</v>
      </c>
      <c r="J310" t="s">
        <v>26</v>
      </c>
      <c r="K3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10" s="6" t="s">
        <v>17</v>
      </c>
      <c r="M310" s="7">
        <v>35</v>
      </c>
      <c r="N310" t="s">
        <v>15</v>
      </c>
      <c r="O310" s="9" t="str">
        <f>IF(Table1_1[[#This Row],[Purchased Bike]]="yes","1","0")</f>
        <v>1</v>
      </c>
      <c r="P310" s="4" t="str">
        <f>IF(Table1_1[[#This Row],[Income]]&lt;=30000,"Low ",IF(Table1_1[[#This Row],[Income]]&lt;=70000,"Middle","High"))</f>
        <v>Middle</v>
      </c>
      <c r="Q310" s="6" t="str">
        <f>IF(Table1_1[[#This Row],[Age]]&lt;30,"Young",IF(Table1_1[[#This Row],[Age]]&lt;50,"Middle aged","Senior citizen"))</f>
        <v>Middle aged</v>
      </c>
      <c r="R310" s="7">
        <f>IF(Table1_1[[#This Row],[Marriedarital SingletatuSingle]]="M",Table1_1[[#This Row],[Children]]+2,Table1_1[[#This Row],[Children]]+1)</f>
        <v>3</v>
      </c>
      <c r="S310" s="4" t="str">
        <f>IF(Table1_1[[#This Row],[Cars]]=0,"No","Yes")</f>
        <v>Yes</v>
      </c>
      <c r="T310" s="6" t="str">
        <f>IF(AND(Table1_1[[#This Row],[Income]]&gt;50000,Table1_1[[#This Row],[Home Owner]]="Yes"),"High stability","Low stability")</f>
        <v>Low stability</v>
      </c>
      <c r="U310" s="3">
        <f>Table1_1[[#This Row],[Income]]/Table1_1[[#This Row],[Family size]]</f>
        <v>13333.333333333334</v>
      </c>
      <c r="V310" s="6" t="str">
        <f>IF(Table1_1[[#This Row],[Occupation]]="Skilled manual","Blue collar",IF(Table1_1[[#This Row],[Occupation]]="Manual","Blue collar","White collar"))</f>
        <v>White collar</v>
      </c>
    </row>
    <row r="311" spans="1:22" x14ac:dyDescent="0.3">
      <c r="A311" t="s">
        <v>345</v>
      </c>
      <c r="B311" s="6" t="s">
        <v>1042</v>
      </c>
      <c r="C311" s="6" t="s">
        <v>1045</v>
      </c>
      <c r="D311" s="3">
        <v>20000</v>
      </c>
      <c r="E311">
        <v>2</v>
      </c>
      <c r="F311" s="6" t="s">
        <v>19</v>
      </c>
      <c r="G311" s="6" t="s">
        <v>25</v>
      </c>
      <c r="H311" s="6" t="s">
        <v>15</v>
      </c>
      <c r="I311">
        <v>1</v>
      </c>
      <c r="J311" t="s">
        <v>22</v>
      </c>
      <c r="K3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11" s="6" t="s">
        <v>17</v>
      </c>
      <c r="M311" s="7">
        <v>47</v>
      </c>
      <c r="N311" t="s">
        <v>15</v>
      </c>
      <c r="O311" s="9" t="str">
        <f>IF(Table1_1[[#This Row],[Purchased Bike]]="yes","1","0")</f>
        <v>1</v>
      </c>
      <c r="P311" s="4" t="str">
        <f>IF(Table1_1[[#This Row],[Income]]&lt;=30000,"Low ",IF(Table1_1[[#This Row],[Income]]&lt;=70000,"Middle","High"))</f>
        <v xml:space="preserve">Low </v>
      </c>
      <c r="Q311" s="6" t="str">
        <f>IF(Table1_1[[#This Row],[Age]]&lt;30,"Young",IF(Table1_1[[#This Row],[Age]]&lt;50,"Middle aged","Senior citizen"))</f>
        <v>Middle aged</v>
      </c>
      <c r="R311" s="7">
        <f>IF(Table1_1[[#This Row],[Marriedarital SingletatuSingle]]="M",Table1_1[[#This Row],[Children]]+2,Table1_1[[#This Row],[Children]]+1)</f>
        <v>3</v>
      </c>
      <c r="S311" s="4" t="str">
        <f>IF(Table1_1[[#This Row],[Cars]]=0,"No","Yes")</f>
        <v>Yes</v>
      </c>
      <c r="T311" s="6" t="str">
        <f>IF(AND(Table1_1[[#This Row],[Income]]&gt;50000,Table1_1[[#This Row],[Home Owner]]="Yes"),"High stability","Low stability")</f>
        <v>Low stability</v>
      </c>
      <c r="U311" s="3">
        <f>Table1_1[[#This Row],[Income]]/Table1_1[[#This Row],[Family size]]</f>
        <v>6666.666666666667</v>
      </c>
      <c r="V311" s="6" t="str">
        <f>IF(Table1_1[[#This Row],[Occupation]]="Skilled manual","Blue collar",IF(Table1_1[[#This Row],[Occupation]]="Manual","Blue collar","White collar"))</f>
        <v>Blue collar</v>
      </c>
    </row>
    <row r="312" spans="1:22" x14ac:dyDescent="0.3">
      <c r="A312" t="s">
        <v>346</v>
      </c>
      <c r="B312" s="6" t="s">
        <v>1042</v>
      </c>
      <c r="C312" s="6" t="s">
        <v>1046</v>
      </c>
      <c r="D312" s="3">
        <v>120000</v>
      </c>
      <c r="E312">
        <v>4</v>
      </c>
      <c r="F312" s="6" t="s">
        <v>13</v>
      </c>
      <c r="G312" s="6" t="s">
        <v>28</v>
      </c>
      <c r="H312" s="6" t="s">
        <v>15</v>
      </c>
      <c r="I312">
        <v>1</v>
      </c>
      <c r="J312" t="s">
        <v>22</v>
      </c>
      <c r="K3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12" s="6" t="s">
        <v>24</v>
      </c>
      <c r="M312" s="7">
        <v>47</v>
      </c>
      <c r="N312" t="s">
        <v>18</v>
      </c>
      <c r="O312" s="9" t="str">
        <f>IF(Table1_1[[#This Row],[Purchased Bike]]="yes","1","0")</f>
        <v>0</v>
      </c>
      <c r="P312" s="4" t="str">
        <f>IF(Table1_1[[#This Row],[Income]]&lt;=30000,"Low ",IF(Table1_1[[#This Row],[Income]]&lt;=70000,"Middle","High"))</f>
        <v>High</v>
      </c>
      <c r="Q312" s="6" t="str">
        <f>IF(Table1_1[[#This Row],[Age]]&lt;30,"Young",IF(Table1_1[[#This Row],[Age]]&lt;50,"Middle aged","Senior citizen"))</f>
        <v>Middle aged</v>
      </c>
      <c r="R312" s="7">
        <f>IF(Table1_1[[#This Row],[Marriedarital SingletatuSingle]]="M",Table1_1[[#This Row],[Children]]+2,Table1_1[[#This Row],[Children]]+1)</f>
        <v>5</v>
      </c>
      <c r="S312" s="4" t="str">
        <f>IF(Table1_1[[#This Row],[Cars]]=0,"No","Yes")</f>
        <v>Yes</v>
      </c>
      <c r="T312" s="6" t="str">
        <f>IF(AND(Table1_1[[#This Row],[Income]]&gt;50000,Table1_1[[#This Row],[Home Owner]]="Yes"),"High stability","Low stability")</f>
        <v>High stability</v>
      </c>
      <c r="U312" s="3">
        <f>Table1_1[[#This Row],[Income]]/Table1_1[[#This Row],[Family size]]</f>
        <v>24000</v>
      </c>
      <c r="V312" s="6" t="str">
        <f>IF(Table1_1[[#This Row],[Occupation]]="Skilled manual","Blue collar",IF(Table1_1[[#This Row],[Occupation]]="Manual","Blue collar","White collar"))</f>
        <v>White collar</v>
      </c>
    </row>
    <row r="313" spans="1:22" x14ac:dyDescent="0.3">
      <c r="A313" t="s">
        <v>347</v>
      </c>
      <c r="B313" s="6" t="s">
        <v>1042</v>
      </c>
      <c r="C313" s="6" t="s">
        <v>1046</v>
      </c>
      <c r="D313" s="3">
        <v>60000</v>
      </c>
      <c r="E313">
        <v>1</v>
      </c>
      <c r="F313" s="6" t="s">
        <v>19</v>
      </c>
      <c r="G313" s="6" t="s">
        <v>14</v>
      </c>
      <c r="H313" s="6" t="s">
        <v>15</v>
      </c>
      <c r="I313">
        <v>1</v>
      </c>
      <c r="J313" t="s">
        <v>23</v>
      </c>
      <c r="K3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13" s="6" t="s">
        <v>24</v>
      </c>
      <c r="M313" s="7">
        <v>46</v>
      </c>
      <c r="N313" t="s">
        <v>18</v>
      </c>
      <c r="O313" s="9" t="str">
        <f>IF(Table1_1[[#This Row],[Purchased Bike]]="yes","1","0")</f>
        <v>0</v>
      </c>
      <c r="P313" s="4" t="str">
        <f>IF(Table1_1[[#This Row],[Income]]&lt;=30000,"Low ",IF(Table1_1[[#This Row],[Income]]&lt;=70000,"Middle","High"))</f>
        <v>Middle</v>
      </c>
      <c r="Q313" s="6" t="str">
        <f>IF(Table1_1[[#This Row],[Age]]&lt;30,"Young",IF(Table1_1[[#This Row],[Age]]&lt;50,"Middle aged","Senior citizen"))</f>
        <v>Middle aged</v>
      </c>
      <c r="R313" s="7">
        <f>IF(Table1_1[[#This Row],[Marriedarital SingletatuSingle]]="M",Table1_1[[#This Row],[Children]]+2,Table1_1[[#This Row],[Children]]+1)</f>
        <v>2</v>
      </c>
      <c r="S313" s="4" t="str">
        <f>IF(Table1_1[[#This Row],[Cars]]=0,"No","Yes")</f>
        <v>Yes</v>
      </c>
      <c r="T313" s="6" t="str">
        <f>IF(AND(Table1_1[[#This Row],[Income]]&gt;50000,Table1_1[[#This Row],[Home Owner]]="Yes"),"High stability","Low stability")</f>
        <v>High stability</v>
      </c>
      <c r="U313" s="3">
        <f>Table1_1[[#This Row],[Income]]/Table1_1[[#This Row],[Family size]]</f>
        <v>30000</v>
      </c>
      <c r="V313" s="6" t="str">
        <f>IF(Table1_1[[#This Row],[Occupation]]="Skilled manual","Blue collar",IF(Table1_1[[#This Row],[Occupation]]="Manual","Blue collar","White collar"))</f>
        <v>Blue collar</v>
      </c>
    </row>
    <row r="314" spans="1:22" x14ac:dyDescent="0.3">
      <c r="A314" t="s">
        <v>348</v>
      </c>
      <c r="B314" s="6" t="s">
        <v>1042</v>
      </c>
      <c r="C314" s="6" t="s">
        <v>1046</v>
      </c>
      <c r="D314" s="3">
        <v>20000</v>
      </c>
      <c r="E314">
        <v>4</v>
      </c>
      <c r="F314" s="6" t="s">
        <v>27</v>
      </c>
      <c r="G314" s="6" t="s">
        <v>14</v>
      </c>
      <c r="H314" s="6" t="s">
        <v>15</v>
      </c>
      <c r="I314">
        <v>2</v>
      </c>
      <c r="J314" t="s">
        <v>23</v>
      </c>
      <c r="K3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14" s="6" t="s">
        <v>24</v>
      </c>
      <c r="M314" s="7">
        <v>58</v>
      </c>
      <c r="N314" t="s">
        <v>15</v>
      </c>
      <c r="O314" s="9" t="str">
        <f>IF(Table1_1[[#This Row],[Purchased Bike]]="yes","1","0")</f>
        <v>1</v>
      </c>
      <c r="P314" s="4" t="str">
        <f>IF(Table1_1[[#This Row],[Income]]&lt;=30000,"Low ",IF(Table1_1[[#This Row],[Income]]&lt;=70000,"Middle","High"))</f>
        <v xml:space="preserve">Low </v>
      </c>
      <c r="Q314" s="6" t="str">
        <f>IF(Table1_1[[#This Row],[Age]]&lt;30,"Young",IF(Table1_1[[#This Row],[Age]]&lt;50,"Middle aged","Senior citizen"))</f>
        <v>Senior citizen</v>
      </c>
      <c r="R314" s="7">
        <f>IF(Table1_1[[#This Row],[Marriedarital SingletatuSingle]]="M",Table1_1[[#This Row],[Children]]+2,Table1_1[[#This Row],[Children]]+1)</f>
        <v>5</v>
      </c>
      <c r="S314" s="4" t="str">
        <f>IF(Table1_1[[#This Row],[Cars]]=0,"No","Yes")</f>
        <v>Yes</v>
      </c>
      <c r="T314" s="6" t="str">
        <f>IF(AND(Table1_1[[#This Row],[Income]]&gt;50000,Table1_1[[#This Row],[Home Owner]]="Yes"),"High stability","Low stability")</f>
        <v>Low stability</v>
      </c>
      <c r="U314" s="3">
        <f>Table1_1[[#This Row],[Income]]/Table1_1[[#This Row],[Family size]]</f>
        <v>4000</v>
      </c>
      <c r="V314" s="6" t="str">
        <f>IF(Table1_1[[#This Row],[Occupation]]="Skilled manual","Blue collar",IF(Table1_1[[#This Row],[Occupation]]="Manual","Blue collar","White collar"))</f>
        <v>Blue collar</v>
      </c>
    </row>
    <row r="315" spans="1:22" x14ac:dyDescent="0.3">
      <c r="A315" t="s">
        <v>349</v>
      </c>
      <c r="B315" s="6" t="s">
        <v>1044</v>
      </c>
      <c r="C315" s="6" t="s">
        <v>1046</v>
      </c>
      <c r="D315" s="3">
        <v>40000</v>
      </c>
      <c r="E315">
        <v>3</v>
      </c>
      <c r="F315" s="6" t="s">
        <v>29</v>
      </c>
      <c r="G315" s="6" t="s">
        <v>20</v>
      </c>
      <c r="H315" s="6" t="s">
        <v>18</v>
      </c>
      <c r="I315">
        <v>2</v>
      </c>
      <c r="J315" t="s">
        <v>23</v>
      </c>
      <c r="K3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15" s="6" t="s">
        <v>24</v>
      </c>
      <c r="M315" s="7">
        <v>52</v>
      </c>
      <c r="N315" t="s">
        <v>15</v>
      </c>
      <c r="O315" s="9" t="str">
        <f>IF(Table1_1[[#This Row],[Purchased Bike]]="yes","1","0")</f>
        <v>1</v>
      </c>
      <c r="P315" s="4" t="str">
        <f>IF(Table1_1[[#This Row],[Income]]&lt;=30000,"Low ",IF(Table1_1[[#This Row],[Income]]&lt;=70000,"Middle","High"))</f>
        <v>Middle</v>
      </c>
      <c r="Q315" s="6" t="str">
        <f>IF(Table1_1[[#This Row],[Age]]&lt;30,"Young",IF(Table1_1[[#This Row],[Age]]&lt;50,"Middle aged","Senior citizen"))</f>
        <v>Senior citizen</v>
      </c>
      <c r="R315" s="7">
        <f>IF(Table1_1[[#This Row],[Marriedarital SingletatuSingle]]="M",Table1_1[[#This Row],[Children]]+2,Table1_1[[#This Row],[Children]]+1)</f>
        <v>4</v>
      </c>
      <c r="S315" s="4" t="str">
        <f>IF(Table1_1[[#This Row],[Cars]]=0,"No","Yes")</f>
        <v>Yes</v>
      </c>
      <c r="T315" s="6" t="str">
        <f>IF(AND(Table1_1[[#This Row],[Income]]&gt;50000,Table1_1[[#This Row],[Home Owner]]="Yes"),"High stability","Low stability")</f>
        <v>Low stability</v>
      </c>
      <c r="U315" s="3">
        <f>Table1_1[[#This Row],[Income]]/Table1_1[[#This Row],[Family size]]</f>
        <v>10000</v>
      </c>
      <c r="V315" s="6" t="str">
        <f>IF(Table1_1[[#This Row],[Occupation]]="Skilled manual","Blue collar",IF(Table1_1[[#This Row],[Occupation]]="Manual","Blue collar","White collar"))</f>
        <v>White collar</v>
      </c>
    </row>
    <row r="316" spans="1:22" x14ac:dyDescent="0.3">
      <c r="A316" t="s">
        <v>350</v>
      </c>
      <c r="B316" s="6" t="s">
        <v>1042</v>
      </c>
      <c r="C316" s="6" t="s">
        <v>1046</v>
      </c>
      <c r="D316" s="3">
        <v>80000</v>
      </c>
      <c r="E316">
        <v>5</v>
      </c>
      <c r="F316" s="6" t="s">
        <v>13</v>
      </c>
      <c r="G316" s="6" t="s">
        <v>21</v>
      </c>
      <c r="H316" s="6" t="s">
        <v>18</v>
      </c>
      <c r="I316">
        <v>1</v>
      </c>
      <c r="J316" t="s">
        <v>16</v>
      </c>
      <c r="K3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16" s="6" t="s">
        <v>24</v>
      </c>
      <c r="M316" s="7">
        <v>47</v>
      </c>
      <c r="N316" t="s">
        <v>15</v>
      </c>
      <c r="O316" s="9" t="str">
        <f>IF(Table1_1[[#This Row],[Purchased Bike]]="yes","1","0")</f>
        <v>1</v>
      </c>
      <c r="P316" s="4" t="str">
        <f>IF(Table1_1[[#This Row],[Income]]&lt;=30000,"Low ",IF(Table1_1[[#This Row],[Income]]&lt;=70000,"Middle","High"))</f>
        <v>High</v>
      </c>
      <c r="Q316" s="6" t="str">
        <f>IF(Table1_1[[#This Row],[Age]]&lt;30,"Young",IF(Table1_1[[#This Row],[Age]]&lt;50,"Middle aged","Senior citizen"))</f>
        <v>Middle aged</v>
      </c>
      <c r="R316" s="7">
        <f>IF(Table1_1[[#This Row],[Marriedarital SingletatuSingle]]="M",Table1_1[[#This Row],[Children]]+2,Table1_1[[#This Row],[Children]]+1)</f>
        <v>6</v>
      </c>
      <c r="S316" s="4" t="str">
        <f>IF(Table1_1[[#This Row],[Cars]]=0,"No","Yes")</f>
        <v>Yes</v>
      </c>
      <c r="T316" s="6" t="str">
        <f>IF(AND(Table1_1[[#This Row],[Income]]&gt;50000,Table1_1[[#This Row],[Home Owner]]="Yes"),"High stability","Low stability")</f>
        <v>Low stability</v>
      </c>
      <c r="U316" s="3">
        <f>Table1_1[[#This Row],[Income]]/Table1_1[[#This Row],[Family size]]</f>
        <v>13333.333333333334</v>
      </c>
      <c r="V316" s="6" t="str">
        <f>IF(Table1_1[[#This Row],[Occupation]]="Skilled manual","Blue collar",IF(Table1_1[[#This Row],[Occupation]]="Manual","Blue collar","White collar"))</f>
        <v>White collar</v>
      </c>
    </row>
    <row r="317" spans="1:22" x14ac:dyDescent="0.3">
      <c r="A317" t="s">
        <v>351</v>
      </c>
      <c r="B317" s="6" t="s">
        <v>1044</v>
      </c>
      <c r="C317" s="6" t="s">
        <v>1046</v>
      </c>
      <c r="D317" s="3">
        <v>70000</v>
      </c>
      <c r="E317">
        <v>0</v>
      </c>
      <c r="F317" s="6" t="s">
        <v>13</v>
      </c>
      <c r="G317" s="6" t="s">
        <v>21</v>
      </c>
      <c r="H317" s="6" t="s">
        <v>18</v>
      </c>
      <c r="I317">
        <v>1</v>
      </c>
      <c r="J317" t="s">
        <v>23</v>
      </c>
      <c r="K3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17" s="6" t="s">
        <v>24</v>
      </c>
      <c r="M317" s="7">
        <v>41</v>
      </c>
      <c r="N317" t="s">
        <v>18</v>
      </c>
      <c r="O317" s="9" t="str">
        <f>IF(Table1_1[[#This Row],[Purchased Bike]]="yes","1","0")</f>
        <v>0</v>
      </c>
      <c r="P317" s="4" t="str">
        <f>IF(Table1_1[[#This Row],[Income]]&lt;=30000,"Low ",IF(Table1_1[[#This Row],[Income]]&lt;=70000,"Middle","High"))</f>
        <v>Middle</v>
      </c>
      <c r="Q317" s="6" t="str">
        <f>IF(Table1_1[[#This Row],[Age]]&lt;30,"Young",IF(Table1_1[[#This Row],[Age]]&lt;50,"Middle aged","Senior citizen"))</f>
        <v>Middle aged</v>
      </c>
      <c r="R317" s="7">
        <f>IF(Table1_1[[#This Row],[Marriedarital SingletatuSingle]]="M",Table1_1[[#This Row],[Children]]+2,Table1_1[[#This Row],[Children]]+1)</f>
        <v>1</v>
      </c>
      <c r="S317" s="4" t="str">
        <f>IF(Table1_1[[#This Row],[Cars]]=0,"No","Yes")</f>
        <v>Yes</v>
      </c>
      <c r="T317" s="6" t="str">
        <f>IF(AND(Table1_1[[#This Row],[Income]]&gt;50000,Table1_1[[#This Row],[Home Owner]]="Yes"),"High stability","Low stability")</f>
        <v>Low stability</v>
      </c>
      <c r="U317" s="3">
        <f>Table1_1[[#This Row],[Income]]/Table1_1[[#This Row],[Family size]]</f>
        <v>70000</v>
      </c>
      <c r="V317" s="6" t="str">
        <f>IF(Table1_1[[#This Row],[Occupation]]="Skilled manual","Blue collar",IF(Table1_1[[#This Row],[Occupation]]="Manual","Blue collar","White collar"))</f>
        <v>White collar</v>
      </c>
    </row>
    <row r="318" spans="1:22" x14ac:dyDescent="0.3">
      <c r="A318" t="s">
        <v>352</v>
      </c>
      <c r="B318" s="6" t="s">
        <v>1042</v>
      </c>
      <c r="C318" s="6" t="s">
        <v>1046</v>
      </c>
      <c r="D318" s="3">
        <v>50000</v>
      </c>
      <c r="E318">
        <v>2</v>
      </c>
      <c r="F318" s="6" t="s">
        <v>31</v>
      </c>
      <c r="G318" s="6" t="s">
        <v>28</v>
      </c>
      <c r="H318" s="6" t="s">
        <v>15</v>
      </c>
      <c r="I318">
        <v>1</v>
      </c>
      <c r="J318" t="s">
        <v>23</v>
      </c>
      <c r="K3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18" s="6" t="s">
        <v>24</v>
      </c>
      <c r="M318" s="7">
        <v>64</v>
      </c>
      <c r="N318" t="s">
        <v>15</v>
      </c>
      <c r="O318" s="9" t="str">
        <f>IF(Table1_1[[#This Row],[Purchased Bike]]="yes","1","0")</f>
        <v>1</v>
      </c>
      <c r="P318" s="4" t="str">
        <f>IF(Table1_1[[#This Row],[Income]]&lt;=30000,"Low ",IF(Table1_1[[#This Row],[Income]]&lt;=70000,"Middle","High"))</f>
        <v>Middle</v>
      </c>
      <c r="Q318" s="6" t="str">
        <f>IF(Table1_1[[#This Row],[Age]]&lt;30,"Young",IF(Table1_1[[#This Row],[Age]]&lt;50,"Middle aged","Senior citizen"))</f>
        <v>Senior citizen</v>
      </c>
      <c r="R318" s="7">
        <f>IF(Table1_1[[#This Row],[Marriedarital SingletatuSingle]]="M",Table1_1[[#This Row],[Children]]+2,Table1_1[[#This Row],[Children]]+1)</f>
        <v>3</v>
      </c>
      <c r="S318" s="4" t="str">
        <f>IF(Table1_1[[#This Row],[Cars]]=0,"No","Yes")</f>
        <v>Yes</v>
      </c>
      <c r="T318" s="6" t="str">
        <f>IF(AND(Table1_1[[#This Row],[Income]]&gt;50000,Table1_1[[#This Row],[Home Owner]]="Yes"),"High stability","Low stability")</f>
        <v>Low stability</v>
      </c>
      <c r="U318" s="3">
        <f>Table1_1[[#This Row],[Income]]/Table1_1[[#This Row],[Family size]]</f>
        <v>16666.666666666668</v>
      </c>
      <c r="V318" s="6" t="str">
        <f>IF(Table1_1[[#This Row],[Occupation]]="Skilled manual","Blue collar",IF(Table1_1[[#This Row],[Occupation]]="Manual","Blue collar","White collar"))</f>
        <v>White collar</v>
      </c>
    </row>
    <row r="319" spans="1:22" x14ac:dyDescent="0.3">
      <c r="A319" t="s">
        <v>353</v>
      </c>
      <c r="B319" s="6" t="s">
        <v>1042</v>
      </c>
      <c r="C319" s="6" t="s">
        <v>1046</v>
      </c>
      <c r="D319" s="3">
        <v>30000</v>
      </c>
      <c r="E319">
        <v>0</v>
      </c>
      <c r="F319" s="6" t="s">
        <v>13</v>
      </c>
      <c r="G319" s="6" t="s">
        <v>20</v>
      </c>
      <c r="H319" s="6" t="s">
        <v>15</v>
      </c>
      <c r="I319">
        <v>0</v>
      </c>
      <c r="J319" t="s">
        <v>16</v>
      </c>
      <c r="K3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19" s="6" t="s">
        <v>17</v>
      </c>
      <c r="M319" s="7">
        <v>35</v>
      </c>
      <c r="N319" t="s">
        <v>15</v>
      </c>
      <c r="O319" s="9" t="str">
        <f>IF(Table1_1[[#This Row],[Purchased Bike]]="yes","1","0")</f>
        <v>1</v>
      </c>
      <c r="P319" s="4" t="str">
        <f>IF(Table1_1[[#This Row],[Income]]&lt;=30000,"Low ",IF(Table1_1[[#This Row],[Income]]&lt;=70000,"Middle","High"))</f>
        <v xml:space="preserve">Low </v>
      </c>
      <c r="Q319" s="6" t="str">
        <f>IF(Table1_1[[#This Row],[Age]]&lt;30,"Young",IF(Table1_1[[#This Row],[Age]]&lt;50,"Middle aged","Senior citizen"))</f>
        <v>Middle aged</v>
      </c>
      <c r="R319" s="7">
        <f>IF(Table1_1[[#This Row],[Marriedarital SingletatuSingle]]="M",Table1_1[[#This Row],[Children]]+2,Table1_1[[#This Row],[Children]]+1)</f>
        <v>1</v>
      </c>
      <c r="S319" s="4" t="str">
        <f>IF(Table1_1[[#This Row],[Cars]]=0,"No","Yes")</f>
        <v>No</v>
      </c>
      <c r="T319" s="6" t="str">
        <f>IF(AND(Table1_1[[#This Row],[Income]]&gt;50000,Table1_1[[#This Row],[Home Owner]]="Yes"),"High stability","Low stability")</f>
        <v>Low stability</v>
      </c>
      <c r="U319" s="3">
        <f>Table1_1[[#This Row],[Income]]/Table1_1[[#This Row],[Family size]]</f>
        <v>30000</v>
      </c>
      <c r="V319" s="6" t="str">
        <f>IF(Table1_1[[#This Row],[Occupation]]="Skilled manual","Blue collar",IF(Table1_1[[#This Row],[Occupation]]="Manual","Blue collar","White collar"))</f>
        <v>White collar</v>
      </c>
    </row>
    <row r="320" spans="1:22" x14ac:dyDescent="0.3">
      <c r="A320" t="s">
        <v>354</v>
      </c>
      <c r="B320" s="6" t="s">
        <v>1042</v>
      </c>
      <c r="C320" s="6" t="s">
        <v>1046</v>
      </c>
      <c r="D320" s="3">
        <v>130000</v>
      </c>
      <c r="E320">
        <v>4</v>
      </c>
      <c r="F320" s="6" t="s">
        <v>19</v>
      </c>
      <c r="G320" s="6" t="s">
        <v>21</v>
      </c>
      <c r="H320" s="6" t="s">
        <v>18</v>
      </c>
      <c r="I320">
        <v>3</v>
      </c>
      <c r="J320" t="s">
        <v>30</v>
      </c>
      <c r="K3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320" s="6" t="s">
        <v>17</v>
      </c>
      <c r="M320" s="7">
        <v>54</v>
      </c>
      <c r="N320" t="s">
        <v>18</v>
      </c>
      <c r="O320" s="9" t="str">
        <f>IF(Table1_1[[#This Row],[Purchased Bike]]="yes","1","0")</f>
        <v>0</v>
      </c>
      <c r="P320" s="4" t="str">
        <f>IF(Table1_1[[#This Row],[Income]]&lt;=30000,"Low ",IF(Table1_1[[#This Row],[Income]]&lt;=70000,"Middle","High"))</f>
        <v>High</v>
      </c>
      <c r="Q320" s="6" t="str">
        <f>IF(Table1_1[[#This Row],[Age]]&lt;30,"Young",IF(Table1_1[[#This Row],[Age]]&lt;50,"Middle aged","Senior citizen"))</f>
        <v>Senior citizen</v>
      </c>
      <c r="R320" s="7">
        <f>IF(Table1_1[[#This Row],[Marriedarital SingletatuSingle]]="M",Table1_1[[#This Row],[Children]]+2,Table1_1[[#This Row],[Children]]+1)</f>
        <v>5</v>
      </c>
      <c r="S320" s="4" t="str">
        <f>IF(Table1_1[[#This Row],[Cars]]=0,"No","Yes")</f>
        <v>Yes</v>
      </c>
      <c r="T320" s="6" t="str">
        <f>IF(AND(Table1_1[[#This Row],[Income]]&gt;50000,Table1_1[[#This Row],[Home Owner]]="Yes"),"High stability","Low stability")</f>
        <v>Low stability</v>
      </c>
      <c r="U320" s="3">
        <f>Table1_1[[#This Row],[Income]]/Table1_1[[#This Row],[Family size]]</f>
        <v>26000</v>
      </c>
      <c r="V320" s="6" t="str">
        <f>IF(Table1_1[[#This Row],[Occupation]]="Skilled manual","Blue collar",IF(Table1_1[[#This Row],[Occupation]]="Manual","Blue collar","White collar"))</f>
        <v>White collar</v>
      </c>
    </row>
    <row r="321" spans="1:22" x14ac:dyDescent="0.3">
      <c r="A321" t="s">
        <v>355</v>
      </c>
      <c r="B321" s="6" t="s">
        <v>1042</v>
      </c>
      <c r="C321" s="6" t="s">
        <v>1045</v>
      </c>
      <c r="D321" s="3">
        <v>30000</v>
      </c>
      <c r="E321">
        <v>3</v>
      </c>
      <c r="F321" s="6" t="s">
        <v>13</v>
      </c>
      <c r="G321" s="6" t="s">
        <v>20</v>
      </c>
      <c r="H321" s="6" t="s">
        <v>15</v>
      </c>
      <c r="I321">
        <v>0</v>
      </c>
      <c r="J321" t="s">
        <v>16</v>
      </c>
      <c r="K3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21" s="6" t="s">
        <v>17</v>
      </c>
      <c r="M321" s="7">
        <v>45</v>
      </c>
      <c r="N321" t="s">
        <v>18</v>
      </c>
      <c r="O321" s="9" t="str">
        <f>IF(Table1_1[[#This Row],[Purchased Bike]]="yes","1","0")</f>
        <v>0</v>
      </c>
      <c r="P321" s="4" t="str">
        <f>IF(Table1_1[[#This Row],[Income]]&lt;=30000,"Low ",IF(Table1_1[[#This Row],[Income]]&lt;=70000,"Middle","High"))</f>
        <v xml:space="preserve">Low </v>
      </c>
      <c r="Q321" s="6" t="str">
        <f>IF(Table1_1[[#This Row],[Age]]&lt;30,"Young",IF(Table1_1[[#This Row],[Age]]&lt;50,"Middle aged","Senior citizen"))</f>
        <v>Middle aged</v>
      </c>
      <c r="R321" s="7">
        <f>IF(Table1_1[[#This Row],[Marriedarital SingletatuSingle]]="M",Table1_1[[#This Row],[Children]]+2,Table1_1[[#This Row],[Children]]+1)</f>
        <v>4</v>
      </c>
      <c r="S321" s="4" t="str">
        <f>IF(Table1_1[[#This Row],[Cars]]=0,"No","Yes")</f>
        <v>No</v>
      </c>
      <c r="T321" s="6" t="str">
        <f>IF(AND(Table1_1[[#This Row],[Income]]&gt;50000,Table1_1[[#This Row],[Home Owner]]="Yes"),"High stability","Low stability")</f>
        <v>Low stability</v>
      </c>
      <c r="U321" s="3">
        <f>Table1_1[[#This Row],[Income]]/Table1_1[[#This Row],[Family size]]</f>
        <v>7500</v>
      </c>
      <c r="V321" s="6" t="str">
        <f>IF(Table1_1[[#This Row],[Occupation]]="Skilled manual","Blue collar",IF(Table1_1[[#This Row],[Occupation]]="Manual","Blue collar","White collar"))</f>
        <v>White collar</v>
      </c>
    </row>
    <row r="322" spans="1:22" x14ac:dyDescent="0.3">
      <c r="A322" t="s">
        <v>356</v>
      </c>
      <c r="B322" s="6" t="s">
        <v>1042</v>
      </c>
      <c r="C322" s="6" t="s">
        <v>1046</v>
      </c>
      <c r="D322" s="3">
        <v>100000</v>
      </c>
      <c r="E322">
        <v>0</v>
      </c>
      <c r="F322" s="6" t="s">
        <v>31</v>
      </c>
      <c r="G322" s="6" t="s">
        <v>28</v>
      </c>
      <c r="H322" s="6" t="s">
        <v>15</v>
      </c>
      <c r="I322">
        <v>0</v>
      </c>
      <c r="J322" t="s">
        <v>22</v>
      </c>
      <c r="K3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22" s="6" t="s">
        <v>24</v>
      </c>
      <c r="M322" s="7">
        <v>40</v>
      </c>
      <c r="N322" t="s">
        <v>15</v>
      </c>
      <c r="O322" s="9" t="str">
        <f>IF(Table1_1[[#This Row],[Purchased Bike]]="yes","1","0")</f>
        <v>1</v>
      </c>
      <c r="P322" s="4" t="str">
        <f>IF(Table1_1[[#This Row],[Income]]&lt;=30000,"Low ",IF(Table1_1[[#This Row],[Income]]&lt;=70000,"Middle","High"))</f>
        <v>High</v>
      </c>
      <c r="Q322" s="6" t="str">
        <f>IF(Table1_1[[#This Row],[Age]]&lt;30,"Young",IF(Table1_1[[#This Row],[Age]]&lt;50,"Middle aged","Senior citizen"))</f>
        <v>Middle aged</v>
      </c>
      <c r="R322" s="7">
        <f>IF(Table1_1[[#This Row],[Marriedarital SingletatuSingle]]="M",Table1_1[[#This Row],[Children]]+2,Table1_1[[#This Row],[Children]]+1)</f>
        <v>1</v>
      </c>
      <c r="S322" s="4" t="str">
        <f>IF(Table1_1[[#This Row],[Cars]]=0,"No","Yes")</f>
        <v>No</v>
      </c>
      <c r="T322" s="6" t="str">
        <f>IF(AND(Table1_1[[#This Row],[Income]]&gt;50000,Table1_1[[#This Row],[Home Owner]]="Yes"),"High stability","Low stability")</f>
        <v>High stability</v>
      </c>
      <c r="U322" s="3">
        <f>Table1_1[[#This Row],[Income]]/Table1_1[[#This Row],[Family size]]</f>
        <v>100000</v>
      </c>
      <c r="V322" s="6" t="str">
        <f>IF(Table1_1[[#This Row],[Occupation]]="Skilled manual","Blue collar",IF(Table1_1[[#This Row],[Occupation]]="Manual","Blue collar","White collar"))</f>
        <v>White collar</v>
      </c>
    </row>
    <row r="323" spans="1:22" x14ac:dyDescent="0.3">
      <c r="A323" t="s">
        <v>357</v>
      </c>
      <c r="B323" s="6" t="s">
        <v>1044</v>
      </c>
      <c r="C323" s="6" t="s">
        <v>1045</v>
      </c>
      <c r="D323" s="3">
        <v>160000</v>
      </c>
      <c r="E323">
        <v>0</v>
      </c>
      <c r="F323" s="6" t="s">
        <v>31</v>
      </c>
      <c r="G323" s="6" t="s">
        <v>28</v>
      </c>
      <c r="H323" s="6" t="s">
        <v>18</v>
      </c>
      <c r="I323">
        <v>3</v>
      </c>
      <c r="J323" t="s">
        <v>16</v>
      </c>
      <c r="K3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23" s="6" t="s">
        <v>24</v>
      </c>
      <c r="M323" s="7">
        <v>47</v>
      </c>
      <c r="N323" t="s">
        <v>15</v>
      </c>
      <c r="O323" s="9" t="str">
        <f>IF(Table1_1[[#This Row],[Purchased Bike]]="yes","1","0")</f>
        <v>1</v>
      </c>
      <c r="P323" s="4" t="str">
        <f>IF(Table1_1[[#This Row],[Income]]&lt;=30000,"Low ",IF(Table1_1[[#This Row],[Income]]&lt;=70000,"Middle","High"))</f>
        <v>High</v>
      </c>
      <c r="Q323" s="6" t="str">
        <f>IF(Table1_1[[#This Row],[Age]]&lt;30,"Young",IF(Table1_1[[#This Row],[Age]]&lt;50,"Middle aged","Senior citizen"))</f>
        <v>Middle aged</v>
      </c>
      <c r="R323" s="7">
        <f>IF(Table1_1[[#This Row],[Marriedarital SingletatuSingle]]="M",Table1_1[[#This Row],[Children]]+2,Table1_1[[#This Row],[Children]]+1)</f>
        <v>1</v>
      </c>
      <c r="S323" s="4" t="str">
        <f>IF(Table1_1[[#This Row],[Cars]]=0,"No","Yes")</f>
        <v>Yes</v>
      </c>
      <c r="T323" s="6" t="str">
        <f>IF(AND(Table1_1[[#This Row],[Income]]&gt;50000,Table1_1[[#This Row],[Home Owner]]="Yes"),"High stability","Low stability")</f>
        <v>Low stability</v>
      </c>
      <c r="U323" s="3">
        <f>Table1_1[[#This Row],[Income]]/Table1_1[[#This Row],[Family size]]</f>
        <v>160000</v>
      </c>
      <c r="V323" s="6" t="str">
        <f>IF(Table1_1[[#This Row],[Occupation]]="Skilled manual","Blue collar",IF(Table1_1[[#This Row],[Occupation]]="Manual","Blue collar","White collar"))</f>
        <v>White collar</v>
      </c>
    </row>
    <row r="324" spans="1:22" x14ac:dyDescent="0.3">
      <c r="A324" t="s">
        <v>358</v>
      </c>
      <c r="B324" s="6" t="s">
        <v>1044</v>
      </c>
      <c r="C324" s="6" t="s">
        <v>1045</v>
      </c>
      <c r="D324" s="3">
        <v>10000</v>
      </c>
      <c r="E324">
        <v>4</v>
      </c>
      <c r="F324" s="6" t="s">
        <v>29</v>
      </c>
      <c r="G324" s="6" t="s">
        <v>25</v>
      </c>
      <c r="H324" s="6" t="s">
        <v>15</v>
      </c>
      <c r="I324">
        <v>2</v>
      </c>
      <c r="J324" t="s">
        <v>16</v>
      </c>
      <c r="K3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24" s="6" t="s">
        <v>17</v>
      </c>
      <c r="M324" s="7">
        <v>41</v>
      </c>
      <c r="N324" t="s">
        <v>15</v>
      </c>
      <c r="O324" s="9" t="str">
        <f>IF(Table1_1[[#This Row],[Purchased Bike]]="yes","1","0")</f>
        <v>1</v>
      </c>
      <c r="P324" s="4" t="str">
        <f>IF(Table1_1[[#This Row],[Income]]&lt;=30000,"Low ",IF(Table1_1[[#This Row],[Income]]&lt;=70000,"Middle","High"))</f>
        <v xml:space="preserve">Low </v>
      </c>
      <c r="Q324" s="6" t="str">
        <f>IF(Table1_1[[#This Row],[Age]]&lt;30,"Young",IF(Table1_1[[#This Row],[Age]]&lt;50,"Middle aged","Senior citizen"))</f>
        <v>Middle aged</v>
      </c>
      <c r="R324" s="7">
        <f>IF(Table1_1[[#This Row],[Marriedarital SingletatuSingle]]="M",Table1_1[[#This Row],[Children]]+2,Table1_1[[#This Row],[Children]]+1)</f>
        <v>5</v>
      </c>
      <c r="S324" s="4" t="str">
        <f>IF(Table1_1[[#This Row],[Cars]]=0,"No","Yes")</f>
        <v>Yes</v>
      </c>
      <c r="T324" s="6" t="str">
        <f>IF(AND(Table1_1[[#This Row],[Income]]&gt;50000,Table1_1[[#This Row],[Home Owner]]="Yes"),"High stability","Low stability")</f>
        <v>Low stability</v>
      </c>
      <c r="U324" s="3">
        <f>Table1_1[[#This Row],[Income]]/Table1_1[[#This Row],[Family size]]</f>
        <v>2000</v>
      </c>
      <c r="V324" s="6" t="str">
        <f>IF(Table1_1[[#This Row],[Occupation]]="Skilled manual","Blue collar",IF(Table1_1[[#This Row],[Occupation]]="Manual","Blue collar","White collar"))</f>
        <v>Blue collar</v>
      </c>
    </row>
    <row r="325" spans="1:22" x14ac:dyDescent="0.3">
      <c r="A325" t="s">
        <v>359</v>
      </c>
      <c r="B325" s="6" t="s">
        <v>1044</v>
      </c>
      <c r="C325" s="6" t="s">
        <v>1045</v>
      </c>
      <c r="D325" s="3">
        <v>40000</v>
      </c>
      <c r="E325">
        <v>0</v>
      </c>
      <c r="F325" s="6" t="s">
        <v>31</v>
      </c>
      <c r="G325" s="6" t="s">
        <v>20</v>
      </c>
      <c r="H325" s="6" t="s">
        <v>18</v>
      </c>
      <c r="I325">
        <v>0</v>
      </c>
      <c r="J325" t="s">
        <v>16</v>
      </c>
      <c r="K3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25" s="6" t="s">
        <v>17</v>
      </c>
      <c r="M325" s="7">
        <v>37</v>
      </c>
      <c r="N325" t="s">
        <v>15</v>
      </c>
      <c r="O325" s="9" t="str">
        <f>IF(Table1_1[[#This Row],[Purchased Bike]]="yes","1","0")</f>
        <v>1</v>
      </c>
      <c r="P325" s="4" t="str">
        <f>IF(Table1_1[[#This Row],[Income]]&lt;=30000,"Low ",IF(Table1_1[[#This Row],[Income]]&lt;=70000,"Middle","High"))</f>
        <v>Middle</v>
      </c>
      <c r="Q325" s="6" t="str">
        <f>IF(Table1_1[[#This Row],[Age]]&lt;30,"Young",IF(Table1_1[[#This Row],[Age]]&lt;50,"Middle aged","Senior citizen"))</f>
        <v>Middle aged</v>
      </c>
      <c r="R325" s="7">
        <f>IF(Table1_1[[#This Row],[Marriedarital SingletatuSingle]]="M",Table1_1[[#This Row],[Children]]+2,Table1_1[[#This Row],[Children]]+1)</f>
        <v>1</v>
      </c>
      <c r="S325" s="4" t="str">
        <f>IF(Table1_1[[#This Row],[Cars]]=0,"No","Yes")</f>
        <v>No</v>
      </c>
      <c r="T325" s="6" t="str">
        <f>IF(AND(Table1_1[[#This Row],[Income]]&gt;50000,Table1_1[[#This Row],[Home Owner]]="Yes"),"High stability","Low stability")</f>
        <v>Low stability</v>
      </c>
      <c r="U325" s="3">
        <f>Table1_1[[#This Row],[Income]]/Table1_1[[#This Row],[Family size]]</f>
        <v>40000</v>
      </c>
      <c r="V325" s="6" t="str">
        <f>IF(Table1_1[[#This Row],[Occupation]]="Skilled manual","Blue collar",IF(Table1_1[[#This Row],[Occupation]]="Manual","Blue collar","White collar"))</f>
        <v>White collar</v>
      </c>
    </row>
    <row r="326" spans="1:22" x14ac:dyDescent="0.3">
      <c r="A326" t="s">
        <v>360</v>
      </c>
      <c r="B326" s="6" t="s">
        <v>1042</v>
      </c>
      <c r="C326" s="6" t="s">
        <v>1046</v>
      </c>
      <c r="D326" s="3">
        <v>90000</v>
      </c>
      <c r="E326">
        <v>4</v>
      </c>
      <c r="F326" s="6" t="s">
        <v>13</v>
      </c>
      <c r="G326" s="6" t="s">
        <v>21</v>
      </c>
      <c r="H326" s="6" t="s">
        <v>15</v>
      </c>
      <c r="I326">
        <v>0</v>
      </c>
      <c r="J326" t="s">
        <v>26</v>
      </c>
      <c r="K3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26" s="6" t="s">
        <v>24</v>
      </c>
      <c r="M326" s="7">
        <v>38</v>
      </c>
      <c r="N326" t="s">
        <v>15</v>
      </c>
      <c r="O326" s="9" t="str">
        <f>IF(Table1_1[[#This Row],[Purchased Bike]]="yes","1","0")</f>
        <v>1</v>
      </c>
      <c r="P326" s="4" t="str">
        <f>IF(Table1_1[[#This Row],[Income]]&lt;=30000,"Low ",IF(Table1_1[[#This Row],[Income]]&lt;=70000,"Middle","High"))</f>
        <v>High</v>
      </c>
      <c r="Q326" s="6" t="str">
        <f>IF(Table1_1[[#This Row],[Age]]&lt;30,"Young",IF(Table1_1[[#This Row],[Age]]&lt;50,"Middle aged","Senior citizen"))</f>
        <v>Middle aged</v>
      </c>
      <c r="R326" s="7">
        <f>IF(Table1_1[[#This Row],[Marriedarital SingletatuSingle]]="M",Table1_1[[#This Row],[Children]]+2,Table1_1[[#This Row],[Children]]+1)</f>
        <v>5</v>
      </c>
      <c r="S326" s="4" t="str">
        <f>IF(Table1_1[[#This Row],[Cars]]=0,"No","Yes")</f>
        <v>No</v>
      </c>
      <c r="T326" s="6" t="str">
        <f>IF(AND(Table1_1[[#This Row],[Income]]&gt;50000,Table1_1[[#This Row],[Home Owner]]="Yes"),"High stability","Low stability")</f>
        <v>High stability</v>
      </c>
      <c r="U326" s="3">
        <f>Table1_1[[#This Row],[Income]]/Table1_1[[#This Row],[Family size]]</f>
        <v>18000</v>
      </c>
      <c r="V326" s="6" t="str">
        <f>IF(Table1_1[[#This Row],[Occupation]]="Skilled manual","Blue collar",IF(Table1_1[[#This Row],[Occupation]]="Manual","Blue collar","White collar"))</f>
        <v>White collar</v>
      </c>
    </row>
    <row r="327" spans="1:22" x14ac:dyDescent="0.3">
      <c r="A327" t="s">
        <v>361</v>
      </c>
      <c r="B327" s="6" t="s">
        <v>1044</v>
      </c>
      <c r="C327" s="6" t="s">
        <v>1046</v>
      </c>
      <c r="D327" s="3">
        <v>40000</v>
      </c>
      <c r="E327">
        <v>2</v>
      </c>
      <c r="F327" s="6" t="s">
        <v>19</v>
      </c>
      <c r="G327" s="6" t="s">
        <v>20</v>
      </c>
      <c r="H327" s="6" t="s">
        <v>18</v>
      </c>
      <c r="I327">
        <v>2</v>
      </c>
      <c r="J327" t="s">
        <v>16</v>
      </c>
      <c r="K3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27" s="6" t="s">
        <v>17</v>
      </c>
      <c r="M327" s="7">
        <v>36</v>
      </c>
      <c r="N327" t="s">
        <v>15</v>
      </c>
      <c r="O327" s="9" t="str">
        <f>IF(Table1_1[[#This Row],[Purchased Bike]]="yes","1","0")</f>
        <v>1</v>
      </c>
      <c r="P327" s="4" t="str">
        <f>IF(Table1_1[[#This Row],[Income]]&lt;=30000,"Low ",IF(Table1_1[[#This Row],[Income]]&lt;=70000,"Middle","High"))</f>
        <v>Middle</v>
      </c>
      <c r="Q327" s="6" t="str">
        <f>IF(Table1_1[[#This Row],[Age]]&lt;30,"Young",IF(Table1_1[[#This Row],[Age]]&lt;50,"Middle aged","Senior citizen"))</f>
        <v>Middle aged</v>
      </c>
      <c r="R327" s="7">
        <f>IF(Table1_1[[#This Row],[Marriedarital SingletatuSingle]]="M",Table1_1[[#This Row],[Children]]+2,Table1_1[[#This Row],[Children]]+1)</f>
        <v>3</v>
      </c>
      <c r="S327" s="4" t="str">
        <f>IF(Table1_1[[#This Row],[Cars]]=0,"No","Yes")</f>
        <v>Yes</v>
      </c>
      <c r="T327" s="6" t="str">
        <f>IF(AND(Table1_1[[#This Row],[Income]]&gt;50000,Table1_1[[#This Row],[Home Owner]]="Yes"),"High stability","Low stability")</f>
        <v>Low stability</v>
      </c>
      <c r="U327" s="3">
        <f>Table1_1[[#This Row],[Income]]/Table1_1[[#This Row],[Family size]]</f>
        <v>13333.333333333334</v>
      </c>
      <c r="V327" s="6" t="str">
        <f>IF(Table1_1[[#This Row],[Occupation]]="Skilled manual","Blue collar",IF(Table1_1[[#This Row],[Occupation]]="Manual","Blue collar","White collar"))</f>
        <v>White collar</v>
      </c>
    </row>
    <row r="328" spans="1:22" x14ac:dyDescent="0.3">
      <c r="A328" t="s">
        <v>362</v>
      </c>
      <c r="B328" s="6" t="s">
        <v>1042</v>
      </c>
      <c r="C328" s="6" t="s">
        <v>1045</v>
      </c>
      <c r="D328" s="3">
        <v>20000</v>
      </c>
      <c r="E328">
        <v>0</v>
      </c>
      <c r="F328" s="6" t="s">
        <v>13</v>
      </c>
      <c r="G328" s="6" t="s">
        <v>20</v>
      </c>
      <c r="H328" s="6" t="s">
        <v>18</v>
      </c>
      <c r="I328">
        <v>0</v>
      </c>
      <c r="J328" t="s">
        <v>16</v>
      </c>
      <c r="K3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28" s="6" t="s">
        <v>24</v>
      </c>
      <c r="M328" s="7">
        <v>26</v>
      </c>
      <c r="N328" t="s">
        <v>15</v>
      </c>
      <c r="O328" s="9" t="str">
        <f>IF(Table1_1[[#This Row],[Purchased Bike]]="yes","1","0")</f>
        <v>1</v>
      </c>
      <c r="P328" s="4" t="str">
        <f>IF(Table1_1[[#This Row],[Income]]&lt;=30000,"Low ",IF(Table1_1[[#This Row],[Income]]&lt;=70000,"Middle","High"))</f>
        <v xml:space="preserve">Low </v>
      </c>
      <c r="Q328" s="6" t="str">
        <f>IF(Table1_1[[#This Row],[Age]]&lt;30,"Young",IF(Table1_1[[#This Row],[Age]]&lt;50,"Middle aged","Senior citizen"))</f>
        <v>Young</v>
      </c>
      <c r="R328" s="7">
        <f>IF(Table1_1[[#This Row],[Marriedarital SingletatuSingle]]="M",Table1_1[[#This Row],[Children]]+2,Table1_1[[#This Row],[Children]]+1)</f>
        <v>1</v>
      </c>
      <c r="S328" s="4" t="str">
        <f>IF(Table1_1[[#This Row],[Cars]]=0,"No","Yes")</f>
        <v>No</v>
      </c>
      <c r="T328" s="6" t="str">
        <f>IF(AND(Table1_1[[#This Row],[Income]]&gt;50000,Table1_1[[#This Row],[Home Owner]]="Yes"),"High stability","Low stability")</f>
        <v>Low stability</v>
      </c>
      <c r="U328" s="3">
        <f>Table1_1[[#This Row],[Income]]/Table1_1[[#This Row],[Family size]]</f>
        <v>20000</v>
      </c>
      <c r="V328" s="6" t="str">
        <f>IF(Table1_1[[#This Row],[Occupation]]="Skilled manual","Blue collar",IF(Table1_1[[#This Row],[Occupation]]="Manual","Blue collar","White collar"))</f>
        <v>White collar</v>
      </c>
    </row>
    <row r="329" spans="1:22" x14ac:dyDescent="0.3">
      <c r="A329" t="s">
        <v>363</v>
      </c>
      <c r="B329" s="6" t="s">
        <v>1042</v>
      </c>
      <c r="C329" s="6" t="s">
        <v>1046</v>
      </c>
      <c r="D329" s="3">
        <v>30000</v>
      </c>
      <c r="E329">
        <v>1</v>
      </c>
      <c r="F329" s="6" t="s">
        <v>13</v>
      </c>
      <c r="G329" s="6" t="s">
        <v>14</v>
      </c>
      <c r="H329" s="6" t="s">
        <v>15</v>
      </c>
      <c r="I329">
        <v>2</v>
      </c>
      <c r="J329" t="s">
        <v>16</v>
      </c>
      <c r="K3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29" s="6" t="s">
        <v>17</v>
      </c>
      <c r="M329" s="7">
        <v>40</v>
      </c>
      <c r="N329" t="s">
        <v>18</v>
      </c>
      <c r="O329" s="9" t="str">
        <f>IF(Table1_1[[#This Row],[Purchased Bike]]="yes","1","0")</f>
        <v>0</v>
      </c>
      <c r="P329" s="4" t="str">
        <f>IF(Table1_1[[#This Row],[Income]]&lt;=30000,"Low ",IF(Table1_1[[#This Row],[Income]]&lt;=70000,"Middle","High"))</f>
        <v xml:space="preserve">Low </v>
      </c>
      <c r="Q329" s="6" t="str">
        <f>IF(Table1_1[[#This Row],[Age]]&lt;30,"Young",IF(Table1_1[[#This Row],[Age]]&lt;50,"Middle aged","Senior citizen"))</f>
        <v>Middle aged</v>
      </c>
      <c r="R329" s="7">
        <f>IF(Table1_1[[#This Row],[Marriedarital SingletatuSingle]]="M",Table1_1[[#This Row],[Children]]+2,Table1_1[[#This Row],[Children]]+1)</f>
        <v>2</v>
      </c>
      <c r="S329" s="4" t="str">
        <f>IF(Table1_1[[#This Row],[Cars]]=0,"No","Yes")</f>
        <v>Yes</v>
      </c>
      <c r="T329" s="6" t="str">
        <f>IF(AND(Table1_1[[#This Row],[Income]]&gt;50000,Table1_1[[#This Row],[Home Owner]]="Yes"),"High stability","Low stability")</f>
        <v>Low stability</v>
      </c>
      <c r="U329" s="3">
        <f>Table1_1[[#This Row],[Income]]/Table1_1[[#This Row],[Family size]]</f>
        <v>15000</v>
      </c>
      <c r="V329" s="6" t="str">
        <f>IF(Table1_1[[#This Row],[Occupation]]="Skilled manual","Blue collar",IF(Table1_1[[#This Row],[Occupation]]="Manual","Blue collar","White collar"))</f>
        <v>Blue collar</v>
      </c>
    </row>
    <row r="330" spans="1:22" x14ac:dyDescent="0.3">
      <c r="A330" t="s">
        <v>364</v>
      </c>
      <c r="B330" s="6" t="s">
        <v>1044</v>
      </c>
      <c r="C330" s="6" t="s">
        <v>1046</v>
      </c>
      <c r="D330" s="3">
        <v>40000</v>
      </c>
      <c r="E330">
        <v>2</v>
      </c>
      <c r="F330" s="6" t="s">
        <v>19</v>
      </c>
      <c r="G330" s="6" t="s">
        <v>20</v>
      </c>
      <c r="H330" s="6" t="s">
        <v>15</v>
      </c>
      <c r="I330">
        <v>2</v>
      </c>
      <c r="J330" t="s">
        <v>26</v>
      </c>
      <c r="K3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30" s="6" t="s">
        <v>17</v>
      </c>
      <c r="M330" s="7">
        <v>36</v>
      </c>
      <c r="N330" t="s">
        <v>18</v>
      </c>
      <c r="O330" s="9" t="str">
        <f>IF(Table1_1[[#This Row],[Purchased Bike]]="yes","1","0")</f>
        <v>0</v>
      </c>
      <c r="P330" s="4" t="str">
        <f>IF(Table1_1[[#This Row],[Income]]&lt;=30000,"Low ",IF(Table1_1[[#This Row],[Income]]&lt;=70000,"Middle","High"))</f>
        <v>Middle</v>
      </c>
      <c r="Q330" s="6" t="str">
        <f>IF(Table1_1[[#This Row],[Age]]&lt;30,"Young",IF(Table1_1[[#This Row],[Age]]&lt;50,"Middle aged","Senior citizen"))</f>
        <v>Middle aged</v>
      </c>
      <c r="R330" s="7">
        <f>IF(Table1_1[[#This Row],[Marriedarital SingletatuSingle]]="M",Table1_1[[#This Row],[Children]]+2,Table1_1[[#This Row],[Children]]+1)</f>
        <v>3</v>
      </c>
      <c r="S330" s="4" t="str">
        <f>IF(Table1_1[[#This Row],[Cars]]=0,"No","Yes")</f>
        <v>Yes</v>
      </c>
      <c r="T330" s="6" t="str">
        <f>IF(AND(Table1_1[[#This Row],[Income]]&gt;50000,Table1_1[[#This Row],[Home Owner]]="Yes"),"High stability","Low stability")</f>
        <v>Low stability</v>
      </c>
      <c r="U330" s="3">
        <f>Table1_1[[#This Row],[Income]]/Table1_1[[#This Row],[Family size]]</f>
        <v>13333.333333333334</v>
      </c>
      <c r="V330" s="6" t="str">
        <f>IF(Table1_1[[#This Row],[Occupation]]="Skilled manual","Blue collar",IF(Table1_1[[#This Row],[Occupation]]="Manual","Blue collar","White collar"))</f>
        <v>White collar</v>
      </c>
    </row>
    <row r="331" spans="1:22" x14ac:dyDescent="0.3">
      <c r="A331" t="s">
        <v>365</v>
      </c>
      <c r="B331" s="6" t="s">
        <v>1042</v>
      </c>
      <c r="C331" s="6" t="s">
        <v>1045</v>
      </c>
      <c r="D331" s="3">
        <v>90000</v>
      </c>
      <c r="E331">
        <v>5</v>
      </c>
      <c r="F331" s="6" t="s">
        <v>29</v>
      </c>
      <c r="G331" s="6" t="s">
        <v>14</v>
      </c>
      <c r="H331" s="6" t="s">
        <v>15</v>
      </c>
      <c r="I331">
        <v>2</v>
      </c>
      <c r="J331" t="s">
        <v>30</v>
      </c>
      <c r="K3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331" s="6" t="s">
        <v>17</v>
      </c>
      <c r="M331" s="7">
        <v>59</v>
      </c>
      <c r="N331" t="s">
        <v>18</v>
      </c>
      <c r="O331" s="9" t="str">
        <f>IF(Table1_1[[#This Row],[Purchased Bike]]="yes","1","0")</f>
        <v>0</v>
      </c>
      <c r="P331" s="4" t="str">
        <f>IF(Table1_1[[#This Row],[Income]]&lt;=30000,"Low ",IF(Table1_1[[#This Row],[Income]]&lt;=70000,"Middle","High"))</f>
        <v>High</v>
      </c>
      <c r="Q331" s="6" t="str">
        <f>IF(Table1_1[[#This Row],[Age]]&lt;30,"Young",IF(Table1_1[[#This Row],[Age]]&lt;50,"Middle aged","Senior citizen"))</f>
        <v>Senior citizen</v>
      </c>
      <c r="R331" s="7">
        <f>IF(Table1_1[[#This Row],[Marriedarital SingletatuSingle]]="M",Table1_1[[#This Row],[Children]]+2,Table1_1[[#This Row],[Children]]+1)</f>
        <v>6</v>
      </c>
      <c r="S331" s="4" t="str">
        <f>IF(Table1_1[[#This Row],[Cars]]=0,"No","Yes")</f>
        <v>Yes</v>
      </c>
      <c r="T331" s="6" t="str">
        <f>IF(AND(Table1_1[[#This Row],[Income]]&gt;50000,Table1_1[[#This Row],[Home Owner]]="Yes"),"High stability","Low stability")</f>
        <v>High stability</v>
      </c>
      <c r="U331" s="3">
        <f>Table1_1[[#This Row],[Income]]/Table1_1[[#This Row],[Family size]]</f>
        <v>15000</v>
      </c>
      <c r="V331" s="6" t="str">
        <f>IF(Table1_1[[#This Row],[Occupation]]="Skilled manual","Blue collar",IF(Table1_1[[#This Row],[Occupation]]="Manual","Blue collar","White collar"))</f>
        <v>Blue collar</v>
      </c>
    </row>
    <row r="332" spans="1:22" x14ac:dyDescent="0.3">
      <c r="A332" t="s">
        <v>366</v>
      </c>
      <c r="B332" s="6" t="s">
        <v>1044</v>
      </c>
      <c r="C332" s="6" t="s">
        <v>1045</v>
      </c>
      <c r="D332" s="3">
        <v>80000</v>
      </c>
      <c r="E332">
        <v>0</v>
      </c>
      <c r="F332" s="6" t="s">
        <v>13</v>
      </c>
      <c r="G332" s="6" t="s">
        <v>21</v>
      </c>
      <c r="H332" s="6" t="s">
        <v>15</v>
      </c>
      <c r="I332">
        <v>3</v>
      </c>
      <c r="J332" t="s">
        <v>30</v>
      </c>
      <c r="K3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332" s="6" t="s">
        <v>24</v>
      </c>
      <c r="M332" s="7">
        <v>32</v>
      </c>
      <c r="N332" t="s">
        <v>18</v>
      </c>
      <c r="O332" s="9" t="str">
        <f>IF(Table1_1[[#This Row],[Purchased Bike]]="yes","1","0")</f>
        <v>0</v>
      </c>
      <c r="P332" s="4" t="str">
        <f>IF(Table1_1[[#This Row],[Income]]&lt;=30000,"Low ",IF(Table1_1[[#This Row],[Income]]&lt;=70000,"Middle","High"))</f>
        <v>High</v>
      </c>
      <c r="Q332" s="6" t="str">
        <f>IF(Table1_1[[#This Row],[Age]]&lt;30,"Young",IF(Table1_1[[#This Row],[Age]]&lt;50,"Middle aged","Senior citizen"))</f>
        <v>Middle aged</v>
      </c>
      <c r="R332" s="7">
        <f>IF(Table1_1[[#This Row],[Marriedarital SingletatuSingle]]="M",Table1_1[[#This Row],[Children]]+2,Table1_1[[#This Row],[Children]]+1)</f>
        <v>1</v>
      </c>
      <c r="S332" s="4" t="str">
        <f>IF(Table1_1[[#This Row],[Cars]]=0,"No","Yes")</f>
        <v>Yes</v>
      </c>
      <c r="T332" s="6" t="str">
        <f>IF(AND(Table1_1[[#This Row],[Income]]&gt;50000,Table1_1[[#This Row],[Home Owner]]="Yes"),"High stability","Low stability")</f>
        <v>High stability</v>
      </c>
      <c r="U332" s="3">
        <f>Table1_1[[#This Row],[Income]]/Table1_1[[#This Row],[Family size]]</f>
        <v>80000</v>
      </c>
      <c r="V332" s="6" t="str">
        <f>IF(Table1_1[[#This Row],[Occupation]]="Skilled manual","Blue collar",IF(Table1_1[[#This Row],[Occupation]]="Manual","Blue collar","White collar"))</f>
        <v>White collar</v>
      </c>
    </row>
    <row r="333" spans="1:22" x14ac:dyDescent="0.3">
      <c r="A333" t="s">
        <v>367</v>
      </c>
      <c r="B333" s="6" t="s">
        <v>1042</v>
      </c>
      <c r="C333" s="6" t="s">
        <v>1046</v>
      </c>
      <c r="D333" s="3">
        <v>10000</v>
      </c>
      <c r="E333">
        <v>0</v>
      </c>
      <c r="F333" s="6" t="s">
        <v>29</v>
      </c>
      <c r="G333" s="6" t="s">
        <v>25</v>
      </c>
      <c r="H333" s="6" t="s">
        <v>18</v>
      </c>
      <c r="I333">
        <v>2</v>
      </c>
      <c r="J333" t="s">
        <v>16</v>
      </c>
      <c r="K3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33" s="6" t="s">
        <v>17</v>
      </c>
      <c r="M333" s="7">
        <v>30</v>
      </c>
      <c r="N333" t="s">
        <v>18</v>
      </c>
      <c r="O333" s="9" t="str">
        <f>IF(Table1_1[[#This Row],[Purchased Bike]]="yes","1","0")</f>
        <v>0</v>
      </c>
      <c r="P333" s="4" t="str">
        <f>IF(Table1_1[[#This Row],[Income]]&lt;=30000,"Low ",IF(Table1_1[[#This Row],[Income]]&lt;=70000,"Middle","High"))</f>
        <v xml:space="preserve">Low </v>
      </c>
      <c r="Q333" s="6" t="str">
        <f>IF(Table1_1[[#This Row],[Age]]&lt;30,"Young",IF(Table1_1[[#This Row],[Age]]&lt;50,"Middle aged","Senior citizen"))</f>
        <v>Middle aged</v>
      </c>
      <c r="R333" s="7">
        <f>IF(Table1_1[[#This Row],[Marriedarital SingletatuSingle]]="M",Table1_1[[#This Row],[Children]]+2,Table1_1[[#This Row],[Children]]+1)</f>
        <v>1</v>
      </c>
      <c r="S333" s="4" t="str">
        <f>IF(Table1_1[[#This Row],[Cars]]=0,"No","Yes")</f>
        <v>Yes</v>
      </c>
      <c r="T333" s="6" t="str">
        <f>IF(AND(Table1_1[[#This Row],[Income]]&gt;50000,Table1_1[[#This Row],[Home Owner]]="Yes"),"High stability","Low stability")</f>
        <v>Low stability</v>
      </c>
      <c r="U333" s="3">
        <f>Table1_1[[#This Row],[Income]]/Table1_1[[#This Row],[Family size]]</f>
        <v>10000</v>
      </c>
      <c r="V333" s="6" t="str">
        <f>IF(Table1_1[[#This Row],[Occupation]]="Skilled manual","Blue collar",IF(Table1_1[[#This Row],[Occupation]]="Manual","Blue collar","White collar"))</f>
        <v>Blue collar</v>
      </c>
    </row>
    <row r="334" spans="1:22" x14ac:dyDescent="0.3">
      <c r="A334" t="s">
        <v>368</v>
      </c>
      <c r="B334" s="6" t="s">
        <v>1044</v>
      </c>
      <c r="C334" s="6" t="s">
        <v>1045</v>
      </c>
      <c r="D334" s="3">
        <v>20000</v>
      </c>
      <c r="E334">
        <v>0</v>
      </c>
      <c r="F334" s="6" t="s">
        <v>29</v>
      </c>
      <c r="G334" s="6" t="s">
        <v>25</v>
      </c>
      <c r="H334" s="6" t="s">
        <v>18</v>
      </c>
      <c r="I334">
        <v>2</v>
      </c>
      <c r="J334" t="s">
        <v>26</v>
      </c>
      <c r="K3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34" s="6" t="s">
        <v>17</v>
      </c>
      <c r="M334" s="7">
        <v>35</v>
      </c>
      <c r="N334" t="s">
        <v>15</v>
      </c>
      <c r="O334" s="9" t="str">
        <f>IF(Table1_1[[#This Row],[Purchased Bike]]="yes","1","0")</f>
        <v>1</v>
      </c>
      <c r="P334" s="4" t="str">
        <f>IF(Table1_1[[#This Row],[Income]]&lt;=30000,"Low ",IF(Table1_1[[#This Row],[Income]]&lt;=70000,"Middle","High"))</f>
        <v xml:space="preserve">Low </v>
      </c>
      <c r="Q334" s="6" t="str">
        <f>IF(Table1_1[[#This Row],[Age]]&lt;30,"Young",IF(Table1_1[[#This Row],[Age]]&lt;50,"Middle aged","Senior citizen"))</f>
        <v>Middle aged</v>
      </c>
      <c r="R334" s="7">
        <f>IF(Table1_1[[#This Row],[Marriedarital SingletatuSingle]]="M",Table1_1[[#This Row],[Children]]+2,Table1_1[[#This Row],[Children]]+1)</f>
        <v>1</v>
      </c>
      <c r="S334" s="4" t="str">
        <f>IF(Table1_1[[#This Row],[Cars]]=0,"No","Yes")</f>
        <v>Yes</v>
      </c>
      <c r="T334" s="6" t="str">
        <f>IF(AND(Table1_1[[#This Row],[Income]]&gt;50000,Table1_1[[#This Row],[Home Owner]]="Yes"),"High stability","Low stability")</f>
        <v>Low stability</v>
      </c>
      <c r="U334" s="3">
        <f>Table1_1[[#This Row],[Income]]/Table1_1[[#This Row],[Family size]]</f>
        <v>20000</v>
      </c>
      <c r="V334" s="6" t="str">
        <f>IF(Table1_1[[#This Row],[Occupation]]="Skilled manual","Blue collar",IF(Table1_1[[#This Row],[Occupation]]="Manual","Blue collar","White collar"))</f>
        <v>Blue collar</v>
      </c>
    </row>
    <row r="335" spans="1:22" x14ac:dyDescent="0.3">
      <c r="A335" t="s">
        <v>369</v>
      </c>
      <c r="B335" s="6" t="s">
        <v>1042</v>
      </c>
      <c r="C335" s="6" t="s">
        <v>1046</v>
      </c>
      <c r="D335" s="3">
        <v>130000</v>
      </c>
      <c r="E335">
        <v>3</v>
      </c>
      <c r="F335" s="6" t="s">
        <v>27</v>
      </c>
      <c r="G335" s="6" t="s">
        <v>21</v>
      </c>
      <c r="H335" s="6" t="s">
        <v>15</v>
      </c>
      <c r="I335">
        <v>4</v>
      </c>
      <c r="J335" t="s">
        <v>23</v>
      </c>
      <c r="K3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35" s="6" t="s">
        <v>17</v>
      </c>
      <c r="M335" s="7">
        <v>51</v>
      </c>
      <c r="N335" t="s">
        <v>15</v>
      </c>
      <c r="O335" s="9" t="str">
        <f>IF(Table1_1[[#This Row],[Purchased Bike]]="yes","1","0")</f>
        <v>1</v>
      </c>
      <c r="P335" s="4" t="str">
        <f>IF(Table1_1[[#This Row],[Income]]&lt;=30000,"Low ",IF(Table1_1[[#This Row],[Income]]&lt;=70000,"Middle","High"))</f>
        <v>High</v>
      </c>
      <c r="Q335" s="6" t="str">
        <f>IF(Table1_1[[#This Row],[Age]]&lt;30,"Young",IF(Table1_1[[#This Row],[Age]]&lt;50,"Middle aged","Senior citizen"))</f>
        <v>Senior citizen</v>
      </c>
      <c r="R335" s="7">
        <f>IF(Table1_1[[#This Row],[Marriedarital SingletatuSingle]]="M",Table1_1[[#This Row],[Children]]+2,Table1_1[[#This Row],[Children]]+1)</f>
        <v>4</v>
      </c>
      <c r="S335" s="4" t="str">
        <f>IF(Table1_1[[#This Row],[Cars]]=0,"No","Yes")</f>
        <v>Yes</v>
      </c>
      <c r="T335" s="6" t="str">
        <f>IF(AND(Table1_1[[#This Row],[Income]]&gt;50000,Table1_1[[#This Row],[Home Owner]]="Yes"),"High stability","Low stability")</f>
        <v>High stability</v>
      </c>
      <c r="U335" s="3">
        <f>Table1_1[[#This Row],[Income]]/Table1_1[[#This Row],[Family size]]</f>
        <v>32500</v>
      </c>
      <c r="V335" s="6" t="str">
        <f>IF(Table1_1[[#This Row],[Occupation]]="Skilled manual","Blue collar",IF(Table1_1[[#This Row],[Occupation]]="Manual","Blue collar","White collar"))</f>
        <v>White collar</v>
      </c>
    </row>
    <row r="336" spans="1:22" x14ac:dyDescent="0.3">
      <c r="A336" t="s">
        <v>370</v>
      </c>
      <c r="B336" s="6" t="s">
        <v>1042</v>
      </c>
      <c r="C336" s="6" t="s">
        <v>1046</v>
      </c>
      <c r="D336" s="3">
        <v>90000</v>
      </c>
      <c r="E336">
        <v>2</v>
      </c>
      <c r="F336" s="6" t="s">
        <v>13</v>
      </c>
      <c r="G336" s="6" t="s">
        <v>21</v>
      </c>
      <c r="H336" s="6" t="s">
        <v>15</v>
      </c>
      <c r="I336">
        <v>1</v>
      </c>
      <c r="J336" t="s">
        <v>23</v>
      </c>
      <c r="K3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36" s="6" t="s">
        <v>24</v>
      </c>
      <c r="M336" s="7">
        <v>47</v>
      </c>
      <c r="N336" t="s">
        <v>18</v>
      </c>
      <c r="O336" s="9" t="str">
        <f>IF(Table1_1[[#This Row],[Purchased Bike]]="yes","1","0")</f>
        <v>0</v>
      </c>
      <c r="P336" s="4" t="str">
        <f>IF(Table1_1[[#This Row],[Income]]&lt;=30000,"Low ",IF(Table1_1[[#This Row],[Income]]&lt;=70000,"Middle","High"))</f>
        <v>High</v>
      </c>
      <c r="Q336" s="6" t="str">
        <f>IF(Table1_1[[#This Row],[Age]]&lt;30,"Young",IF(Table1_1[[#This Row],[Age]]&lt;50,"Middle aged","Senior citizen"))</f>
        <v>Middle aged</v>
      </c>
      <c r="R336" s="7">
        <f>IF(Table1_1[[#This Row],[Marriedarital SingletatuSingle]]="M",Table1_1[[#This Row],[Children]]+2,Table1_1[[#This Row],[Children]]+1)</f>
        <v>3</v>
      </c>
      <c r="S336" s="4" t="str">
        <f>IF(Table1_1[[#This Row],[Cars]]=0,"No","Yes")</f>
        <v>Yes</v>
      </c>
      <c r="T336" s="6" t="str">
        <f>IF(AND(Table1_1[[#This Row],[Income]]&gt;50000,Table1_1[[#This Row],[Home Owner]]="Yes"),"High stability","Low stability")</f>
        <v>High stability</v>
      </c>
      <c r="U336" s="3">
        <f>Table1_1[[#This Row],[Income]]/Table1_1[[#This Row],[Family size]]</f>
        <v>30000</v>
      </c>
      <c r="V336" s="6" t="str">
        <f>IF(Table1_1[[#This Row],[Occupation]]="Skilled manual","Blue collar",IF(Table1_1[[#This Row],[Occupation]]="Manual","Blue collar","White collar"))</f>
        <v>White collar</v>
      </c>
    </row>
    <row r="337" spans="1:22" x14ac:dyDescent="0.3">
      <c r="A337" t="s">
        <v>371</v>
      </c>
      <c r="B337" s="6" t="s">
        <v>1042</v>
      </c>
      <c r="C337" s="6" t="s">
        <v>1046</v>
      </c>
      <c r="D337" s="3">
        <v>80000</v>
      </c>
      <c r="E337">
        <v>5</v>
      </c>
      <c r="F337" s="6" t="s">
        <v>31</v>
      </c>
      <c r="G337" s="6" t="s">
        <v>28</v>
      </c>
      <c r="H337" s="6" t="s">
        <v>18</v>
      </c>
      <c r="I337">
        <v>2</v>
      </c>
      <c r="J337" t="s">
        <v>16</v>
      </c>
      <c r="K3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37" s="6" t="s">
        <v>24</v>
      </c>
      <c r="M337" s="7">
        <v>39</v>
      </c>
      <c r="N337" t="s">
        <v>18</v>
      </c>
      <c r="O337" s="9" t="str">
        <f>IF(Table1_1[[#This Row],[Purchased Bike]]="yes","1","0")</f>
        <v>0</v>
      </c>
      <c r="P337" s="4" t="str">
        <f>IF(Table1_1[[#This Row],[Income]]&lt;=30000,"Low ",IF(Table1_1[[#This Row],[Income]]&lt;=70000,"Middle","High"))</f>
        <v>High</v>
      </c>
      <c r="Q337" s="6" t="str">
        <f>IF(Table1_1[[#This Row],[Age]]&lt;30,"Young",IF(Table1_1[[#This Row],[Age]]&lt;50,"Middle aged","Senior citizen"))</f>
        <v>Middle aged</v>
      </c>
      <c r="R337" s="7">
        <f>IF(Table1_1[[#This Row],[Marriedarital SingletatuSingle]]="M",Table1_1[[#This Row],[Children]]+2,Table1_1[[#This Row],[Children]]+1)</f>
        <v>6</v>
      </c>
      <c r="S337" s="4" t="str">
        <f>IF(Table1_1[[#This Row],[Cars]]=0,"No","Yes")</f>
        <v>Yes</v>
      </c>
      <c r="T337" s="6" t="str">
        <f>IF(AND(Table1_1[[#This Row],[Income]]&gt;50000,Table1_1[[#This Row],[Home Owner]]="Yes"),"High stability","Low stability")</f>
        <v>Low stability</v>
      </c>
      <c r="U337" s="3">
        <f>Table1_1[[#This Row],[Income]]/Table1_1[[#This Row],[Family size]]</f>
        <v>13333.333333333334</v>
      </c>
      <c r="V337" s="6" t="str">
        <f>IF(Table1_1[[#This Row],[Occupation]]="Skilled manual","Blue collar",IF(Table1_1[[#This Row],[Occupation]]="Manual","Blue collar","White collar"))</f>
        <v>White collar</v>
      </c>
    </row>
    <row r="338" spans="1:22" x14ac:dyDescent="0.3">
      <c r="A338" t="s">
        <v>372</v>
      </c>
      <c r="B338" s="6" t="s">
        <v>1044</v>
      </c>
      <c r="C338" s="6" t="s">
        <v>1046</v>
      </c>
      <c r="D338" s="3">
        <v>20000</v>
      </c>
      <c r="E338">
        <v>0</v>
      </c>
      <c r="F338" s="6" t="s">
        <v>29</v>
      </c>
      <c r="G338" s="6" t="s">
        <v>25</v>
      </c>
      <c r="H338" s="6" t="s">
        <v>18</v>
      </c>
      <c r="I338">
        <v>2</v>
      </c>
      <c r="J338" t="s">
        <v>16</v>
      </c>
      <c r="K3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38" s="6" t="s">
        <v>17</v>
      </c>
      <c r="M338" s="7">
        <v>34</v>
      </c>
      <c r="N338" t="s">
        <v>18</v>
      </c>
      <c r="O338" s="9" t="str">
        <f>IF(Table1_1[[#This Row],[Purchased Bike]]="yes","1","0")</f>
        <v>0</v>
      </c>
      <c r="P338" s="4" t="str">
        <f>IF(Table1_1[[#This Row],[Income]]&lt;=30000,"Low ",IF(Table1_1[[#This Row],[Income]]&lt;=70000,"Middle","High"))</f>
        <v xml:space="preserve">Low </v>
      </c>
      <c r="Q338" s="6" t="str">
        <f>IF(Table1_1[[#This Row],[Age]]&lt;30,"Young",IF(Table1_1[[#This Row],[Age]]&lt;50,"Middle aged","Senior citizen"))</f>
        <v>Middle aged</v>
      </c>
      <c r="R338" s="7">
        <f>IF(Table1_1[[#This Row],[Marriedarital SingletatuSingle]]="M",Table1_1[[#This Row],[Children]]+2,Table1_1[[#This Row],[Children]]+1)</f>
        <v>1</v>
      </c>
      <c r="S338" s="4" t="str">
        <f>IF(Table1_1[[#This Row],[Cars]]=0,"No","Yes")</f>
        <v>Yes</v>
      </c>
      <c r="T338" s="6" t="str">
        <f>IF(AND(Table1_1[[#This Row],[Income]]&gt;50000,Table1_1[[#This Row],[Home Owner]]="Yes"),"High stability","Low stability")</f>
        <v>Low stability</v>
      </c>
      <c r="U338" s="3">
        <f>Table1_1[[#This Row],[Income]]/Table1_1[[#This Row],[Family size]]</f>
        <v>20000</v>
      </c>
      <c r="V338" s="6" t="str">
        <f>IF(Table1_1[[#This Row],[Occupation]]="Skilled manual","Blue collar",IF(Table1_1[[#This Row],[Occupation]]="Manual","Blue collar","White collar"))</f>
        <v>Blue collar</v>
      </c>
    </row>
    <row r="339" spans="1:22" x14ac:dyDescent="0.3">
      <c r="A339" t="s">
        <v>373</v>
      </c>
      <c r="B339" s="6" t="s">
        <v>1042</v>
      </c>
      <c r="C339" s="6" t="s">
        <v>1046</v>
      </c>
      <c r="D339" s="3">
        <v>10000</v>
      </c>
      <c r="E339">
        <v>0</v>
      </c>
      <c r="F339" s="6" t="s">
        <v>29</v>
      </c>
      <c r="G339" s="6" t="s">
        <v>25</v>
      </c>
      <c r="H339" s="6" t="s">
        <v>15</v>
      </c>
      <c r="I339">
        <v>2</v>
      </c>
      <c r="J339" t="s">
        <v>16</v>
      </c>
      <c r="K3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39" s="6" t="s">
        <v>17</v>
      </c>
      <c r="M339" s="7">
        <v>32</v>
      </c>
      <c r="N339" t="s">
        <v>18</v>
      </c>
      <c r="O339" s="9" t="str">
        <f>IF(Table1_1[[#This Row],[Purchased Bike]]="yes","1","0")</f>
        <v>0</v>
      </c>
      <c r="P339" s="4" t="str">
        <f>IF(Table1_1[[#This Row],[Income]]&lt;=30000,"Low ",IF(Table1_1[[#This Row],[Income]]&lt;=70000,"Middle","High"))</f>
        <v xml:space="preserve">Low </v>
      </c>
      <c r="Q339" s="6" t="str">
        <f>IF(Table1_1[[#This Row],[Age]]&lt;30,"Young",IF(Table1_1[[#This Row],[Age]]&lt;50,"Middle aged","Senior citizen"))</f>
        <v>Middle aged</v>
      </c>
      <c r="R339" s="7">
        <f>IF(Table1_1[[#This Row],[Marriedarital SingletatuSingle]]="M",Table1_1[[#This Row],[Children]]+2,Table1_1[[#This Row],[Children]]+1)</f>
        <v>1</v>
      </c>
      <c r="S339" s="4" t="str">
        <f>IF(Table1_1[[#This Row],[Cars]]=0,"No","Yes")</f>
        <v>Yes</v>
      </c>
      <c r="T339" s="6" t="str">
        <f>IF(AND(Table1_1[[#This Row],[Income]]&gt;50000,Table1_1[[#This Row],[Home Owner]]="Yes"),"High stability","Low stability")</f>
        <v>Low stability</v>
      </c>
      <c r="U339" s="3">
        <f>Table1_1[[#This Row],[Income]]/Table1_1[[#This Row],[Family size]]</f>
        <v>10000</v>
      </c>
      <c r="V339" s="6" t="str">
        <f>IF(Table1_1[[#This Row],[Occupation]]="Skilled manual","Blue collar",IF(Table1_1[[#This Row],[Occupation]]="Manual","Blue collar","White collar"))</f>
        <v>Blue collar</v>
      </c>
    </row>
    <row r="340" spans="1:22" x14ac:dyDescent="0.3">
      <c r="A340" t="s">
        <v>374</v>
      </c>
      <c r="B340" s="6" t="s">
        <v>1044</v>
      </c>
      <c r="C340" s="6" t="s">
        <v>1045</v>
      </c>
      <c r="D340" s="3">
        <v>120000</v>
      </c>
      <c r="E340">
        <v>3</v>
      </c>
      <c r="F340" s="6" t="s">
        <v>27</v>
      </c>
      <c r="G340" s="6" t="s">
        <v>21</v>
      </c>
      <c r="H340" s="6" t="s">
        <v>15</v>
      </c>
      <c r="I340">
        <v>4</v>
      </c>
      <c r="J340" t="s">
        <v>23</v>
      </c>
      <c r="K3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40" s="6" t="s">
        <v>17</v>
      </c>
      <c r="M340" s="7">
        <v>50</v>
      </c>
      <c r="N340" t="s">
        <v>15</v>
      </c>
      <c r="O340" s="9" t="str">
        <f>IF(Table1_1[[#This Row],[Purchased Bike]]="yes","1","0")</f>
        <v>1</v>
      </c>
      <c r="P340" s="4" t="str">
        <f>IF(Table1_1[[#This Row],[Income]]&lt;=30000,"Low ",IF(Table1_1[[#This Row],[Income]]&lt;=70000,"Middle","High"))</f>
        <v>High</v>
      </c>
      <c r="Q340" s="6" t="str">
        <f>IF(Table1_1[[#This Row],[Age]]&lt;30,"Young",IF(Table1_1[[#This Row],[Age]]&lt;50,"Middle aged","Senior citizen"))</f>
        <v>Senior citizen</v>
      </c>
      <c r="R340" s="7">
        <f>IF(Table1_1[[#This Row],[Marriedarital SingletatuSingle]]="M",Table1_1[[#This Row],[Children]]+2,Table1_1[[#This Row],[Children]]+1)</f>
        <v>4</v>
      </c>
      <c r="S340" s="4" t="str">
        <f>IF(Table1_1[[#This Row],[Cars]]=0,"No","Yes")</f>
        <v>Yes</v>
      </c>
      <c r="T340" s="6" t="str">
        <f>IF(AND(Table1_1[[#This Row],[Income]]&gt;50000,Table1_1[[#This Row],[Home Owner]]="Yes"),"High stability","Low stability")</f>
        <v>High stability</v>
      </c>
      <c r="U340" s="3">
        <f>Table1_1[[#This Row],[Income]]/Table1_1[[#This Row],[Family size]]</f>
        <v>30000</v>
      </c>
      <c r="V340" s="6" t="str">
        <f>IF(Table1_1[[#This Row],[Occupation]]="Skilled manual","Blue collar",IF(Table1_1[[#This Row],[Occupation]]="Manual","Blue collar","White collar"))</f>
        <v>White collar</v>
      </c>
    </row>
    <row r="341" spans="1:22" x14ac:dyDescent="0.3">
      <c r="A341" t="s">
        <v>375</v>
      </c>
      <c r="B341" s="6" t="s">
        <v>1042</v>
      </c>
      <c r="C341" s="6" t="s">
        <v>1046</v>
      </c>
      <c r="D341" s="3">
        <v>20000</v>
      </c>
      <c r="E341">
        <v>1</v>
      </c>
      <c r="F341" s="6" t="s">
        <v>13</v>
      </c>
      <c r="G341" s="6" t="s">
        <v>20</v>
      </c>
      <c r="H341" s="6" t="s">
        <v>15</v>
      </c>
      <c r="I341">
        <v>0</v>
      </c>
      <c r="J341" t="s">
        <v>16</v>
      </c>
      <c r="K3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41" s="6" t="s">
        <v>17</v>
      </c>
      <c r="M341" s="7">
        <v>66</v>
      </c>
      <c r="N341" t="s">
        <v>18</v>
      </c>
      <c r="O341" s="9" t="str">
        <f>IF(Table1_1[[#This Row],[Purchased Bike]]="yes","1","0")</f>
        <v>0</v>
      </c>
      <c r="P341" s="4" t="str">
        <f>IF(Table1_1[[#This Row],[Income]]&lt;=30000,"Low ",IF(Table1_1[[#This Row],[Income]]&lt;=70000,"Middle","High"))</f>
        <v xml:space="preserve">Low </v>
      </c>
      <c r="Q341" s="6" t="str">
        <f>IF(Table1_1[[#This Row],[Age]]&lt;30,"Young",IF(Table1_1[[#This Row],[Age]]&lt;50,"Middle aged","Senior citizen"))</f>
        <v>Senior citizen</v>
      </c>
      <c r="R341" s="7">
        <f>IF(Table1_1[[#This Row],[Marriedarital SingletatuSingle]]="M",Table1_1[[#This Row],[Children]]+2,Table1_1[[#This Row],[Children]]+1)</f>
        <v>2</v>
      </c>
      <c r="S341" s="4" t="str">
        <f>IF(Table1_1[[#This Row],[Cars]]=0,"No","Yes")</f>
        <v>No</v>
      </c>
      <c r="T341" s="6" t="str">
        <f>IF(AND(Table1_1[[#This Row],[Income]]&gt;50000,Table1_1[[#This Row],[Home Owner]]="Yes"),"High stability","Low stability")</f>
        <v>Low stability</v>
      </c>
      <c r="U341" s="3">
        <f>Table1_1[[#This Row],[Income]]/Table1_1[[#This Row],[Family size]]</f>
        <v>10000</v>
      </c>
      <c r="V341" s="6" t="str">
        <f>IF(Table1_1[[#This Row],[Occupation]]="Skilled manual","Blue collar",IF(Table1_1[[#This Row],[Occupation]]="Manual","Blue collar","White collar"))</f>
        <v>White collar</v>
      </c>
    </row>
    <row r="342" spans="1:22" x14ac:dyDescent="0.3">
      <c r="A342" t="s">
        <v>376</v>
      </c>
      <c r="B342" s="6" t="s">
        <v>1044</v>
      </c>
      <c r="C342" s="6" t="s">
        <v>1046</v>
      </c>
      <c r="D342" s="3">
        <v>30000</v>
      </c>
      <c r="E342">
        <v>0</v>
      </c>
      <c r="F342" s="6" t="s">
        <v>19</v>
      </c>
      <c r="G342" s="6" t="s">
        <v>20</v>
      </c>
      <c r="H342" s="6" t="s">
        <v>15</v>
      </c>
      <c r="I342">
        <v>1</v>
      </c>
      <c r="J342" t="s">
        <v>22</v>
      </c>
      <c r="K3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42" s="6" t="s">
        <v>17</v>
      </c>
      <c r="M342" s="7">
        <v>30</v>
      </c>
      <c r="N342" t="s">
        <v>18</v>
      </c>
      <c r="O342" s="9" t="str">
        <f>IF(Table1_1[[#This Row],[Purchased Bike]]="yes","1","0")</f>
        <v>0</v>
      </c>
      <c r="P342" s="4" t="str">
        <f>IF(Table1_1[[#This Row],[Income]]&lt;=30000,"Low ",IF(Table1_1[[#This Row],[Income]]&lt;=70000,"Middle","High"))</f>
        <v xml:space="preserve">Low </v>
      </c>
      <c r="Q342" s="6" t="str">
        <f>IF(Table1_1[[#This Row],[Age]]&lt;30,"Young",IF(Table1_1[[#This Row],[Age]]&lt;50,"Middle aged","Senior citizen"))</f>
        <v>Middle aged</v>
      </c>
      <c r="R342" s="7">
        <f>IF(Table1_1[[#This Row],[Marriedarital SingletatuSingle]]="M",Table1_1[[#This Row],[Children]]+2,Table1_1[[#This Row],[Children]]+1)</f>
        <v>1</v>
      </c>
      <c r="S342" s="4" t="str">
        <f>IF(Table1_1[[#This Row],[Cars]]=0,"No","Yes")</f>
        <v>Yes</v>
      </c>
      <c r="T342" s="6" t="str">
        <f>IF(AND(Table1_1[[#This Row],[Income]]&gt;50000,Table1_1[[#This Row],[Home Owner]]="Yes"),"High stability","Low stability")</f>
        <v>Low stability</v>
      </c>
      <c r="U342" s="3">
        <f>Table1_1[[#This Row],[Income]]/Table1_1[[#This Row],[Family size]]</f>
        <v>30000</v>
      </c>
      <c r="V342" s="6" t="str">
        <f>IF(Table1_1[[#This Row],[Occupation]]="Skilled manual","Blue collar",IF(Table1_1[[#This Row],[Occupation]]="Manual","Blue collar","White collar"))</f>
        <v>White collar</v>
      </c>
    </row>
    <row r="343" spans="1:22" x14ac:dyDescent="0.3">
      <c r="A343" t="s">
        <v>377</v>
      </c>
      <c r="B343" s="6" t="s">
        <v>1044</v>
      </c>
      <c r="C343" s="6" t="s">
        <v>1045</v>
      </c>
      <c r="D343" s="3">
        <v>30000</v>
      </c>
      <c r="E343">
        <v>0</v>
      </c>
      <c r="F343" s="6" t="s">
        <v>27</v>
      </c>
      <c r="G343" s="6" t="s">
        <v>25</v>
      </c>
      <c r="H343" s="6" t="s">
        <v>18</v>
      </c>
      <c r="I343">
        <v>1</v>
      </c>
      <c r="J343" t="s">
        <v>22</v>
      </c>
      <c r="K3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43" s="6" t="s">
        <v>17</v>
      </c>
      <c r="M343" s="7">
        <v>32</v>
      </c>
      <c r="N343" t="s">
        <v>15</v>
      </c>
      <c r="O343" s="9" t="str">
        <f>IF(Table1_1[[#This Row],[Purchased Bike]]="yes","1","0")</f>
        <v>1</v>
      </c>
      <c r="P343" s="4" t="str">
        <f>IF(Table1_1[[#This Row],[Income]]&lt;=30000,"Low ",IF(Table1_1[[#This Row],[Income]]&lt;=70000,"Middle","High"))</f>
        <v xml:space="preserve">Low </v>
      </c>
      <c r="Q343" s="6" t="str">
        <f>IF(Table1_1[[#This Row],[Age]]&lt;30,"Young",IF(Table1_1[[#This Row],[Age]]&lt;50,"Middle aged","Senior citizen"))</f>
        <v>Middle aged</v>
      </c>
      <c r="R343" s="7">
        <f>IF(Table1_1[[#This Row],[Marriedarital SingletatuSingle]]="M",Table1_1[[#This Row],[Children]]+2,Table1_1[[#This Row],[Children]]+1)</f>
        <v>1</v>
      </c>
      <c r="S343" s="4" t="str">
        <f>IF(Table1_1[[#This Row],[Cars]]=0,"No","Yes")</f>
        <v>Yes</v>
      </c>
      <c r="T343" s="6" t="str">
        <f>IF(AND(Table1_1[[#This Row],[Income]]&gt;50000,Table1_1[[#This Row],[Home Owner]]="Yes"),"High stability","Low stability")</f>
        <v>Low stability</v>
      </c>
      <c r="U343" s="3">
        <f>Table1_1[[#This Row],[Income]]/Table1_1[[#This Row],[Family size]]</f>
        <v>30000</v>
      </c>
      <c r="V343" s="6" t="str">
        <f>IF(Table1_1[[#This Row],[Occupation]]="Skilled manual","Blue collar",IF(Table1_1[[#This Row],[Occupation]]="Manual","Blue collar","White collar"))</f>
        <v>Blue collar</v>
      </c>
    </row>
    <row r="344" spans="1:22" x14ac:dyDescent="0.3">
      <c r="A344" t="s">
        <v>378</v>
      </c>
      <c r="B344" s="6" t="s">
        <v>1044</v>
      </c>
      <c r="C344" s="6" t="s">
        <v>1046</v>
      </c>
      <c r="D344" s="3">
        <v>10000</v>
      </c>
      <c r="E344">
        <v>0</v>
      </c>
      <c r="F344" s="6" t="s">
        <v>29</v>
      </c>
      <c r="G344" s="6" t="s">
        <v>25</v>
      </c>
      <c r="H344" s="6" t="s">
        <v>15</v>
      </c>
      <c r="I344">
        <v>2</v>
      </c>
      <c r="J344" t="s">
        <v>26</v>
      </c>
      <c r="K3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44" s="6" t="s">
        <v>17</v>
      </c>
      <c r="M344" s="7">
        <v>35</v>
      </c>
      <c r="N344" t="s">
        <v>18</v>
      </c>
      <c r="O344" s="9" t="str">
        <f>IF(Table1_1[[#This Row],[Purchased Bike]]="yes","1","0")</f>
        <v>0</v>
      </c>
      <c r="P344" s="4" t="str">
        <f>IF(Table1_1[[#This Row],[Income]]&lt;=30000,"Low ",IF(Table1_1[[#This Row],[Income]]&lt;=70000,"Middle","High"))</f>
        <v xml:space="preserve">Low </v>
      </c>
      <c r="Q344" s="6" t="str">
        <f>IF(Table1_1[[#This Row],[Age]]&lt;30,"Young",IF(Table1_1[[#This Row],[Age]]&lt;50,"Middle aged","Senior citizen"))</f>
        <v>Middle aged</v>
      </c>
      <c r="R344" s="7">
        <f>IF(Table1_1[[#This Row],[Marriedarital SingletatuSingle]]="M",Table1_1[[#This Row],[Children]]+2,Table1_1[[#This Row],[Children]]+1)</f>
        <v>1</v>
      </c>
      <c r="S344" s="4" t="str">
        <f>IF(Table1_1[[#This Row],[Cars]]=0,"No","Yes")</f>
        <v>Yes</v>
      </c>
      <c r="T344" s="6" t="str">
        <f>IF(AND(Table1_1[[#This Row],[Income]]&gt;50000,Table1_1[[#This Row],[Home Owner]]="Yes"),"High stability","Low stability")</f>
        <v>Low stability</v>
      </c>
      <c r="U344" s="3">
        <f>Table1_1[[#This Row],[Income]]/Table1_1[[#This Row],[Family size]]</f>
        <v>10000</v>
      </c>
      <c r="V344" s="6" t="str">
        <f>IF(Table1_1[[#This Row],[Occupation]]="Skilled manual","Blue collar",IF(Table1_1[[#This Row],[Occupation]]="Manual","Blue collar","White collar"))</f>
        <v>Blue collar</v>
      </c>
    </row>
    <row r="345" spans="1:22" x14ac:dyDescent="0.3">
      <c r="A345" t="s">
        <v>379</v>
      </c>
      <c r="B345" s="6" t="s">
        <v>1044</v>
      </c>
      <c r="C345" s="6" t="s">
        <v>1045</v>
      </c>
      <c r="D345" s="3">
        <v>30000</v>
      </c>
      <c r="E345">
        <v>0</v>
      </c>
      <c r="F345" s="6" t="s">
        <v>27</v>
      </c>
      <c r="G345" s="6" t="s">
        <v>25</v>
      </c>
      <c r="H345" s="6" t="s">
        <v>18</v>
      </c>
      <c r="I345">
        <v>1</v>
      </c>
      <c r="J345" t="s">
        <v>22</v>
      </c>
      <c r="K3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45" s="6" t="s">
        <v>17</v>
      </c>
      <c r="M345" s="7">
        <v>32</v>
      </c>
      <c r="N345" t="s">
        <v>18</v>
      </c>
      <c r="O345" s="9" t="str">
        <f>IF(Table1_1[[#This Row],[Purchased Bike]]="yes","1","0")</f>
        <v>0</v>
      </c>
      <c r="P345" s="4" t="str">
        <f>IF(Table1_1[[#This Row],[Income]]&lt;=30000,"Low ",IF(Table1_1[[#This Row],[Income]]&lt;=70000,"Middle","High"))</f>
        <v xml:space="preserve">Low </v>
      </c>
      <c r="Q345" s="6" t="str">
        <f>IF(Table1_1[[#This Row],[Age]]&lt;30,"Young",IF(Table1_1[[#This Row],[Age]]&lt;50,"Middle aged","Senior citizen"))</f>
        <v>Middle aged</v>
      </c>
      <c r="R345" s="7">
        <f>IF(Table1_1[[#This Row],[Marriedarital SingletatuSingle]]="M",Table1_1[[#This Row],[Children]]+2,Table1_1[[#This Row],[Children]]+1)</f>
        <v>1</v>
      </c>
      <c r="S345" s="4" t="str">
        <f>IF(Table1_1[[#This Row],[Cars]]=0,"No","Yes")</f>
        <v>Yes</v>
      </c>
      <c r="T345" s="6" t="str">
        <f>IF(AND(Table1_1[[#This Row],[Income]]&gt;50000,Table1_1[[#This Row],[Home Owner]]="Yes"),"High stability","Low stability")</f>
        <v>Low stability</v>
      </c>
      <c r="U345" s="3">
        <f>Table1_1[[#This Row],[Income]]/Table1_1[[#This Row],[Family size]]</f>
        <v>30000</v>
      </c>
      <c r="V345" s="6" t="str">
        <f>IF(Table1_1[[#This Row],[Occupation]]="Skilled manual","Blue collar",IF(Table1_1[[#This Row],[Occupation]]="Manual","Blue collar","White collar"))</f>
        <v>Blue collar</v>
      </c>
    </row>
    <row r="346" spans="1:22" x14ac:dyDescent="0.3">
      <c r="A346" t="s">
        <v>380</v>
      </c>
      <c r="B346" s="6" t="s">
        <v>1044</v>
      </c>
      <c r="C346" s="6" t="s">
        <v>1046</v>
      </c>
      <c r="D346" s="3">
        <v>30000</v>
      </c>
      <c r="E346">
        <v>0</v>
      </c>
      <c r="F346" s="6" t="s">
        <v>19</v>
      </c>
      <c r="G346" s="6" t="s">
        <v>20</v>
      </c>
      <c r="H346" s="6" t="s">
        <v>18</v>
      </c>
      <c r="I346">
        <v>1</v>
      </c>
      <c r="J346" t="s">
        <v>22</v>
      </c>
      <c r="K3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46" s="6" t="s">
        <v>17</v>
      </c>
      <c r="M346" s="7">
        <v>31</v>
      </c>
      <c r="N346" t="s">
        <v>15</v>
      </c>
      <c r="O346" s="9" t="str">
        <f>IF(Table1_1[[#This Row],[Purchased Bike]]="yes","1","0")</f>
        <v>1</v>
      </c>
      <c r="P346" s="4" t="str">
        <f>IF(Table1_1[[#This Row],[Income]]&lt;=30000,"Low ",IF(Table1_1[[#This Row],[Income]]&lt;=70000,"Middle","High"))</f>
        <v xml:space="preserve">Low </v>
      </c>
      <c r="Q346" s="6" t="str">
        <f>IF(Table1_1[[#This Row],[Age]]&lt;30,"Young",IF(Table1_1[[#This Row],[Age]]&lt;50,"Middle aged","Senior citizen"))</f>
        <v>Middle aged</v>
      </c>
      <c r="R346" s="7">
        <f>IF(Table1_1[[#This Row],[Marriedarital SingletatuSingle]]="M",Table1_1[[#This Row],[Children]]+2,Table1_1[[#This Row],[Children]]+1)</f>
        <v>1</v>
      </c>
      <c r="S346" s="4" t="str">
        <f>IF(Table1_1[[#This Row],[Cars]]=0,"No","Yes")</f>
        <v>Yes</v>
      </c>
      <c r="T346" s="6" t="str">
        <f>IF(AND(Table1_1[[#This Row],[Income]]&gt;50000,Table1_1[[#This Row],[Home Owner]]="Yes"),"High stability","Low stability")</f>
        <v>Low stability</v>
      </c>
      <c r="U346" s="3">
        <f>Table1_1[[#This Row],[Income]]/Table1_1[[#This Row],[Family size]]</f>
        <v>30000</v>
      </c>
      <c r="V346" s="6" t="str">
        <f>IF(Table1_1[[#This Row],[Occupation]]="Skilled manual","Blue collar",IF(Table1_1[[#This Row],[Occupation]]="Manual","Blue collar","White collar"))</f>
        <v>White collar</v>
      </c>
    </row>
    <row r="347" spans="1:22" x14ac:dyDescent="0.3">
      <c r="A347" t="s">
        <v>381</v>
      </c>
      <c r="B347" s="6" t="s">
        <v>1042</v>
      </c>
      <c r="C347" s="6" t="s">
        <v>1045</v>
      </c>
      <c r="D347" s="3">
        <v>20000</v>
      </c>
      <c r="E347">
        <v>1</v>
      </c>
      <c r="F347" s="6" t="s">
        <v>13</v>
      </c>
      <c r="G347" s="6" t="s">
        <v>20</v>
      </c>
      <c r="H347" s="6" t="s">
        <v>15</v>
      </c>
      <c r="I347">
        <v>0</v>
      </c>
      <c r="J347" t="s">
        <v>16</v>
      </c>
      <c r="K3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47" s="6" t="s">
        <v>17</v>
      </c>
      <c r="M347" s="7">
        <v>50</v>
      </c>
      <c r="N347" t="s">
        <v>15</v>
      </c>
      <c r="O347" s="9" t="str">
        <f>IF(Table1_1[[#This Row],[Purchased Bike]]="yes","1","0")</f>
        <v>1</v>
      </c>
      <c r="P347" s="4" t="str">
        <f>IF(Table1_1[[#This Row],[Income]]&lt;=30000,"Low ",IF(Table1_1[[#This Row],[Income]]&lt;=70000,"Middle","High"))</f>
        <v xml:space="preserve">Low </v>
      </c>
      <c r="Q347" s="6" t="str">
        <f>IF(Table1_1[[#This Row],[Age]]&lt;30,"Young",IF(Table1_1[[#This Row],[Age]]&lt;50,"Middle aged","Senior citizen"))</f>
        <v>Senior citizen</v>
      </c>
      <c r="R347" s="7">
        <f>IF(Table1_1[[#This Row],[Marriedarital SingletatuSingle]]="M",Table1_1[[#This Row],[Children]]+2,Table1_1[[#This Row],[Children]]+1)</f>
        <v>2</v>
      </c>
      <c r="S347" s="4" t="str">
        <f>IF(Table1_1[[#This Row],[Cars]]=0,"No","Yes")</f>
        <v>No</v>
      </c>
      <c r="T347" s="6" t="str">
        <f>IF(AND(Table1_1[[#This Row],[Income]]&gt;50000,Table1_1[[#This Row],[Home Owner]]="Yes"),"High stability","Low stability")</f>
        <v>Low stability</v>
      </c>
      <c r="U347" s="3">
        <f>Table1_1[[#This Row],[Income]]/Table1_1[[#This Row],[Family size]]</f>
        <v>10000</v>
      </c>
      <c r="V347" s="6" t="str">
        <f>IF(Table1_1[[#This Row],[Occupation]]="Skilled manual","Blue collar",IF(Table1_1[[#This Row],[Occupation]]="Manual","Blue collar","White collar"))</f>
        <v>White collar</v>
      </c>
    </row>
    <row r="348" spans="1:22" x14ac:dyDescent="0.3">
      <c r="A348" t="s">
        <v>382</v>
      </c>
      <c r="B348" s="6" t="s">
        <v>1042</v>
      </c>
      <c r="C348" s="6" t="s">
        <v>1046</v>
      </c>
      <c r="D348" s="3">
        <v>40000</v>
      </c>
      <c r="E348">
        <v>1</v>
      </c>
      <c r="F348" s="6" t="s">
        <v>13</v>
      </c>
      <c r="G348" s="6" t="s">
        <v>14</v>
      </c>
      <c r="H348" s="6" t="s">
        <v>18</v>
      </c>
      <c r="I348">
        <v>0</v>
      </c>
      <c r="J348" t="s">
        <v>16</v>
      </c>
      <c r="K3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48" s="6" t="s">
        <v>17</v>
      </c>
      <c r="M348" s="7">
        <v>43</v>
      </c>
      <c r="N348" t="s">
        <v>15</v>
      </c>
      <c r="O348" s="9" t="str">
        <f>IF(Table1_1[[#This Row],[Purchased Bike]]="yes","1","0")</f>
        <v>1</v>
      </c>
      <c r="P348" s="4" t="str">
        <f>IF(Table1_1[[#This Row],[Income]]&lt;=30000,"Low ",IF(Table1_1[[#This Row],[Income]]&lt;=70000,"Middle","High"))</f>
        <v>Middle</v>
      </c>
      <c r="Q348" s="6" t="str">
        <f>IF(Table1_1[[#This Row],[Age]]&lt;30,"Young",IF(Table1_1[[#This Row],[Age]]&lt;50,"Middle aged","Senior citizen"))</f>
        <v>Middle aged</v>
      </c>
      <c r="R348" s="7">
        <f>IF(Table1_1[[#This Row],[Marriedarital SingletatuSingle]]="M",Table1_1[[#This Row],[Children]]+2,Table1_1[[#This Row],[Children]]+1)</f>
        <v>2</v>
      </c>
      <c r="S348" s="4" t="str">
        <f>IF(Table1_1[[#This Row],[Cars]]=0,"No","Yes")</f>
        <v>No</v>
      </c>
      <c r="T348" s="6" t="str">
        <f>IF(AND(Table1_1[[#This Row],[Income]]&gt;50000,Table1_1[[#This Row],[Home Owner]]="Yes"),"High stability","Low stability")</f>
        <v>Low stability</v>
      </c>
      <c r="U348" s="3">
        <f>Table1_1[[#This Row],[Income]]/Table1_1[[#This Row],[Family size]]</f>
        <v>20000</v>
      </c>
      <c r="V348" s="6" t="str">
        <f>IF(Table1_1[[#This Row],[Occupation]]="Skilled manual","Blue collar",IF(Table1_1[[#This Row],[Occupation]]="Manual","Blue collar","White collar"))</f>
        <v>Blue collar</v>
      </c>
    </row>
    <row r="349" spans="1:22" x14ac:dyDescent="0.3">
      <c r="A349" t="s">
        <v>383</v>
      </c>
      <c r="B349" s="6" t="s">
        <v>1044</v>
      </c>
      <c r="C349" s="6" t="s">
        <v>1045</v>
      </c>
      <c r="D349" s="3">
        <v>60000</v>
      </c>
      <c r="E349">
        <v>1</v>
      </c>
      <c r="F349" s="6" t="s">
        <v>19</v>
      </c>
      <c r="G349" s="6" t="s">
        <v>14</v>
      </c>
      <c r="H349" s="6" t="s">
        <v>18</v>
      </c>
      <c r="I349">
        <v>1</v>
      </c>
      <c r="J349" t="s">
        <v>16</v>
      </c>
      <c r="K3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49" s="6" t="s">
        <v>24</v>
      </c>
      <c r="M349" s="7">
        <v>45</v>
      </c>
      <c r="N349" t="s">
        <v>15</v>
      </c>
      <c r="O349" s="9" t="str">
        <f>IF(Table1_1[[#This Row],[Purchased Bike]]="yes","1","0")</f>
        <v>1</v>
      </c>
      <c r="P349" s="4" t="str">
        <f>IF(Table1_1[[#This Row],[Income]]&lt;=30000,"Low ",IF(Table1_1[[#This Row],[Income]]&lt;=70000,"Middle","High"))</f>
        <v>Middle</v>
      </c>
      <c r="Q349" s="6" t="str">
        <f>IF(Table1_1[[#This Row],[Age]]&lt;30,"Young",IF(Table1_1[[#This Row],[Age]]&lt;50,"Middle aged","Senior citizen"))</f>
        <v>Middle aged</v>
      </c>
      <c r="R349" s="7">
        <f>IF(Table1_1[[#This Row],[Marriedarital SingletatuSingle]]="M",Table1_1[[#This Row],[Children]]+2,Table1_1[[#This Row],[Children]]+1)</f>
        <v>2</v>
      </c>
      <c r="S349" s="4" t="str">
        <f>IF(Table1_1[[#This Row],[Cars]]=0,"No","Yes")</f>
        <v>Yes</v>
      </c>
      <c r="T349" s="6" t="str">
        <f>IF(AND(Table1_1[[#This Row],[Income]]&gt;50000,Table1_1[[#This Row],[Home Owner]]="Yes"),"High stability","Low stability")</f>
        <v>Low stability</v>
      </c>
      <c r="U349" s="3">
        <f>Table1_1[[#This Row],[Income]]/Table1_1[[#This Row],[Family size]]</f>
        <v>30000</v>
      </c>
      <c r="V349" s="6" t="str">
        <f>IF(Table1_1[[#This Row],[Occupation]]="Skilled manual","Blue collar",IF(Table1_1[[#This Row],[Occupation]]="Manual","Blue collar","White collar"))</f>
        <v>Blue collar</v>
      </c>
    </row>
    <row r="350" spans="1:22" x14ac:dyDescent="0.3">
      <c r="A350" t="s">
        <v>384</v>
      </c>
      <c r="B350" s="6" t="s">
        <v>1042</v>
      </c>
      <c r="C350" s="6" t="s">
        <v>1046</v>
      </c>
      <c r="D350" s="3">
        <v>20000</v>
      </c>
      <c r="E350">
        <v>2</v>
      </c>
      <c r="F350" s="6" t="s">
        <v>27</v>
      </c>
      <c r="G350" s="6" t="s">
        <v>25</v>
      </c>
      <c r="H350" s="6" t="s">
        <v>15</v>
      </c>
      <c r="I350">
        <v>2</v>
      </c>
      <c r="J350" t="s">
        <v>16</v>
      </c>
      <c r="K3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50" s="6" t="s">
        <v>17</v>
      </c>
      <c r="M350" s="7">
        <v>42</v>
      </c>
      <c r="N350" t="s">
        <v>18</v>
      </c>
      <c r="O350" s="9" t="str">
        <f>IF(Table1_1[[#This Row],[Purchased Bike]]="yes","1","0")</f>
        <v>0</v>
      </c>
      <c r="P350" s="4" t="str">
        <f>IF(Table1_1[[#This Row],[Income]]&lt;=30000,"Low ",IF(Table1_1[[#This Row],[Income]]&lt;=70000,"Middle","High"))</f>
        <v xml:space="preserve">Low </v>
      </c>
      <c r="Q350" s="6" t="str">
        <f>IF(Table1_1[[#This Row],[Age]]&lt;30,"Young",IF(Table1_1[[#This Row],[Age]]&lt;50,"Middle aged","Senior citizen"))</f>
        <v>Middle aged</v>
      </c>
      <c r="R350" s="7">
        <f>IF(Table1_1[[#This Row],[Marriedarital SingletatuSingle]]="M",Table1_1[[#This Row],[Children]]+2,Table1_1[[#This Row],[Children]]+1)</f>
        <v>3</v>
      </c>
      <c r="S350" s="4" t="str">
        <f>IF(Table1_1[[#This Row],[Cars]]=0,"No","Yes")</f>
        <v>Yes</v>
      </c>
      <c r="T350" s="6" t="str">
        <f>IF(AND(Table1_1[[#This Row],[Income]]&gt;50000,Table1_1[[#This Row],[Home Owner]]="Yes"),"High stability","Low stability")</f>
        <v>Low stability</v>
      </c>
      <c r="U350" s="3">
        <f>Table1_1[[#This Row],[Income]]/Table1_1[[#This Row],[Family size]]</f>
        <v>6666.666666666667</v>
      </c>
      <c r="V350" s="6" t="str">
        <f>IF(Table1_1[[#This Row],[Occupation]]="Skilled manual","Blue collar",IF(Table1_1[[#This Row],[Occupation]]="Manual","Blue collar","White collar"))</f>
        <v>Blue collar</v>
      </c>
    </row>
    <row r="351" spans="1:22" x14ac:dyDescent="0.3">
      <c r="A351" t="s">
        <v>385</v>
      </c>
      <c r="B351" s="6" t="s">
        <v>1044</v>
      </c>
      <c r="C351" s="6" t="s">
        <v>1045</v>
      </c>
      <c r="D351" s="3">
        <v>30000</v>
      </c>
      <c r="E351">
        <v>0</v>
      </c>
      <c r="F351" s="6" t="s">
        <v>19</v>
      </c>
      <c r="G351" s="6" t="s">
        <v>20</v>
      </c>
      <c r="H351" s="6" t="s">
        <v>18</v>
      </c>
      <c r="I351">
        <v>1</v>
      </c>
      <c r="J351" t="s">
        <v>16</v>
      </c>
      <c r="K3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51" s="6" t="s">
        <v>17</v>
      </c>
      <c r="M351" s="7">
        <v>29</v>
      </c>
      <c r="N351" t="s">
        <v>15</v>
      </c>
      <c r="O351" s="9" t="str">
        <f>IF(Table1_1[[#This Row],[Purchased Bike]]="yes","1","0")</f>
        <v>1</v>
      </c>
      <c r="P351" s="4" t="str">
        <f>IF(Table1_1[[#This Row],[Income]]&lt;=30000,"Low ",IF(Table1_1[[#This Row],[Income]]&lt;=70000,"Middle","High"))</f>
        <v xml:space="preserve">Low </v>
      </c>
      <c r="Q351" s="6" t="str">
        <f>IF(Table1_1[[#This Row],[Age]]&lt;30,"Young",IF(Table1_1[[#This Row],[Age]]&lt;50,"Middle aged","Senior citizen"))</f>
        <v>Young</v>
      </c>
      <c r="R351" s="7">
        <f>IF(Table1_1[[#This Row],[Marriedarital SingletatuSingle]]="M",Table1_1[[#This Row],[Children]]+2,Table1_1[[#This Row],[Children]]+1)</f>
        <v>1</v>
      </c>
      <c r="S351" s="4" t="str">
        <f>IF(Table1_1[[#This Row],[Cars]]=0,"No","Yes")</f>
        <v>Yes</v>
      </c>
      <c r="T351" s="6" t="str">
        <f>IF(AND(Table1_1[[#This Row],[Income]]&gt;50000,Table1_1[[#This Row],[Home Owner]]="Yes"),"High stability","Low stability")</f>
        <v>Low stability</v>
      </c>
      <c r="U351" s="3">
        <f>Table1_1[[#This Row],[Income]]/Table1_1[[#This Row],[Family size]]</f>
        <v>30000</v>
      </c>
      <c r="V351" s="6" t="str">
        <f>IF(Table1_1[[#This Row],[Occupation]]="Skilled manual","Blue collar",IF(Table1_1[[#This Row],[Occupation]]="Manual","Blue collar","White collar"))</f>
        <v>White collar</v>
      </c>
    </row>
    <row r="352" spans="1:22" x14ac:dyDescent="0.3">
      <c r="A352" t="s">
        <v>386</v>
      </c>
      <c r="B352" s="6" t="s">
        <v>1044</v>
      </c>
      <c r="C352" s="6" t="s">
        <v>1046</v>
      </c>
      <c r="D352" s="3">
        <v>20000</v>
      </c>
      <c r="E352">
        <v>0</v>
      </c>
      <c r="F352" s="6" t="s">
        <v>19</v>
      </c>
      <c r="G352" s="6" t="s">
        <v>25</v>
      </c>
      <c r="H352" s="6" t="s">
        <v>18</v>
      </c>
      <c r="I352">
        <v>0</v>
      </c>
      <c r="J352" t="s">
        <v>16</v>
      </c>
      <c r="K3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52" s="6" t="s">
        <v>24</v>
      </c>
      <c r="M352" s="7">
        <v>28</v>
      </c>
      <c r="N352" t="s">
        <v>15</v>
      </c>
      <c r="O352" s="9" t="str">
        <f>IF(Table1_1[[#This Row],[Purchased Bike]]="yes","1","0")</f>
        <v>1</v>
      </c>
      <c r="P352" s="4" t="str">
        <f>IF(Table1_1[[#This Row],[Income]]&lt;=30000,"Low ",IF(Table1_1[[#This Row],[Income]]&lt;=70000,"Middle","High"))</f>
        <v xml:space="preserve">Low </v>
      </c>
      <c r="Q352" s="6" t="str">
        <f>IF(Table1_1[[#This Row],[Age]]&lt;30,"Young",IF(Table1_1[[#This Row],[Age]]&lt;50,"Middle aged","Senior citizen"))</f>
        <v>Young</v>
      </c>
      <c r="R352" s="7">
        <f>IF(Table1_1[[#This Row],[Marriedarital SingletatuSingle]]="M",Table1_1[[#This Row],[Children]]+2,Table1_1[[#This Row],[Children]]+1)</f>
        <v>1</v>
      </c>
      <c r="S352" s="4" t="str">
        <f>IF(Table1_1[[#This Row],[Cars]]=0,"No","Yes")</f>
        <v>No</v>
      </c>
      <c r="T352" s="6" t="str">
        <f>IF(AND(Table1_1[[#This Row],[Income]]&gt;50000,Table1_1[[#This Row],[Home Owner]]="Yes"),"High stability","Low stability")</f>
        <v>Low stability</v>
      </c>
      <c r="U352" s="3">
        <f>Table1_1[[#This Row],[Income]]/Table1_1[[#This Row],[Family size]]</f>
        <v>20000</v>
      </c>
      <c r="V352" s="6" t="str">
        <f>IF(Table1_1[[#This Row],[Occupation]]="Skilled manual","Blue collar",IF(Table1_1[[#This Row],[Occupation]]="Manual","Blue collar","White collar"))</f>
        <v>Blue collar</v>
      </c>
    </row>
    <row r="353" spans="1:22" x14ac:dyDescent="0.3">
      <c r="A353" t="s">
        <v>387</v>
      </c>
      <c r="B353" s="6" t="s">
        <v>1044</v>
      </c>
      <c r="C353" s="6" t="s">
        <v>1046</v>
      </c>
      <c r="D353" s="3">
        <v>10000</v>
      </c>
      <c r="E353">
        <v>3</v>
      </c>
      <c r="F353" s="6" t="s">
        <v>27</v>
      </c>
      <c r="G353" s="6" t="s">
        <v>25</v>
      </c>
      <c r="H353" s="6" t="s">
        <v>15</v>
      </c>
      <c r="I353">
        <v>0</v>
      </c>
      <c r="J353" t="s">
        <v>16</v>
      </c>
      <c r="K3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53" s="6" t="s">
        <v>17</v>
      </c>
      <c r="M353" s="7">
        <v>37</v>
      </c>
      <c r="N353" t="s">
        <v>15</v>
      </c>
      <c r="O353" s="9" t="str">
        <f>IF(Table1_1[[#This Row],[Purchased Bike]]="yes","1","0")</f>
        <v>1</v>
      </c>
      <c r="P353" s="4" t="str">
        <f>IF(Table1_1[[#This Row],[Income]]&lt;=30000,"Low ",IF(Table1_1[[#This Row],[Income]]&lt;=70000,"Middle","High"))</f>
        <v xml:space="preserve">Low </v>
      </c>
      <c r="Q353" s="6" t="str">
        <f>IF(Table1_1[[#This Row],[Age]]&lt;30,"Young",IF(Table1_1[[#This Row],[Age]]&lt;50,"Middle aged","Senior citizen"))</f>
        <v>Middle aged</v>
      </c>
      <c r="R353" s="7">
        <f>IF(Table1_1[[#This Row],[Marriedarital SingletatuSingle]]="M",Table1_1[[#This Row],[Children]]+2,Table1_1[[#This Row],[Children]]+1)</f>
        <v>4</v>
      </c>
      <c r="S353" s="4" t="str">
        <f>IF(Table1_1[[#This Row],[Cars]]=0,"No","Yes")</f>
        <v>No</v>
      </c>
      <c r="T353" s="6" t="str">
        <f>IF(AND(Table1_1[[#This Row],[Income]]&gt;50000,Table1_1[[#This Row],[Home Owner]]="Yes"),"High stability","Low stability")</f>
        <v>Low stability</v>
      </c>
      <c r="U353" s="3">
        <f>Table1_1[[#This Row],[Income]]/Table1_1[[#This Row],[Family size]]</f>
        <v>2500</v>
      </c>
      <c r="V353" s="6" t="str">
        <f>IF(Table1_1[[#This Row],[Occupation]]="Skilled manual","Blue collar",IF(Table1_1[[#This Row],[Occupation]]="Manual","Blue collar","White collar"))</f>
        <v>Blue collar</v>
      </c>
    </row>
    <row r="354" spans="1:22" x14ac:dyDescent="0.3">
      <c r="A354" t="s">
        <v>388</v>
      </c>
      <c r="B354" s="6" t="s">
        <v>1042</v>
      </c>
      <c r="C354" s="6" t="s">
        <v>1045</v>
      </c>
      <c r="D354" s="3">
        <v>80000</v>
      </c>
      <c r="E354">
        <v>4</v>
      </c>
      <c r="F354" s="6" t="s">
        <v>19</v>
      </c>
      <c r="G354" s="6" t="s">
        <v>21</v>
      </c>
      <c r="H354" s="6" t="s">
        <v>15</v>
      </c>
      <c r="I354">
        <v>2</v>
      </c>
      <c r="J354" t="s">
        <v>22</v>
      </c>
      <c r="K3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54" s="6" t="s">
        <v>17</v>
      </c>
      <c r="M354" s="7">
        <v>53</v>
      </c>
      <c r="N354" t="s">
        <v>18</v>
      </c>
      <c r="O354" s="9" t="str">
        <f>IF(Table1_1[[#This Row],[Purchased Bike]]="yes","1","0")</f>
        <v>0</v>
      </c>
      <c r="P354" s="4" t="str">
        <f>IF(Table1_1[[#This Row],[Income]]&lt;=30000,"Low ",IF(Table1_1[[#This Row],[Income]]&lt;=70000,"Middle","High"))</f>
        <v>High</v>
      </c>
      <c r="Q354" s="6" t="str">
        <f>IF(Table1_1[[#This Row],[Age]]&lt;30,"Young",IF(Table1_1[[#This Row],[Age]]&lt;50,"Middle aged","Senior citizen"))</f>
        <v>Senior citizen</v>
      </c>
      <c r="R354" s="7">
        <f>IF(Table1_1[[#This Row],[Marriedarital SingletatuSingle]]="M",Table1_1[[#This Row],[Children]]+2,Table1_1[[#This Row],[Children]]+1)</f>
        <v>5</v>
      </c>
      <c r="S354" s="4" t="str">
        <f>IF(Table1_1[[#This Row],[Cars]]=0,"No","Yes")</f>
        <v>Yes</v>
      </c>
      <c r="T354" s="6" t="str">
        <f>IF(AND(Table1_1[[#This Row],[Income]]&gt;50000,Table1_1[[#This Row],[Home Owner]]="Yes"),"High stability","Low stability")</f>
        <v>High stability</v>
      </c>
      <c r="U354" s="3">
        <f>Table1_1[[#This Row],[Income]]/Table1_1[[#This Row],[Family size]]</f>
        <v>16000</v>
      </c>
      <c r="V354" s="6" t="str">
        <f>IF(Table1_1[[#This Row],[Occupation]]="Skilled manual","Blue collar",IF(Table1_1[[#This Row],[Occupation]]="Manual","Blue collar","White collar"))</f>
        <v>White collar</v>
      </c>
    </row>
    <row r="355" spans="1:22" x14ac:dyDescent="0.3">
      <c r="A355" t="s">
        <v>389</v>
      </c>
      <c r="B355" s="6" t="s">
        <v>1044</v>
      </c>
      <c r="C355" s="6" t="s">
        <v>1046</v>
      </c>
      <c r="D355" s="3">
        <v>40000</v>
      </c>
      <c r="E355">
        <v>0</v>
      </c>
      <c r="F355" s="6" t="s">
        <v>31</v>
      </c>
      <c r="G355" s="6" t="s">
        <v>20</v>
      </c>
      <c r="H355" s="6" t="s">
        <v>18</v>
      </c>
      <c r="I355">
        <v>0</v>
      </c>
      <c r="J355" t="s">
        <v>16</v>
      </c>
      <c r="K3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55" s="6" t="s">
        <v>17</v>
      </c>
      <c r="M355" s="7">
        <v>38</v>
      </c>
      <c r="N355" t="s">
        <v>15</v>
      </c>
      <c r="O355" s="9" t="str">
        <f>IF(Table1_1[[#This Row],[Purchased Bike]]="yes","1","0")</f>
        <v>1</v>
      </c>
      <c r="P355" s="4" t="str">
        <f>IF(Table1_1[[#This Row],[Income]]&lt;=30000,"Low ",IF(Table1_1[[#This Row],[Income]]&lt;=70000,"Middle","High"))</f>
        <v>Middle</v>
      </c>
      <c r="Q355" s="6" t="str">
        <f>IF(Table1_1[[#This Row],[Age]]&lt;30,"Young",IF(Table1_1[[#This Row],[Age]]&lt;50,"Middle aged","Senior citizen"))</f>
        <v>Middle aged</v>
      </c>
      <c r="R355" s="7">
        <f>IF(Table1_1[[#This Row],[Marriedarital SingletatuSingle]]="M",Table1_1[[#This Row],[Children]]+2,Table1_1[[#This Row],[Children]]+1)</f>
        <v>1</v>
      </c>
      <c r="S355" s="4" t="str">
        <f>IF(Table1_1[[#This Row],[Cars]]=0,"No","Yes")</f>
        <v>No</v>
      </c>
      <c r="T355" s="6" t="str">
        <f>IF(AND(Table1_1[[#This Row],[Income]]&gt;50000,Table1_1[[#This Row],[Home Owner]]="Yes"),"High stability","Low stability")</f>
        <v>Low stability</v>
      </c>
      <c r="U355" s="3">
        <f>Table1_1[[#This Row],[Income]]/Table1_1[[#This Row],[Family size]]</f>
        <v>40000</v>
      </c>
      <c r="V355" s="6" t="str">
        <f>IF(Table1_1[[#This Row],[Occupation]]="Skilled manual","Blue collar",IF(Table1_1[[#This Row],[Occupation]]="Manual","Blue collar","White collar"))</f>
        <v>White collar</v>
      </c>
    </row>
    <row r="356" spans="1:22" x14ac:dyDescent="0.3">
      <c r="A356" t="s">
        <v>390</v>
      </c>
      <c r="B356" s="6" t="s">
        <v>1044</v>
      </c>
      <c r="C356" s="6" t="s">
        <v>1046</v>
      </c>
      <c r="D356" s="3">
        <v>30000</v>
      </c>
      <c r="E356">
        <v>1</v>
      </c>
      <c r="F356" s="6" t="s">
        <v>13</v>
      </c>
      <c r="G356" s="6" t="s">
        <v>20</v>
      </c>
      <c r="H356" s="6" t="s">
        <v>18</v>
      </c>
      <c r="I356">
        <v>1</v>
      </c>
      <c r="J356" t="s">
        <v>26</v>
      </c>
      <c r="K3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56" s="6" t="s">
        <v>17</v>
      </c>
      <c r="M356" s="7">
        <v>39</v>
      </c>
      <c r="N356" t="s">
        <v>18</v>
      </c>
      <c r="O356" s="9" t="str">
        <f>IF(Table1_1[[#This Row],[Purchased Bike]]="yes","1","0")</f>
        <v>0</v>
      </c>
      <c r="P356" s="4" t="str">
        <f>IF(Table1_1[[#This Row],[Income]]&lt;=30000,"Low ",IF(Table1_1[[#This Row],[Income]]&lt;=70000,"Middle","High"))</f>
        <v xml:space="preserve">Low </v>
      </c>
      <c r="Q356" s="6" t="str">
        <f>IF(Table1_1[[#This Row],[Age]]&lt;30,"Young",IF(Table1_1[[#This Row],[Age]]&lt;50,"Middle aged","Senior citizen"))</f>
        <v>Middle aged</v>
      </c>
      <c r="R356" s="7">
        <f>IF(Table1_1[[#This Row],[Marriedarital SingletatuSingle]]="M",Table1_1[[#This Row],[Children]]+2,Table1_1[[#This Row],[Children]]+1)</f>
        <v>2</v>
      </c>
      <c r="S356" s="4" t="str">
        <f>IF(Table1_1[[#This Row],[Cars]]=0,"No","Yes")</f>
        <v>Yes</v>
      </c>
      <c r="T356" s="6" t="str">
        <f>IF(AND(Table1_1[[#This Row],[Income]]&gt;50000,Table1_1[[#This Row],[Home Owner]]="Yes"),"High stability","Low stability")</f>
        <v>Low stability</v>
      </c>
      <c r="U356" s="3">
        <f>Table1_1[[#This Row],[Income]]/Table1_1[[#This Row],[Family size]]</f>
        <v>15000</v>
      </c>
      <c r="V356" s="6" t="str">
        <f>IF(Table1_1[[#This Row],[Occupation]]="Skilled manual","Blue collar",IF(Table1_1[[#This Row],[Occupation]]="Manual","Blue collar","White collar"))</f>
        <v>White collar</v>
      </c>
    </row>
    <row r="357" spans="1:22" x14ac:dyDescent="0.3">
      <c r="A357" t="s">
        <v>391</v>
      </c>
      <c r="B357" s="6" t="s">
        <v>1044</v>
      </c>
      <c r="C357" s="6" t="s">
        <v>1046</v>
      </c>
      <c r="D357" s="3">
        <v>80000</v>
      </c>
      <c r="E357">
        <v>0</v>
      </c>
      <c r="F357" s="6" t="s">
        <v>13</v>
      </c>
      <c r="G357" s="6" t="s">
        <v>21</v>
      </c>
      <c r="H357" s="6" t="s">
        <v>15</v>
      </c>
      <c r="I357">
        <v>3</v>
      </c>
      <c r="J357" t="s">
        <v>30</v>
      </c>
      <c r="K3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357" s="6" t="s">
        <v>24</v>
      </c>
      <c r="M357" s="7">
        <v>32</v>
      </c>
      <c r="N357" t="s">
        <v>18</v>
      </c>
      <c r="O357" s="9" t="str">
        <f>IF(Table1_1[[#This Row],[Purchased Bike]]="yes","1","0")</f>
        <v>0</v>
      </c>
      <c r="P357" s="4" t="str">
        <f>IF(Table1_1[[#This Row],[Income]]&lt;=30000,"Low ",IF(Table1_1[[#This Row],[Income]]&lt;=70000,"Middle","High"))</f>
        <v>High</v>
      </c>
      <c r="Q357" s="6" t="str">
        <f>IF(Table1_1[[#This Row],[Age]]&lt;30,"Young",IF(Table1_1[[#This Row],[Age]]&lt;50,"Middle aged","Senior citizen"))</f>
        <v>Middle aged</v>
      </c>
      <c r="R357" s="7">
        <f>IF(Table1_1[[#This Row],[Marriedarital SingletatuSingle]]="M",Table1_1[[#This Row],[Children]]+2,Table1_1[[#This Row],[Children]]+1)</f>
        <v>1</v>
      </c>
      <c r="S357" s="4" t="str">
        <f>IF(Table1_1[[#This Row],[Cars]]=0,"No","Yes")</f>
        <v>Yes</v>
      </c>
      <c r="T357" s="6" t="str">
        <f>IF(AND(Table1_1[[#This Row],[Income]]&gt;50000,Table1_1[[#This Row],[Home Owner]]="Yes"),"High stability","Low stability")</f>
        <v>High stability</v>
      </c>
      <c r="U357" s="3">
        <f>Table1_1[[#This Row],[Income]]/Table1_1[[#This Row],[Family size]]</f>
        <v>80000</v>
      </c>
      <c r="V357" s="6" t="str">
        <f>IF(Table1_1[[#This Row],[Occupation]]="Skilled manual","Blue collar",IF(Table1_1[[#This Row],[Occupation]]="Manual","Blue collar","White collar"))</f>
        <v>White collar</v>
      </c>
    </row>
    <row r="358" spans="1:22" x14ac:dyDescent="0.3">
      <c r="A358" t="s">
        <v>392</v>
      </c>
      <c r="B358" s="6" t="s">
        <v>1042</v>
      </c>
      <c r="C358" s="6" t="s">
        <v>1045</v>
      </c>
      <c r="D358" s="3">
        <v>150000</v>
      </c>
      <c r="E358">
        <v>3</v>
      </c>
      <c r="F358" s="6" t="s">
        <v>27</v>
      </c>
      <c r="G358" s="6" t="s">
        <v>21</v>
      </c>
      <c r="H358" s="6" t="s">
        <v>15</v>
      </c>
      <c r="I358">
        <v>3</v>
      </c>
      <c r="J358" t="s">
        <v>16</v>
      </c>
      <c r="K3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58" s="6" t="s">
        <v>17</v>
      </c>
      <c r="M358" s="7">
        <v>51</v>
      </c>
      <c r="N358" t="s">
        <v>15</v>
      </c>
      <c r="O358" s="9" t="str">
        <f>IF(Table1_1[[#This Row],[Purchased Bike]]="yes","1","0")</f>
        <v>1</v>
      </c>
      <c r="P358" s="4" t="str">
        <f>IF(Table1_1[[#This Row],[Income]]&lt;=30000,"Low ",IF(Table1_1[[#This Row],[Income]]&lt;=70000,"Middle","High"))</f>
        <v>High</v>
      </c>
      <c r="Q358" s="6" t="str">
        <f>IF(Table1_1[[#This Row],[Age]]&lt;30,"Young",IF(Table1_1[[#This Row],[Age]]&lt;50,"Middle aged","Senior citizen"))</f>
        <v>Senior citizen</v>
      </c>
      <c r="R358" s="7">
        <f>IF(Table1_1[[#This Row],[Marriedarital SingletatuSingle]]="M",Table1_1[[#This Row],[Children]]+2,Table1_1[[#This Row],[Children]]+1)</f>
        <v>4</v>
      </c>
      <c r="S358" s="4" t="str">
        <f>IF(Table1_1[[#This Row],[Cars]]=0,"No","Yes")</f>
        <v>Yes</v>
      </c>
      <c r="T358" s="6" t="str">
        <f>IF(AND(Table1_1[[#This Row],[Income]]&gt;50000,Table1_1[[#This Row],[Home Owner]]="Yes"),"High stability","Low stability")</f>
        <v>High stability</v>
      </c>
      <c r="U358" s="3">
        <f>Table1_1[[#This Row],[Income]]/Table1_1[[#This Row],[Family size]]</f>
        <v>37500</v>
      </c>
      <c r="V358" s="6" t="str">
        <f>IF(Table1_1[[#This Row],[Occupation]]="Skilled manual","Blue collar",IF(Table1_1[[#This Row],[Occupation]]="Manual","Blue collar","White collar"))</f>
        <v>White collar</v>
      </c>
    </row>
    <row r="359" spans="1:22" x14ac:dyDescent="0.3">
      <c r="A359" t="s">
        <v>393</v>
      </c>
      <c r="B359" s="6" t="s">
        <v>1044</v>
      </c>
      <c r="C359" s="6" t="s">
        <v>1045</v>
      </c>
      <c r="D359" s="3">
        <v>10000</v>
      </c>
      <c r="E359">
        <v>0</v>
      </c>
      <c r="F359" s="6" t="s">
        <v>29</v>
      </c>
      <c r="G359" s="6" t="s">
        <v>25</v>
      </c>
      <c r="H359" s="6" t="s">
        <v>15</v>
      </c>
      <c r="I359">
        <v>2</v>
      </c>
      <c r="J359" t="s">
        <v>26</v>
      </c>
      <c r="K3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59" s="6" t="s">
        <v>17</v>
      </c>
      <c r="M359" s="7">
        <v>33</v>
      </c>
      <c r="N359" t="s">
        <v>18</v>
      </c>
      <c r="O359" s="9" t="str">
        <f>IF(Table1_1[[#This Row],[Purchased Bike]]="yes","1","0")</f>
        <v>0</v>
      </c>
      <c r="P359" s="4" t="str">
        <f>IF(Table1_1[[#This Row],[Income]]&lt;=30000,"Low ",IF(Table1_1[[#This Row],[Income]]&lt;=70000,"Middle","High"))</f>
        <v xml:space="preserve">Low </v>
      </c>
      <c r="Q359" s="6" t="str">
        <f>IF(Table1_1[[#This Row],[Age]]&lt;30,"Young",IF(Table1_1[[#This Row],[Age]]&lt;50,"Middle aged","Senior citizen"))</f>
        <v>Middle aged</v>
      </c>
      <c r="R359" s="7">
        <f>IF(Table1_1[[#This Row],[Marriedarital SingletatuSingle]]="M",Table1_1[[#This Row],[Children]]+2,Table1_1[[#This Row],[Children]]+1)</f>
        <v>1</v>
      </c>
      <c r="S359" s="4" t="str">
        <f>IF(Table1_1[[#This Row],[Cars]]=0,"No","Yes")</f>
        <v>Yes</v>
      </c>
      <c r="T359" s="6" t="str">
        <f>IF(AND(Table1_1[[#This Row],[Income]]&gt;50000,Table1_1[[#This Row],[Home Owner]]="Yes"),"High stability","Low stability")</f>
        <v>Low stability</v>
      </c>
      <c r="U359" s="3">
        <f>Table1_1[[#This Row],[Income]]/Table1_1[[#This Row],[Family size]]</f>
        <v>10000</v>
      </c>
      <c r="V359" s="6" t="str">
        <f>IF(Table1_1[[#This Row],[Occupation]]="Skilled manual","Blue collar",IF(Table1_1[[#This Row],[Occupation]]="Manual","Blue collar","White collar"))</f>
        <v>Blue collar</v>
      </c>
    </row>
    <row r="360" spans="1:22" x14ac:dyDescent="0.3">
      <c r="A360" t="s">
        <v>394</v>
      </c>
      <c r="B360" s="6" t="s">
        <v>1042</v>
      </c>
      <c r="C360" s="6" t="s">
        <v>1046</v>
      </c>
      <c r="D360" s="3">
        <v>90000</v>
      </c>
      <c r="E360">
        <v>4</v>
      </c>
      <c r="F360" s="6" t="s">
        <v>27</v>
      </c>
      <c r="G360" s="6" t="s">
        <v>28</v>
      </c>
      <c r="H360" s="6" t="s">
        <v>15</v>
      </c>
      <c r="I360">
        <v>3</v>
      </c>
      <c r="J360" t="s">
        <v>23</v>
      </c>
      <c r="K3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60" s="6" t="s">
        <v>17</v>
      </c>
      <c r="M360" s="7">
        <v>58</v>
      </c>
      <c r="N360" t="s">
        <v>15</v>
      </c>
      <c r="O360" s="9" t="str">
        <f>IF(Table1_1[[#This Row],[Purchased Bike]]="yes","1","0")</f>
        <v>1</v>
      </c>
      <c r="P360" s="4" t="str">
        <f>IF(Table1_1[[#This Row],[Income]]&lt;=30000,"Low ",IF(Table1_1[[#This Row],[Income]]&lt;=70000,"Middle","High"))</f>
        <v>High</v>
      </c>
      <c r="Q360" s="6" t="str">
        <f>IF(Table1_1[[#This Row],[Age]]&lt;30,"Young",IF(Table1_1[[#This Row],[Age]]&lt;50,"Middle aged","Senior citizen"))</f>
        <v>Senior citizen</v>
      </c>
      <c r="R360" s="7">
        <f>IF(Table1_1[[#This Row],[Marriedarital SingletatuSingle]]="M",Table1_1[[#This Row],[Children]]+2,Table1_1[[#This Row],[Children]]+1)</f>
        <v>5</v>
      </c>
      <c r="S360" s="4" t="str">
        <f>IF(Table1_1[[#This Row],[Cars]]=0,"No","Yes")</f>
        <v>Yes</v>
      </c>
      <c r="T360" s="6" t="str">
        <f>IF(AND(Table1_1[[#This Row],[Income]]&gt;50000,Table1_1[[#This Row],[Home Owner]]="Yes"),"High stability","Low stability")</f>
        <v>High stability</v>
      </c>
      <c r="U360" s="3">
        <f>Table1_1[[#This Row],[Income]]/Table1_1[[#This Row],[Family size]]</f>
        <v>18000</v>
      </c>
      <c r="V360" s="6" t="str">
        <f>IF(Table1_1[[#This Row],[Occupation]]="Skilled manual","Blue collar",IF(Table1_1[[#This Row],[Occupation]]="Manual","Blue collar","White collar"))</f>
        <v>White collar</v>
      </c>
    </row>
    <row r="361" spans="1:22" x14ac:dyDescent="0.3">
      <c r="A361" t="s">
        <v>395</v>
      </c>
      <c r="B361" s="6" t="s">
        <v>1042</v>
      </c>
      <c r="C361" s="6" t="s">
        <v>1046</v>
      </c>
      <c r="D361" s="3">
        <v>80000</v>
      </c>
      <c r="E361">
        <v>0</v>
      </c>
      <c r="F361" s="6" t="s">
        <v>13</v>
      </c>
      <c r="G361" s="6" t="s">
        <v>21</v>
      </c>
      <c r="H361" s="6" t="s">
        <v>15</v>
      </c>
      <c r="I361">
        <v>3</v>
      </c>
      <c r="J361" t="s">
        <v>30</v>
      </c>
      <c r="K3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361" s="6" t="s">
        <v>24</v>
      </c>
      <c r="M361" s="7">
        <v>30</v>
      </c>
      <c r="N361" t="s">
        <v>18</v>
      </c>
      <c r="O361" s="9" t="str">
        <f>IF(Table1_1[[#This Row],[Purchased Bike]]="yes","1","0")</f>
        <v>0</v>
      </c>
      <c r="P361" s="4" t="str">
        <f>IF(Table1_1[[#This Row],[Income]]&lt;=30000,"Low ",IF(Table1_1[[#This Row],[Income]]&lt;=70000,"Middle","High"))</f>
        <v>High</v>
      </c>
      <c r="Q361" s="6" t="str">
        <f>IF(Table1_1[[#This Row],[Age]]&lt;30,"Young",IF(Table1_1[[#This Row],[Age]]&lt;50,"Middle aged","Senior citizen"))</f>
        <v>Middle aged</v>
      </c>
      <c r="R361" s="7">
        <f>IF(Table1_1[[#This Row],[Marriedarital SingletatuSingle]]="M",Table1_1[[#This Row],[Children]]+2,Table1_1[[#This Row],[Children]]+1)</f>
        <v>1</v>
      </c>
      <c r="S361" s="4" t="str">
        <f>IF(Table1_1[[#This Row],[Cars]]=0,"No","Yes")</f>
        <v>Yes</v>
      </c>
      <c r="T361" s="6" t="str">
        <f>IF(AND(Table1_1[[#This Row],[Income]]&gt;50000,Table1_1[[#This Row],[Home Owner]]="Yes"),"High stability","Low stability")</f>
        <v>High stability</v>
      </c>
      <c r="U361" s="3">
        <f>Table1_1[[#This Row],[Income]]/Table1_1[[#This Row],[Family size]]</f>
        <v>80000</v>
      </c>
      <c r="V361" s="6" t="str">
        <f>IF(Table1_1[[#This Row],[Occupation]]="Skilled manual","Blue collar",IF(Table1_1[[#This Row],[Occupation]]="Manual","Blue collar","White collar"))</f>
        <v>White collar</v>
      </c>
    </row>
    <row r="362" spans="1:22" x14ac:dyDescent="0.3">
      <c r="A362" t="s">
        <v>396</v>
      </c>
      <c r="B362" s="6" t="s">
        <v>1044</v>
      </c>
      <c r="C362" s="6" t="s">
        <v>1046</v>
      </c>
      <c r="D362" s="3">
        <v>130000</v>
      </c>
      <c r="E362">
        <v>0</v>
      </c>
      <c r="F362" s="6" t="s">
        <v>31</v>
      </c>
      <c r="G362" s="6" t="s">
        <v>28</v>
      </c>
      <c r="H362" s="6" t="s">
        <v>15</v>
      </c>
      <c r="I362">
        <v>0</v>
      </c>
      <c r="J362" t="s">
        <v>22</v>
      </c>
      <c r="K3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62" s="6" t="s">
        <v>24</v>
      </c>
      <c r="M362" s="7">
        <v>48</v>
      </c>
      <c r="N362" t="s">
        <v>15</v>
      </c>
      <c r="O362" s="9" t="str">
        <f>IF(Table1_1[[#This Row],[Purchased Bike]]="yes","1","0")</f>
        <v>1</v>
      </c>
      <c r="P362" s="4" t="str">
        <f>IF(Table1_1[[#This Row],[Income]]&lt;=30000,"Low ",IF(Table1_1[[#This Row],[Income]]&lt;=70000,"Middle","High"))</f>
        <v>High</v>
      </c>
      <c r="Q362" s="6" t="str">
        <f>IF(Table1_1[[#This Row],[Age]]&lt;30,"Young",IF(Table1_1[[#This Row],[Age]]&lt;50,"Middle aged","Senior citizen"))</f>
        <v>Middle aged</v>
      </c>
      <c r="R362" s="7">
        <f>IF(Table1_1[[#This Row],[Marriedarital SingletatuSingle]]="M",Table1_1[[#This Row],[Children]]+2,Table1_1[[#This Row],[Children]]+1)</f>
        <v>1</v>
      </c>
      <c r="S362" s="4" t="str">
        <f>IF(Table1_1[[#This Row],[Cars]]=0,"No","Yes")</f>
        <v>No</v>
      </c>
      <c r="T362" s="6" t="str">
        <f>IF(AND(Table1_1[[#This Row],[Income]]&gt;50000,Table1_1[[#This Row],[Home Owner]]="Yes"),"High stability","Low stability")</f>
        <v>High stability</v>
      </c>
      <c r="U362" s="3">
        <f>Table1_1[[#This Row],[Income]]/Table1_1[[#This Row],[Family size]]</f>
        <v>130000</v>
      </c>
      <c r="V362" s="6" t="str">
        <f>IF(Table1_1[[#This Row],[Occupation]]="Skilled manual","Blue collar",IF(Table1_1[[#This Row],[Occupation]]="Manual","Blue collar","White collar"))</f>
        <v>White collar</v>
      </c>
    </row>
    <row r="363" spans="1:22" x14ac:dyDescent="0.3">
      <c r="A363" t="s">
        <v>397</v>
      </c>
      <c r="B363" s="6" t="s">
        <v>1044</v>
      </c>
      <c r="C363" s="6" t="s">
        <v>1045</v>
      </c>
      <c r="D363" s="3">
        <v>30000</v>
      </c>
      <c r="E363">
        <v>3</v>
      </c>
      <c r="F363" s="6" t="s">
        <v>19</v>
      </c>
      <c r="G363" s="6" t="s">
        <v>20</v>
      </c>
      <c r="H363" s="6" t="s">
        <v>18</v>
      </c>
      <c r="I363">
        <v>2</v>
      </c>
      <c r="J363" t="s">
        <v>16</v>
      </c>
      <c r="K3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63" s="6" t="s">
        <v>17</v>
      </c>
      <c r="M363" s="7">
        <v>27</v>
      </c>
      <c r="N363" t="s">
        <v>15</v>
      </c>
      <c r="O363" s="9" t="str">
        <f>IF(Table1_1[[#This Row],[Purchased Bike]]="yes","1","0")</f>
        <v>1</v>
      </c>
      <c r="P363" s="4" t="str">
        <f>IF(Table1_1[[#This Row],[Income]]&lt;=30000,"Low ",IF(Table1_1[[#This Row],[Income]]&lt;=70000,"Middle","High"))</f>
        <v xml:space="preserve">Low </v>
      </c>
      <c r="Q363" s="6" t="str">
        <f>IF(Table1_1[[#This Row],[Age]]&lt;30,"Young",IF(Table1_1[[#This Row],[Age]]&lt;50,"Middle aged","Senior citizen"))</f>
        <v>Young</v>
      </c>
      <c r="R363" s="7">
        <f>IF(Table1_1[[#This Row],[Marriedarital SingletatuSingle]]="M",Table1_1[[#This Row],[Children]]+2,Table1_1[[#This Row],[Children]]+1)</f>
        <v>4</v>
      </c>
      <c r="S363" s="4" t="str">
        <f>IF(Table1_1[[#This Row],[Cars]]=0,"No","Yes")</f>
        <v>Yes</v>
      </c>
      <c r="T363" s="6" t="str">
        <f>IF(AND(Table1_1[[#This Row],[Income]]&gt;50000,Table1_1[[#This Row],[Home Owner]]="Yes"),"High stability","Low stability")</f>
        <v>Low stability</v>
      </c>
      <c r="U363" s="3">
        <f>Table1_1[[#This Row],[Income]]/Table1_1[[#This Row],[Family size]]</f>
        <v>7500</v>
      </c>
      <c r="V363" s="6" t="str">
        <f>IF(Table1_1[[#This Row],[Occupation]]="Skilled manual","Blue collar",IF(Table1_1[[#This Row],[Occupation]]="Manual","Blue collar","White collar"))</f>
        <v>White collar</v>
      </c>
    </row>
    <row r="364" spans="1:22" x14ac:dyDescent="0.3">
      <c r="A364" t="s">
        <v>398</v>
      </c>
      <c r="B364" s="6" t="s">
        <v>1042</v>
      </c>
      <c r="C364" s="6" t="s">
        <v>1046</v>
      </c>
      <c r="D364" s="3">
        <v>40000</v>
      </c>
      <c r="E364">
        <v>1</v>
      </c>
      <c r="F364" s="6" t="s">
        <v>13</v>
      </c>
      <c r="G364" s="6" t="s">
        <v>14</v>
      </c>
      <c r="H364" s="6" t="s">
        <v>15</v>
      </c>
      <c r="I364">
        <v>1</v>
      </c>
      <c r="J364" t="s">
        <v>16</v>
      </c>
      <c r="K3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64" s="6" t="s">
        <v>17</v>
      </c>
      <c r="M364" s="7">
        <v>33</v>
      </c>
      <c r="N364" t="s">
        <v>15</v>
      </c>
      <c r="O364" s="9" t="str">
        <f>IF(Table1_1[[#This Row],[Purchased Bike]]="yes","1","0")</f>
        <v>1</v>
      </c>
      <c r="P364" s="4" t="str">
        <f>IF(Table1_1[[#This Row],[Income]]&lt;=30000,"Low ",IF(Table1_1[[#This Row],[Income]]&lt;=70000,"Middle","High"))</f>
        <v>Middle</v>
      </c>
      <c r="Q364" s="6" t="str">
        <f>IF(Table1_1[[#This Row],[Age]]&lt;30,"Young",IF(Table1_1[[#This Row],[Age]]&lt;50,"Middle aged","Senior citizen"))</f>
        <v>Middle aged</v>
      </c>
      <c r="R364" s="7">
        <f>IF(Table1_1[[#This Row],[Marriedarital SingletatuSingle]]="M",Table1_1[[#This Row],[Children]]+2,Table1_1[[#This Row],[Children]]+1)</f>
        <v>2</v>
      </c>
      <c r="S364" s="4" t="str">
        <f>IF(Table1_1[[#This Row],[Cars]]=0,"No","Yes")</f>
        <v>Yes</v>
      </c>
      <c r="T364" s="6" t="str">
        <f>IF(AND(Table1_1[[#This Row],[Income]]&gt;50000,Table1_1[[#This Row],[Home Owner]]="Yes"),"High stability","Low stability")</f>
        <v>Low stability</v>
      </c>
      <c r="U364" s="3">
        <f>Table1_1[[#This Row],[Income]]/Table1_1[[#This Row],[Family size]]</f>
        <v>20000</v>
      </c>
      <c r="V364" s="6" t="str">
        <f>IF(Table1_1[[#This Row],[Occupation]]="Skilled manual","Blue collar",IF(Table1_1[[#This Row],[Occupation]]="Manual","Blue collar","White collar"))</f>
        <v>Blue collar</v>
      </c>
    </row>
    <row r="365" spans="1:22" x14ac:dyDescent="0.3">
      <c r="A365" t="s">
        <v>399</v>
      </c>
      <c r="B365" s="6" t="s">
        <v>1042</v>
      </c>
      <c r="C365" s="6" t="s">
        <v>1045</v>
      </c>
      <c r="D365" s="3">
        <v>40000</v>
      </c>
      <c r="E365">
        <v>2</v>
      </c>
      <c r="F365" s="6" t="s">
        <v>13</v>
      </c>
      <c r="G365" s="6" t="s">
        <v>28</v>
      </c>
      <c r="H365" s="6" t="s">
        <v>15</v>
      </c>
      <c r="I365">
        <v>2</v>
      </c>
      <c r="J365" t="s">
        <v>16</v>
      </c>
      <c r="K3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65" s="6" t="s">
        <v>24</v>
      </c>
      <c r="M365" s="7">
        <v>66</v>
      </c>
      <c r="N365" t="s">
        <v>15</v>
      </c>
      <c r="O365" s="9" t="str">
        <f>IF(Table1_1[[#This Row],[Purchased Bike]]="yes","1","0")</f>
        <v>1</v>
      </c>
      <c r="P365" s="4" t="str">
        <f>IF(Table1_1[[#This Row],[Income]]&lt;=30000,"Low ",IF(Table1_1[[#This Row],[Income]]&lt;=70000,"Middle","High"))</f>
        <v>Middle</v>
      </c>
      <c r="Q365" s="6" t="str">
        <f>IF(Table1_1[[#This Row],[Age]]&lt;30,"Young",IF(Table1_1[[#This Row],[Age]]&lt;50,"Middle aged","Senior citizen"))</f>
        <v>Senior citizen</v>
      </c>
      <c r="R365" s="7">
        <f>IF(Table1_1[[#This Row],[Marriedarital SingletatuSingle]]="M",Table1_1[[#This Row],[Children]]+2,Table1_1[[#This Row],[Children]]+1)</f>
        <v>3</v>
      </c>
      <c r="S365" s="4" t="str">
        <f>IF(Table1_1[[#This Row],[Cars]]=0,"No","Yes")</f>
        <v>Yes</v>
      </c>
      <c r="T365" s="6" t="str">
        <f>IF(AND(Table1_1[[#This Row],[Income]]&gt;50000,Table1_1[[#This Row],[Home Owner]]="Yes"),"High stability","Low stability")</f>
        <v>Low stability</v>
      </c>
      <c r="U365" s="3">
        <f>Table1_1[[#This Row],[Income]]/Table1_1[[#This Row],[Family size]]</f>
        <v>13333.333333333334</v>
      </c>
      <c r="V365" s="6" t="str">
        <f>IF(Table1_1[[#This Row],[Occupation]]="Skilled manual","Blue collar",IF(Table1_1[[#This Row],[Occupation]]="Manual","Blue collar","White collar"))</f>
        <v>White collar</v>
      </c>
    </row>
    <row r="366" spans="1:22" x14ac:dyDescent="0.3">
      <c r="A366" t="s">
        <v>400</v>
      </c>
      <c r="B366" s="6" t="s">
        <v>1044</v>
      </c>
      <c r="C366" s="6" t="s">
        <v>1045</v>
      </c>
      <c r="D366" s="3">
        <v>10000</v>
      </c>
      <c r="E366">
        <v>2</v>
      </c>
      <c r="F366" s="6" t="s">
        <v>27</v>
      </c>
      <c r="G366" s="6" t="s">
        <v>25</v>
      </c>
      <c r="H366" s="6" t="s">
        <v>15</v>
      </c>
      <c r="I366">
        <v>1</v>
      </c>
      <c r="J366" t="s">
        <v>16</v>
      </c>
      <c r="K3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66" s="6" t="s">
        <v>17</v>
      </c>
      <c r="M366" s="7">
        <v>38</v>
      </c>
      <c r="N366" t="s">
        <v>15</v>
      </c>
      <c r="O366" s="9" t="str">
        <f>IF(Table1_1[[#This Row],[Purchased Bike]]="yes","1","0")</f>
        <v>1</v>
      </c>
      <c r="P366" s="4" t="str">
        <f>IF(Table1_1[[#This Row],[Income]]&lt;=30000,"Low ",IF(Table1_1[[#This Row],[Income]]&lt;=70000,"Middle","High"))</f>
        <v xml:space="preserve">Low </v>
      </c>
      <c r="Q366" s="6" t="str">
        <f>IF(Table1_1[[#This Row],[Age]]&lt;30,"Young",IF(Table1_1[[#This Row],[Age]]&lt;50,"Middle aged","Senior citizen"))</f>
        <v>Middle aged</v>
      </c>
      <c r="R366" s="7">
        <f>IF(Table1_1[[#This Row],[Marriedarital SingletatuSingle]]="M",Table1_1[[#This Row],[Children]]+2,Table1_1[[#This Row],[Children]]+1)</f>
        <v>3</v>
      </c>
      <c r="S366" s="4" t="str">
        <f>IF(Table1_1[[#This Row],[Cars]]=0,"No","Yes")</f>
        <v>Yes</v>
      </c>
      <c r="T366" s="6" t="str">
        <f>IF(AND(Table1_1[[#This Row],[Income]]&gt;50000,Table1_1[[#This Row],[Home Owner]]="Yes"),"High stability","Low stability")</f>
        <v>Low stability</v>
      </c>
      <c r="U366" s="3">
        <f>Table1_1[[#This Row],[Income]]/Table1_1[[#This Row],[Family size]]</f>
        <v>3333.3333333333335</v>
      </c>
      <c r="V366" s="6" t="str">
        <f>IF(Table1_1[[#This Row],[Occupation]]="Skilled manual","Blue collar",IF(Table1_1[[#This Row],[Occupation]]="Manual","Blue collar","White collar"))</f>
        <v>Blue collar</v>
      </c>
    </row>
    <row r="367" spans="1:22" x14ac:dyDescent="0.3">
      <c r="A367" t="s">
        <v>401</v>
      </c>
      <c r="B367" s="6" t="s">
        <v>1044</v>
      </c>
      <c r="C367" s="6" t="s">
        <v>1045</v>
      </c>
      <c r="D367" s="3">
        <v>40000</v>
      </c>
      <c r="E367">
        <v>0</v>
      </c>
      <c r="F367" s="6" t="s">
        <v>13</v>
      </c>
      <c r="G367" s="6" t="s">
        <v>20</v>
      </c>
      <c r="H367" s="6" t="s">
        <v>18</v>
      </c>
      <c r="I367">
        <v>0</v>
      </c>
      <c r="J367" t="s">
        <v>16</v>
      </c>
      <c r="K3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67" s="6" t="s">
        <v>17</v>
      </c>
      <c r="M367" s="7">
        <v>38</v>
      </c>
      <c r="N367" t="s">
        <v>15</v>
      </c>
      <c r="O367" s="9" t="str">
        <f>IF(Table1_1[[#This Row],[Purchased Bike]]="yes","1","0")</f>
        <v>1</v>
      </c>
      <c r="P367" s="4" t="str">
        <f>IF(Table1_1[[#This Row],[Income]]&lt;=30000,"Low ",IF(Table1_1[[#This Row],[Income]]&lt;=70000,"Middle","High"))</f>
        <v>Middle</v>
      </c>
      <c r="Q367" s="6" t="str">
        <f>IF(Table1_1[[#This Row],[Age]]&lt;30,"Young",IF(Table1_1[[#This Row],[Age]]&lt;50,"Middle aged","Senior citizen"))</f>
        <v>Middle aged</v>
      </c>
      <c r="R367" s="7">
        <f>IF(Table1_1[[#This Row],[Marriedarital SingletatuSingle]]="M",Table1_1[[#This Row],[Children]]+2,Table1_1[[#This Row],[Children]]+1)</f>
        <v>1</v>
      </c>
      <c r="S367" s="4" t="str">
        <f>IF(Table1_1[[#This Row],[Cars]]=0,"No","Yes")</f>
        <v>No</v>
      </c>
      <c r="T367" s="6" t="str">
        <f>IF(AND(Table1_1[[#This Row],[Income]]&gt;50000,Table1_1[[#This Row],[Home Owner]]="Yes"),"High stability","Low stability")</f>
        <v>Low stability</v>
      </c>
      <c r="U367" s="3">
        <f>Table1_1[[#This Row],[Income]]/Table1_1[[#This Row],[Family size]]</f>
        <v>40000</v>
      </c>
      <c r="V367" s="6" t="str">
        <f>IF(Table1_1[[#This Row],[Occupation]]="Skilled manual","Blue collar",IF(Table1_1[[#This Row],[Occupation]]="Manual","Blue collar","White collar"))</f>
        <v>White collar</v>
      </c>
    </row>
    <row r="368" spans="1:22" x14ac:dyDescent="0.3">
      <c r="A368" t="s">
        <v>402</v>
      </c>
      <c r="B368" s="6" t="s">
        <v>1042</v>
      </c>
      <c r="C368" s="6" t="s">
        <v>1046</v>
      </c>
      <c r="D368" s="3">
        <v>60000</v>
      </c>
      <c r="E368">
        <v>1</v>
      </c>
      <c r="F368" s="6" t="s">
        <v>19</v>
      </c>
      <c r="G368" s="6" t="s">
        <v>14</v>
      </c>
      <c r="H368" s="6" t="s">
        <v>15</v>
      </c>
      <c r="I368">
        <v>1</v>
      </c>
      <c r="J368" t="s">
        <v>16</v>
      </c>
      <c r="K3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68" s="6" t="s">
        <v>24</v>
      </c>
      <c r="M368" s="7">
        <v>45</v>
      </c>
      <c r="N368" t="s">
        <v>15</v>
      </c>
      <c r="O368" s="9" t="str">
        <f>IF(Table1_1[[#This Row],[Purchased Bike]]="yes","1","0")</f>
        <v>1</v>
      </c>
      <c r="P368" s="4" t="str">
        <f>IF(Table1_1[[#This Row],[Income]]&lt;=30000,"Low ",IF(Table1_1[[#This Row],[Income]]&lt;=70000,"Middle","High"))</f>
        <v>Middle</v>
      </c>
      <c r="Q368" s="6" t="str">
        <f>IF(Table1_1[[#This Row],[Age]]&lt;30,"Young",IF(Table1_1[[#This Row],[Age]]&lt;50,"Middle aged","Senior citizen"))</f>
        <v>Middle aged</v>
      </c>
      <c r="R368" s="7">
        <f>IF(Table1_1[[#This Row],[Marriedarital SingletatuSingle]]="M",Table1_1[[#This Row],[Children]]+2,Table1_1[[#This Row],[Children]]+1)</f>
        <v>2</v>
      </c>
      <c r="S368" s="4" t="str">
        <f>IF(Table1_1[[#This Row],[Cars]]=0,"No","Yes")</f>
        <v>Yes</v>
      </c>
      <c r="T368" s="6" t="str">
        <f>IF(AND(Table1_1[[#This Row],[Income]]&gt;50000,Table1_1[[#This Row],[Home Owner]]="Yes"),"High stability","Low stability")</f>
        <v>High stability</v>
      </c>
      <c r="U368" s="3">
        <f>Table1_1[[#This Row],[Income]]/Table1_1[[#This Row],[Family size]]</f>
        <v>30000</v>
      </c>
      <c r="V368" s="6" t="str">
        <f>IF(Table1_1[[#This Row],[Occupation]]="Skilled manual","Blue collar",IF(Table1_1[[#This Row],[Occupation]]="Manual","Blue collar","White collar"))</f>
        <v>Blue collar</v>
      </c>
    </row>
    <row r="369" spans="1:22" x14ac:dyDescent="0.3">
      <c r="A369" t="s">
        <v>403</v>
      </c>
      <c r="B369" s="6" t="s">
        <v>1042</v>
      </c>
      <c r="C369" s="6" t="s">
        <v>1045</v>
      </c>
      <c r="D369" s="3">
        <v>130000</v>
      </c>
      <c r="E369">
        <v>3</v>
      </c>
      <c r="F369" s="6" t="s">
        <v>19</v>
      </c>
      <c r="G369" s="6" t="s">
        <v>21</v>
      </c>
      <c r="H369" s="6" t="s">
        <v>15</v>
      </c>
      <c r="I369">
        <v>3</v>
      </c>
      <c r="J369" t="s">
        <v>23</v>
      </c>
      <c r="K3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69" s="6" t="s">
        <v>17</v>
      </c>
      <c r="M369" s="7">
        <v>50</v>
      </c>
      <c r="N369" t="s">
        <v>15</v>
      </c>
      <c r="O369" s="9" t="str">
        <f>IF(Table1_1[[#This Row],[Purchased Bike]]="yes","1","0")</f>
        <v>1</v>
      </c>
      <c r="P369" s="4" t="str">
        <f>IF(Table1_1[[#This Row],[Income]]&lt;=30000,"Low ",IF(Table1_1[[#This Row],[Income]]&lt;=70000,"Middle","High"))</f>
        <v>High</v>
      </c>
      <c r="Q369" s="6" t="str">
        <f>IF(Table1_1[[#This Row],[Age]]&lt;30,"Young",IF(Table1_1[[#This Row],[Age]]&lt;50,"Middle aged","Senior citizen"))</f>
        <v>Senior citizen</v>
      </c>
      <c r="R369" s="7">
        <f>IF(Table1_1[[#This Row],[Marriedarital SingletatuSingle]]="M",Table1_1[[#This Row],[Children]]+2,Table1_1[[#This Row],[Children]]+1)</f>
        <v>4</v>
      </c>
      <c r="S369" s="4" t="str">
        <f>IF(Table1_1[[#This Row],[Cars]]=0,"No","Yes")</f>
        <v>Yes</v>
      </c>
      <c r="T369" s="6" t="str">
        <f>IF(AND(Table1_1[[#This Row],[Income]]&gt;50000,Table1_1[[#This Row],[Home Owner]]="Yes"),"High stability","Low stability")</f>
        <v>High stability</v>
      </c>
      <c r="U369" s="3">
        <f>Table1_1[[#This Row],[Income]]/Table1_1[[#This Row],[Family size]]</f>
        <v>32500</v>
      </c>
      <c r="V369" s="6" t="str">
        <f>IF(Table1_1[[#This Row],[Occupation]]="Skilled manual","Blue collar",IF(Table1_1[[#This Row],[Occupation]]="Manual","Blue collar","White collar"))</f>
        <v>White collar</v>
      </c>
    </row>
    <row r="370" spans="1:22" x14ac:dyDescent="0.3">
      <c r="A370" t="s">
        <v>404</v>
      </c>
      <c r="B370" s="6" t="s">
        <v>1044</v>
      </c>
      <c r="C370" s="6" t="s">
        <v>1045</v>
      </c>
      <c r="D370" s="3">
        <v>30000</v>
      </c>
      <c r="E370">
        <v>2</v>
      </c>
      <c r="F370" s="6" t="s">
        <v>19</v>
      </c>
      <c r="G370" s="6" t="s">
        <v>20</v>
      </c>
      <c r="H370" s="6" t="s">
        <v>18</v>
      </c>
      <c r="I370">
        <v>2</v>
      </c>
      <c r="J370" t="s">
        <v>23</v>
      </c>
      <c r="K3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70" s="6" t="s">
        <v>24</v>
      </c>
      <c r="M370" s="7">
        <v>60</v>
      </c>
      <c r="N370" t="s">
        <v>15</v>
      </c>
      <c r="O370" s="9" t="str">
        <f>IF(Table1_1[[#This Row],[Purchased Bike]]="yes","1","0")</f>
        <v>1</v>
      </c>
      <c r="P370" s="4" t="str">
        <f>IF(Table1_1[[#This Row],[Income]]&lt;=30000,"Low ",IF(Table1_1[[#This Row],[Income]]&lt;=70000,"Middle","High"))</f>
        <v xml:space="preserve">Low </v>
      </c>
      <c r="Q370" s="6" t="str">
        <f>IF(Table1_1[[#This Row],[Age]]&lt;30,"Young",IF(Table1_1[[#This Row],[Age]]&lt;50,"Middle aged","Senior citizen"))</f>
        <v>Senior citizen</v>
      </c>
      <c r="R370" s="7">
        <f>IF(Table1_1[[#This Row],[Marriedarital SingletatuSingle]]="M",Table1_1[[#This Row],[Children]]+2,Table1_1[[#This Row],[Children]]+1)</f>
        <v>3</v>
      </c>
      <c r="S370" s="4" t="str">
        <f>IF(Table1_1[[#This Row],[Cars]]=0,"No","Yes")</f>
        <v>Yes</v>
      </c>
      <c r="T370" s="6" t="str">
        <f>IF(AND(Table1_1[[#This Row],[Income]]&gt;50000,Table1_1[[#This Row],[Home Owner]]="Yes"),"High stability","Low stability")</f>
        <v>Low stability</v>
      </c>
      <c r="U370" s="3">
        <f>Table1_1[[#This Row],[Income]]/Table1_1[[#This Row],[Family size]]</f>
        <v>10000</v>
      </c>
      <c r="V370" s="6" t="str">
        <f>IF(Table1_1[[#This Row],[Occupation]]="Skilled manual","Blue collar",IF(Table1_1[[#This Row],[Occupation]]="Manual","Blue collar","White collar"))</f>
        <v>White collar</v>
      </c>
    </row>
    <row r="371" spans="1:22" x14ac:dyDescent="0.3">
      <c r="A371" t="s">
        <v>405</v>
      </c>
      <c r="B371" s="6" t="s">
        <v>1044</v>
      </c>
      <c r="C371" s="6" t="s">
        <v>1045</v>
      </c>
      <c r="D371" s="3">
        <v>20000</v>
      </c>
      <c r="E371">
        <v>2</v>
      </c>
      <c r="F371" s="6" t="s">
        <v>19</v>
      </c>
      <c r="G371" s="6" t="s">
        <v>25</v>
      </c>
      <c r="H371" s="6" t="s">
        <v>18</v>
      </c>
      <c r="I371">
        <v>1</v>
      </c>
      <c r="J371" t="s">
        <v>16</v>
      </c>
      <c r="K3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71" s="6" t="s">
        <v>17</v>
      </c>
      <c r="M371" s="7">
        <v>53</v>
      </c>
      <c r="N371" t="s">
        <v>15</v>
      </c>
      <c r="O371" s="9" t="str">
        <f>IF(Table1_1[[#This Row],[Purchased Bike]]="yes","1","0")</f>
        <v>1</v>
      </c>
      <c r="P371" s="4" t="str">
        <f>IF(Table1_1[[#This Row],[Income]]&lt;=30000,"Low ",IF(Table1_1[[#This Row],[Income]]&lt;=70000,"Middle","High"))</f>
        <v xml:space="preserve">Low </v>
      </c>
      <c r="Q371" s="6" t="str">
        <f>IF(Table1_1[[#This Row],[Age]]&lt;30,"Young",IF(Table1_1[[#This Row],[Age]]&lt;50,"Middle aged","Senior citizen"))</f>
        <v>Senior citizen</v>
      </c>
      <c r="R371" s="7">
        <f>IF(Table1_1[[#This Row],[Marriedarital SingletatuSingle]]="M",Table1_1[[#This Row],[Children]]+2,Table1_1[[#This Row],[Children]]+1)</f>
        <v>3</v>
      </c>
      <c r="S371" s="4" t="str">
        <f>IF(Table1_1[[#This Row],[Cars]]=0,"No","Yes")</f>
        <v>Yes</v>
      </c>
      <c r="T371" s="6" t="str">
        <f>IF(AND(Table1_1[[#This Row],[Income]]&gt;50000,Table1_1[[#This Row],[Home Owner]]="Yes"),"High stability","Low stability")</f>
        <v>Low stability</v>
      </c>
      <c r="U371" s="3">
        <f>Table1_1[[#This Row],[Income]]/Table1_1[[#This Row],[Family size]]</f>
        <v>6666.666666666667</v>
      </c>
      <c r="V371" s="6" t="str">
        <f>IF(Table1_1[[#This Row],[Occupation]]="Skilled manual","Blue collar",IF(Table1_1[[#This Row],[Occupation]]="Manual","Blue collar","White collar"))</f>
        <v>Blue collar</v>
      </c>
    </row>
    <row r="372" spans="1:22" x14ac:dyDescent="0.3">
      <c r="A372" t="s">
        <v>406</v>
      </c>
      <c r="B372" s="6" t="s">
        <v>1042</v>
      </c>
      <c r="C372" s="6" t="s">
        <v>1045</v>
      </c>
      <c r="D372" s="3">
        <v>100000</v>
      </c>
      <c r="E372">
        <v>4</v>
      </c>
      <c r="F372" s="6" t="s">
        <v>13</v>
      </c>
      <c r="G372" s="6" t="s">
        <v>21</v>
      </c>
      <c r="H372" s="6" t="s">
        <v>15</v>
      </c>
      <c r="I372">
        <v>1</v>
      </c>
      <c r="J372" t="s">
        <v>30</v>
      </c>
      <c r="K3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372" s="6" t="s">
        <v>24</v>
      </c>
      <c r="M372" s="7">
        <v>46</v>
      </c>
      <c r="N372" t="s">
        <v>18</v>
      </c>
      <c r="O372" s="9" t="str">
        <f>IF(Table1_1[[#This Row],[Purchased Bike]]="yes","1","0")</f>
        <v>0</v>
      </c>
      <c r="P372" s="4" t="str">
        <f>IF(Table1_1[[#This Row],[Income]]&lt;=30000,"Low ",IF(Table1_1[[#This Row],[Income]]&lt;=70000,"Middle","High"))</f>
        <v>High</v>
      </c>
      <c r="Q372" s="6" t="str">
        <f>IF(Table1_1[[#This Row],[Age]]&lt;30,"Young",IF(Table1_1[[#This Row],[Age]]&lt;50,"Middle aged","Senior citizen"))</f>
        <v>Middle aged</v>
      </c>
      <c r="R372" s="7">
        <f>IF(Table1_1[[#This Row],[Marriedarital SingletatuSingle]]="M",Table1_1[[#This Row],[Children]]+2,Table1_1[[#This Row],[Children]]+1)</f>
        <v>5</v>
      </c>
      <c r="S372" s="4" t="str">
        <f>IF(Table1_1[[#This Row],[Cars]]=0,"No","Yes")</f>
        <v>Yes</v>
      </c>
      <c r="T372" s="6" t="str">
        <f>IF(AND(Table1_1[[#This Row],[Income]]&gt;50000,Table1_1[[#This Row],[Home Owner]]="Yes"),"High stability","Low stability")</f>
        <v>High stability</v>
      </c>
      <c r="U372" s="3">
        <f>Table1_1[[#This Row],[Income]]/Table1_1[[#This Row],[Family size]]</f>
        <v>20000</v>
      </c>
      <c r="V372" s="6" t="str">
        <f>IF(Table1_1[[#This Row],[Occupation]]="Skilled manual","Blue collar",IF(Table1_1[[#This Row],[Occupation]]="Manual","Blue collar","White collar"))</f>
        <v>White collar</v>
      </c>
    </row>
    <row r="373" spans="1:22" x14ac:dyDescent="0.3">
      <c r="A373" t="s">
        <v>407</v>
      </c>
      <c r="B373" s="6" t="s">
        <v>1044</v>
      </c>
      <c r="C373" s="6" t="s">
        <v>1046</v>
      </c>
      <c r="D373" s="3">
        <v>80000</v>
      </c>
      <c r="E373">
        <v>5</v>
      </c>
      <c r="F373" s="6" t="s">
        <v>31</v>
      </c>
      <c r="G373" s="6" t="s">
        <v>28</v>
      </c>
      <c r="H373" s="6" t="s">
        <v>15</v>
      </c>
      <c r="I373">
        <v>3</v>
      </c>
      <c r="J373" t="s">
        <v>16</v>
      </c>
      <c r="K3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73" s="6" t="s">
        <v>24</v>
      </c>
      <c r="M373" s="7">
        <v>50</v>
      </c>
      <c r="N373" t="s">
        <v>18</v>
      </c>
      <c r="O373" s="9" t="str">
        <f>IF(Table1_1[[#This Row],[Purchased Bike]]="yes","1","0")</f>
        <v>0</v>
      </c>
      <c r="P373" s="4" t="str">
        <f>IF(Table1_1[[#This Row],[Income]]&lt;=30000,"Low ",IF(Table1_1[[#This Row],[Income]]&lt;=70000,"Middle","High"))</f>
        <v>High</v>
      </c>
      <c r="Q373" s="6" t="str">
        <f>IF(Table1_1[[#This Row],[Age]]&lt;30,"Young",IF(Table1_1[[#This Row],[Age]]&lt;50,"Middle aged","Senior citizen"))</f>
        <v>Senior citizen</v>
      </c>
      <c r="R373" s="7">
        <f>IF(Table1_1[[#This Row],[Marriedarital SingletatuSingle]]="M",Table1_1[[#This Row],[Children]]+2,Table1_1[[#This Row],[Children]]+1)</f>
        <v>6</v>
      </c>
      <c r="S373" s="4" t="str">
        <f>IF(Table1_1[[#This Row],[Cars]]=0,"No","Yes")</f>
        <v>Yes</v>
      </c>
      <c r="T373" s="6" t="str">
        <f>IF(AND(Table1_1[[#This Row],[Income]]&gt;50000,Table1_1[[#This Row],[Home Owner]]="Yes"),"High stability","Low stability")</f>
        <v>High stability</v>
      </c>
      <c r="U373" s="3">
        <f>Table1_1[[#This Row],[Income]]/Table1_1[[#This Row],[Family size]]</f>
        <v>13333.333333333334</v>
      </c>
      <c r="V373" s="6" t="str">
        <f>IF(Table1_1[[#This Row],[Occupation]]="Skilled manual","Blue collar",IF(Table1_1[[#This Row],[Occupation]]="Manual","Blue collar","White collar"))</f>
        <v>White collar</v>
      </c>
    </row>
    <row r="374" spans="1:22" x14ac:dyDescent="0.3">
      <c r="A374" t="s">
        <v>408</v>
      </c>
      <c r="B374" s="6" t="s">
        <v>1042</v>
      </c>
      <c r="C374" s="6" t="s">
        <v>1046</v>
      </c>
      <c r="D374" s="3">
        <v>40000</v>
      </c>
      <c r="E374">
        <v>1</v>
      </c>
      <c r="F374" s="6" t="s">
        <v>13</v>
      </c>
      <c r="G374" s="6" t="s">
        <v>14</v>
      </c>
      <c r="H374" s="6" t="s">
        <v>15</v>
      </c>
      <c r="I374">
        <v>1</v>
      </c>
      <c r="J374" t="s">
        <v>16</v>
      </c>
      <c r="K3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74" s="6" t="s">
        <v>17</v>
      </c>
      <c r="M374" s="7">
        <v>43</v>
      </c>
      <c r="N374" t="s">
        <v>15</v>
      </c>
      <c r="O374" s="9" t="str">
        <f>IF(Table1_1[[#This Row],[Purchased Bike]]="yes","1","0")</f>
        <v>1</v>
      </c>
      <c r="P374" s="4" t="str">
        <f>IF(Table1_1[[#This Row],[Income]]&lt;=30000,"Low ",IF(Table1_1[[#This Row],[Income]]&lt;=70000,"Middle","High"))</f>
        <v>Middle</v>
      </c>
      <c r="Q374" s="6" t="str">
        <f>IF(Table1_1[[#This Row],[Age]]&lt;30,"Young",IF(Table1_1[[#This Row],[Age]]&lt;50,"Middle aged","Senior citizen"))</f>
        <v>Middle aged</v>
      </c>
      <c r="R374" s="7">
        <f>IF(Table1_1[[#This Row],[Marriedarital SingletatuSingle]]="M",Table1_1[[#This Row],[Children]]+2,Table1_1[[#This Row],[Children]]+1)</f>
        <v>2</v>
      </c>
      <c r="S374" s="4" t="str">
        <f>IF(Table1_1[[#This Row],[Cars]]=0,"No","Yes")</f>
        <v>Yes</v>
      </c>
      <c r="T374" s="6" t="str">
        <f>IF(AND(Table1_1[[#This Row],[Income]]&gt;50000,Table1_1[[#This Row],[Home Owner]]="Yes"),"High stability","Low stability")</f>
        <v>Low stability</v>
      </c>
      <c r="U374" s="3">
        <f>Table1_1[[#This Row],[Income]]/Table1_1[[#This Row],[Family size]]</f>
        <v>20000</v>
      </c>
      <c r="V374" s="6" t="str">
        <f>IF(Table1_1[[#This Row],[Occupation]]="Skilled manual","Blue collar",IF(Table1_1[[#This Row],[Occupation]]="Manual","Blue collar","White collar"))</f>
        <v>Blue collar</v>
      </c>
    </row>
    <row r="375" spans="1:22" x14ac:dyDescent="0.3">
      <c r="A375" t="s">
        <v>409</v>
      </c>
      <c r="B375" s="6" t="s">
        <v>1044</v>
      </c>
      <c r="C375" s="6" t="s">
        <v>1046</v>
      </c>
      <c r="D375" s="3">
        <v>20000</v>
      </c>
      <c r="E375">
        <v>0</v>
      </c>
      <c r="F375" s="6" t="s">
        <v>27</v>
      </c>
      <c r="G375" s="6" t="s">
        <v>25</v>
      </c>
      <c r="H375" s="6" t="s">
        <v>18</v>
      </c>
      <c r="I375">
        <v>1</v>
      </c>
      <c r="J375" t="s">
        <v>22</v>
      </c>
      <c r="K3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75" s="6" t="s">
        <v>17</v>
      </c>
      <c r="M375" s="7">
        <v>30</v>
      </c>
      <c r="N375" t="s">
        <v>18</v>
      </c>
      <c r="O375" s="9" t="str">
        <f>IF(Table1_1[[#This Row],[Purchased Bike]]="yes","1","0")</f>
        <v>0</v>
      </c>
      <c r="P375" s="4" t="str">
        <f>IF(Table1_1[[#This Row],[Income]]&lt;=30000,"Low ",IF(Table1_1[[#This Row],[Income]]&lt;=70000,"Middle","High"))</f>
        <v xml:space="preserve">Low </v>
      </c>
      <c r="Q375" s="6" t="str">
        <f>IF(Table1_1[[#This Row],[Age]]&lt;30,"Young",IF(Table1_1[[#This Row],[Age]]&lt;50,"Middle aged","Senior citizen"))</f>
        <v>Middle aged</v>
      </c>
      <c r="R375" s="7">
        <f>IF(Table1_1[[#This Row],[Marriedarital SingletatuSingle]]="M",Table1_1[[#This Row],[Children]]+2,Table1_1[[#This Row],[Children]]+1)</f>
        <v>1</v>
      </c>
      <c r="S375" s="4" t="str">
        <f>IF(Table1_1[[#This Row],[Cars]]=0,"No","Yes")</f>
        <v>Yes</v>
      </c>
      <c r="T375" s="6" t="str">
        <f>IF(AND(Table1_1[[#This Row],[Income]]&gt;50000,Table1_1[[#This Row],[Home Owner]]="Yes"),"High stability","Low stability")</f>
        <v>Low stability</v>
      </c>
      <c r="U375" s="3">
        <f>Table1_1[[#This Row],[Income]]/Table1_1[[#This Row],[Family size]]</f>
        <v>20000</v>
      </c>
      <c r="V375" s="6" t="str">
        <f>IF(Table1_1[[#This Row],[Occupation]]="Skilled manual","Blue collar",IF(Table1_1[[#This Row],[Occupation]]="Manual","Blue collar","White collar"))</f>
        <v>Blue collar</v>
      </c>
    </row>
    <row r="376" spans="1:22" x14ac:dyDescent="0.3">
      <c r="A376" t="s">
        <v>410</v>
      </c>
      <c r="B376" s="6" t="s">
        <v>1044</v>
      </c>
      <c r="C376" s="6" t="s">
        <v>1045</v>
      </c>
      <c r="D376" s="3">
        <v>80000</v>
      </c>
      <c r="E376">
        <v>5</v>
      </c>
      <c r="F376" s="6" t="s">
        <v>13</v>
      </c>
      <c r="G376" s="6" t="s">
        <v>21</v>
      </c>
      <c r="H376" s="6" t="s">
        <v>15</v>
      </c>
      <c r="I376">
        <v>4</v>
      </c>
      <c r="J376" t="s">
        <v>26</v>
      </c>
      <c r="K3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76" s="6" t="s">
        <v>24</v>
      </c>
      <c r="M376" s="7">
        <v>38</v>
      </c>
      <c r="N376" t="s">
        <v>18</v>
      </c>
      <c r="O376" s="9" t="str">
        <f>IF(Table1_1[[#This Row],[Purchased Bike]]="yes","1","0")</f>
        <v>0</v>
      </c>
      <c r="P376" s="4" t="str">
        <f>IF(Table1_1[[#This Row],[Income]]&lt;=30000,"Low ",IF(Table1_1[[#This Row],[Income]]&lt;=70000,"Middle","High"))</f>
        <v>High</v>
      </c>
      <c r="Q376" s="6" t="str">
        <f>IF(Table1_1[[#This Row],[Age]]&lt;30,"Young",IF(Table1_1[[#This Row],[Age]]&lt;50,"Middle aged","Senior citizen"))</f>
        <v>Middle aged</v>
      </c>
      <c r="R376" s="7">
        <f>IF(Table1_1[[#This Row],[Marriedarital SingletatuSingle]]="M",Table1_1[[#This Row],[Children]]+2,Table1_1[[#This Row],[Children]]+1)</f>
        <v>6</v>
      </c>
      <c r="S376" s="4" t="str">
        <f>IF(Table1_1[[#This Row],[Cars]]=0,"No","Yes")</f>
        <v>Yes</v>
      </c>
      <c r="T376" s="6" t="str">
        <f>IF(AND(Table1_1[[#This Row],[Income]]&gt;50000,Table1_1[[#This Row],[Home Owner]]="Yes"),"High stability","Low stability")</f>
        <v>High stability</v>
      </c>
      <c r="U376" s="3">
        <f>Table1_1[[#This Row],[Income]]/Table1_1[[#This Row],[Family size]]</f>
        <v>13333.333333333334</v>
      </c>
      <c r="V376" s="6" t="str">
        <f>IF(Table1_1[[#This Row],[Occupation]]="Skilled manual","Blue collar",IF(Table1_1[[#This Row],[Occupation]]="Manual","Blue collar","White collar"))</f>
        <v>White collar</v>
      </c>
    </row>
    <row r="377" spans="1:22" x14ac:dyDescent="0.3">
      <c r="A377" t="s">
        <v>411</v>
      </c>
      <c r="B377" s="6" t="s">
        <v>1042</v>
      </c>
      <c r="C377" s="6" t="s">
        <v>1045</v>
      </c>
      <c r="D377" s="3">
        <v>40000</v>
      </c>
      <c r="E377">
        <v>1</v>
      </c>
      <c r="F377" s="6" t="s">
        <v>13</v>
      </c>
      <c r="G377" s="6" t="s">
        <v>14</v>
      </c>
      <c r="H377" s="6" t="s">
        <v>15</v>
      </c>
      <c r="I377">
        <v>1</v>
      </c>
      <c r="J377" t="s">
        <v>16</v>
      </c>
      <c r="K3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77" s="6" t="s">
        <v>17</v>
      </c>
      <c r="M377" s="7">
        <v>89</v>
      </c>
      <c r="N377" t="s">
        <v>18</v>
      </c>
      <c r="O377" s="9" t="str">
        <f>IF(Table1_1[[#This Row],[Purchased Bike]]="yes","1","0")</f>
        <v>0</v>
      </c>
      <c r="P377" s="4" t="str">
        <f>IF(Table1_1[[#This Row],[Income]]&lt;=30000,"Low ",IF(Table1_1[[#This Row],[Income]]&lt;=70000,"Middle","High"))</f>
        <v>Middle</v>
      </c>
      <c r="Q377" s="6" t="str">
        <f>IF(Table1_1[[#This Row],[Age]]&lt;30,"Young",IF(Table1_1[[#This Row],[Age]]&lt;50,"Middle aged","Senior citizen"))</f>
        <v>Senior citizen</v>
      </c>
      <c r="R377" s="7">
        <f>IF(Table1_1[[#This Row],[Marriedarital SingletatuSingle]]="M",Table1_1[[#This Row],[Children]]+2,Table1_1[[#This Row],[Children]]+1)</f>
        <v>2</v>
      </c>
      <c r="S377" s="4" t="str">
        <f>IF(Table1_1[[#This Row],[Cars]]=0,"No","Yes")</f>
        <v>Yes</v>
      </c>
      <c r="T377" s="6" t="str">
        <f>IF(AND(Table1_1[[#This Row],[Income]]&gt;50000,Table1_1[[#This Row],[Home Owner]]="Yes"),"High stability","Low stability")</f>
        <v>Low stability</v>
      </c>
      <c r="U377" s="3">
        <f>Table1_1[[#This Row],[Income]]/Table1_1[[#This Row],[Family size]]</f>
        <v>20000</v>
      </c>
      <c r="V377" s="6" t="str">
        <f>IF(Table1_1[[#This Row],[Occupation]]="Skilled manual","Blue collar",IF(Table1_1[[#This Row],[Occupation]]="Manual","Blue collar","White collar"))</f>
        <v>Blue collar</v>
      </c>
    </row>
    <row r="378" spans="1:22" x14ac:dyDescent="0.3">
      <c r="A378" t="s">
        <v>412</v>
      </c>
      <c r="B378" s="6" t="s">
        <v>1042</v>
      </c>
      <c r="C378" s="6" t="s">
        <v>1046</v>
      </c>
      <c r="D378" s="3">
        <v>20000</v>
      </c>
      <c r="E378">
        <v>1</v>
      </c>
      <c r="F378" s="6" t="s">
        <v>13</v>
      </c>
      <c r="G378" s="6" t="s">
        <v>20</v>
      </c>
      <c r="H378" s="6" t="s">
        <v>15</v>
      </c>
      <c r="I378">
        <v>0</v>
      </c>
      <c r="J378" t="s">
        <v>16</v>
      </c>
      <c r="K3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78" s="6" t="s">
        <v>17</v>
      </c>
      <c r="M378" s="7">
        <v>64</v>
      </c>
      <c r="N378" t="s">
        <v>15</v>
      </c>
      <c r="O378" s="9" t="str">
        <f>IF(Table1_1[[#This Row],[Purchased Bike]]="yes","1","0")</f>
        <v>1</v>
      </c>
      <c r="P378" s="4" t="str">
        <f>IF(Table1_1[[#This Row],[Income]]&lt;=30000,"Low ",IF(Table1_1[[#This Row],[Income]]&lt;=70000,"Middle","High"))</f>
        <v xml:space="preserve">Low </v>
      </c>
      <c r="Q378" s="6" t="str">
        <f>IF(Table1_1[[#This Row],[Age]]&lt;30,"Young",IF(Table1_1[[#This Row],[Age]]&lt;50,"Middle aged","Senior citizen"))</f>
        <v>Senior citizen</v>
      </c>
      <c r="R378" s="7">
        <f>IF(Table1_1[[#This Row],[Marriedarital SingletatuSingle]]="M",Table1_1[[#This Row],[Children]]+2,Table1_1[[#This Row],[Children]]+1)</f>
        <v>2</v>
      </c>
      <c r="S378" s="4" t="str">
        <f>IF(Table1_1[[#This Row],[Cars]]=0,"No","Yes")</f>
        <v>No</v>
      </c>
      <c r="T378" s="6" t="str">
        <f>IF(AND(Table1_1[[#This Row],[Income]]&gt;50000,Table1_1[[#This Row],[Home Owner]]="Yes"),"High stability","Low stability")</f>
        <v>Low stability</v>
      </c>
      <c r="U378" s="3">
        <f>Table1_1[[#This Row],[Income]]/Table1_1[[#This Row],[Family size]]</f>
        <v>10000</v>
      </c>
      <c r="V378" s="6" t="str">
        <f>IF(Table1_1[[#This Row],[Occupation]]="Skilled manual","Blue collar",IF(Table1_1[[#This Row],[Occupation]]="Manual","Blue collar","White collar"))</f>
        <v>White collar</v>
      </c>
    </row>
    <row r="379" spans="1:22" x14ac:dyDescent="0.3">
      <c r="A379" t="s">
        <v>413</v>
      </c>
      <c r="B379" s="6" t="s">
        <v>1042</v>
      </c>
      <c r="C379" s="6" t="s">
        <v>1046</v>
      </c>
      <c r="D379" s="3">
        <v>130000</v>
      </c>
      <c r="E379">
        <v>3</v>
      </c>
      <c r="F379" s="6" t="s">
        <v>19</v>
      </c>
      <c r="G379" s="6" t="s">
        <v>21</v>
      </c>
      <c r="H379" s="6" t="s">
        <v>18</v>
      </c>
      <c r="I379">
        <v>3</v>
      </c>
      <c r="J379" t="s">
        <v>23</v>
      </c>
      <c r="K3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79" s="6" t="s">
        <v>17</v>
      </c>
      <c r="M379" s="7">
        <v>51</v>
      </c>
      <c r="N379" t="s">
        <v>15</v>
      </c>
      <c r="O379" s="9" t="str">
        <f>IF(Table1_1[[#This Row],[Purchased Bike]]="yes","1","0")</f>
        <v>1</v>
      </c>
      <c r="P379" s="4" t="str">
        <f>IF(Table1_1[[#This Row],[Income]]&lt;=30000,"Low ",IF(Table1_1[[#This Row],[Income]]&lt;=70000,"Middle","High"))</f>
        <v>High</v>
      </c>
      <c r="Q379" s="6" t="str">
        <f>IF(Table1_1[[#This Row],[Age]]&lt;30,"Young",IF(Table1_1[[#This Row],[Age]]&lt;50,"Middle aged","Senior citizen"))</f>
        <v>Senior citizen</v>
      </c>
      <c r="R379" s="7">
        <f>IF(Table1_1[[#This Row],[Marriedarital SingletatuSingle]]="M",Table1_1[[#This Row],[Children]]+2,Table1_1[[#This Row],[Children]]+1)</f>
        <v>4</v>
      </c>
      <c r="S379" s="4" t="str">
        <f>IF(Table1_1[[#This Row],[Cars]]=0,"No","Yes")</f>
        <v>Yes</v>
      </c>
      <c r="T379" s="6" t="str">
        <f>IF(AND(Table1_1[[#This Row],[Income]]&gt;50000,Table1_1[[#This Row],[Home Owner]]="Yes"),"High stability","Low stability")</f>
        <v>Low stability</v>
      </c>
      <c r="U379" s="3">
        <f>Table1_1[[#This Row],[Income]]/Table1_1[[#This Row],[Family size]]</f>
        <v>32500</v>
      </c>
      <c r="V379" s="6" t="str">
        <f>IF(Table1_1[[#This Row],[Occupation]]="Skilled manual","Blue collar",IF(Table1_1[[#This Row],[Occupation]]="Manual","Blue collar","White collar"))</f>
        <v>White collar</v>
      </c>
    </row>
    <row r="380" spans="1:22" x14ac:dyDescent="0.3">
      <c r="A380" t="s">
        <v>414</v>
      </c>
      <c r="B380" s="6" t="s">
        <v>1042</v>
      </c>
      <c r="C380" s="6" t="s">
        <v>1046</v>
      </c>
      <c r="D380" s="3">
        <v>30000</v>
      </c>
      <c r="E380">
        <v>3</v>
      </c>
      <c r="F380" s="6" t="s">
        <v>19</v>
      </c>
      <c r="G380" s="6" t="s">
        <v>20</v>
      </c>
      <c r="H380" s="6" t="s">
        <v>18</v>
      </c>
      <c r="I380">
        <v>2</v>
      </c>
      <c r="J380" t="s">
        <v>23</v>
      </c>
      <c r="K3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80" s="6" t="s">
        <v>24</v>
      </c>
      <c r="M380" s="7">
        <v>56</v>
      </c>
      <c r="N380" t="s">
        <v>18</v>
      </c>
      <c r="O380" s="9" t="str">
        <f>IF(Table1_1[[#This Row],[Purchased Bike]]="yes","1","0")</f>
        <v>0</v>
      </c>
      <c r="P380" s="4" t="str">
        <f>IF(Table1_1[[#This Row],[Income]]&lt;=30000,"Low ",IF(Table1_1[[#This Row],[Income]]&lt;=70000,"Middle","High"))</f>
        <v xml:space="preserve">Low </v>
      </c>
      <c r="Q380" s="6" t="str">
        <f>IF(Table1_1[[#This Row],[Age]]&lt;30,"Young",IF(Table1_1[[#This Row],[Age]]&lt;50,"Middle aged","Senior citizen"))</f>
        <v>Senior citizen</v>
      </c>
      <c r="R380" s="7">
        <f>IF(Table1_1[[#This Row],[Marriedarital SingletatuSingle]]="M",Table1_1[[#This Row],[Children]]+2,Table1_1[[#This Row],[Children]]+1)</f>
        <v>4</v>
      </c>
      <c r="S380" s="4" t="str">
        <f>IF(Table1_1[[#This Row],[Cars]]=0,"No","Yes")</f>
        <v>Yes</v>
      </c>
      <c r="T380" s="6" t="str">
        <f>IF(AND(Table1_1[[#This Row],[Income]]&gt;50000,Table1_1[[#This Row],[Home Owner]]="Yes"),"High stability","Low stability")</f>
        <v>Low stability</v>
      </c>
      <c r="U380" s="3">
        <f>Table1_1[[#This Row],[Income]]/Table1_1[[#This Row],[Family size]]</f>
        <v>7500</v>
      </c>
      <c r="V380" s="6" t="str">
        <f>IF(Table1_1[[#This Row],[Occupation]]="Skilled manual","Blue collar",IF(Table1_1[[#This Row],[Occupation]]="Manual","Blue collar","White collar"))</f>
        <v>White collar</v>
      </c>
    </row>
    <row r="381" spans="1:22" x14ac:dyDescent="0.3">
      <c r="A381" t="s">
        <v>415</v>
      </c>
      <c r="B381" s="6" t="s">
        <v>1042</v>
      </c>
      <c r="C381" s="6" t="s">
        <v>1046</v>
      </c>
      <c r="D381" s="3">
        <v>60000</v>
      </c>
      <c r="E381">
        <v>3</v>
      </c>
      <c r="F381" s="6" t="s">
        <v>13</v>
      </c>
      <c r="G381" s="6" t="s">
        <v>21</v>
      </c>
      <c r="H381" s="6" t="s">
        <v>15</v>
      </c>
      <c r="I381">
        <v>2</v>
      </c>
      <c r="J381" t="s">
        <v>23</v>
      </c>
      <c r="K3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81" s="6" t="s">
        <v>24</v>
      </c>
      <c r="M381" s="7">
        <v>43</v>
      </c>
      <c r="N381" t="s">
        <v>18</v>
      </c>
      <c r="O381" s="9" t="str">
        <f>IF(Table1_1[[#This Row],[Purchased Bike]]="yes","1","0")</f>
        <v>0</v>
      </c>
      <c r="P381" s="4" t="str">
        <f>IF(Table1_1[[#This Row],[Income]]&lt;=30000,"Low ",IF(Table1_1[[#This Row],[Income]]&lt;=70000,"Middle","High"))</f>
        <v>Middle</v>
      </c>
      <c r="Q381" s="6" t="str">
        <f>IF(Table1_1[[#This Row],[Age]]&lt;30,"Young",IF(Table1_1[[#This Row],[Age]]&lt;50,"Middle aged","Senior citizen"))</f>
        <v>Middle aged</v>
      </c>
      <c r="R381" s="7">
        <f>IF(Table1_1[[#This Row],[Marriedarital SingletatuSingle]]="M",Table1_1[[#This Row],[Children]]+2,Table1_1[[#This Row],[Children]]+1)</f>
        <v>4</v>
      </c>
      <c r="S381" s="4" t="str">
        <f>IF(Table1_1[[#This Row],[Cars]]=0,"No","Yes")</f>
        <v>Yes</v>
      </c>
      <c r="T381" s="6" t="str">
        <f>IF(AND(Table1_1[[#This Row],[Income]]&gt;50000,Table1_1[[#This Row],[Home Owner]]="Yes"),"High stability","Low stability")</f>
        <v>High stability</v>
      </c>
      <c r="U381" s="3">
        <f>Table1_1[[#This Row],[Income]]/Table1_1[[#This Row],[Family size]]</f>
        <v>15000</v>
      </c>
      <c r="V381" s="6" t="str">
        <f>IF(Table1_1[[#This Row],[Occupation]]="Skilled manual","Blue collar",IF(Table1_1[[#This Row],[Occupation]]="Manual","Blue collar","White collar"))</f>
        <v>White collar</v>
      </c>
    </row>
    <row r="382" spans="1:22" x14ac:dyDescent="0.3">
      <c r="A382" t="s">
        <v>416</v>
      </c>
      <c r="B382" s="6" t="s">
        <v>1044</v>
      </c>
      <c r="C382" s="6" t="s">
        <v>1046</v>
      </c>
      <c r="D382" s="3">
        <v>70000</v>
      </c>
      <c r="E382">
        <v>0</v>
      </c>
      <c r="F382" s="6" t="s">
        <v>13</v>
      </c>
      <c r="G382" s="6" t="s">
        <v>21</v>
      </c>
      <c r="H382" s="6" t="s">
        <v>18</v>
      </c>
      <c r="I382">
        <v>3</v>
      </c>
      <c r="J382" t="s">
        <v>30</v>
      </c>
      <c r="K3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382" s="6" t="s">
        <v>24</v>
      </c>
      <c r="M382" s="7">
        <v>30</v>
      </c>
      <c r="N382" t="s">
        <v>15</v>
      </c>
      <c r="O382" s="9" t="str">
        <f>IF(Table1_1[[#This Row],[Purchased Bike]]="yes","1","0")</f>
        <v>1</v>
      </c>
      <c r="P382" s="4" t="str">
        <f>IF(Table1_1[[#This Row],[Income]]&lt;=30000,"Low ",IF(Table1_1[[#This Row],[Income]]&lt;=70000,"Middle","High"))</f>
        <v>Middle</v>
      </c>
      <c r="Q382" s="6" t="str">
        <f>IF(Table1_1[[#This Row],[Age]]&lt;30,"Young",IF(Table1_1[[#This Row],[Age]]&lt;50,"Middle aged","Senior citizen"))</f>
        <v>Middle aged</v>
      </c>
      <c r="R382" s="7">
        <f>IF(Table1_1[[#This Row],[Marriedarital SingletatuSingle]]="M",Table1_1[[#This Row],[Children]]+2,Table1_1[[#This Row],[Children]]+1)</f>
        <v>1</v>
      </c>
      <c r="S382" s="4" t="str">
        <f>IF(Table1_1[[#This Row],[Cars]]=0,"No","Yes")</f>
        <v>Yes</v>
      </c>
      <c r="T382" s="6" t="str">
        <f>IF(AND(Table1_1[[#This Row],[Income]]&gt;50000,Table1_1[[#This Row],[Home Owner]]="Yes"),"High stability","Low stability")</f>
        <v>Low stability</v>
      </c>
      <c r="U382" s="3">
        <f>Table1_1[[#This Row],[Income]]/Table1_1[[#This Row],[Family size]]</f>
        <v>70000</v>
      </c>
      <c r="V382" s="6" t="str">
        <f>IF(Table1_1[[#This Row],[Occupation]]="Skilled manual","Blue collar",IF(Table1_1[[#This Row],[Occupation]]="Manual","Blue collar","White collar"))</f>
        <v>White collar</v>
      </c>
    </row>
    <row r="383" spans="1:22" x14ac:dyDescent="0.3">
      <c r="A383" t="s">
        <v>417</v>
      </c>
      <c r="B383" s="6" t="s">
        <v>1042</v>
      </c>
      <c r="C383" s="6" t="s">
        <v>1045</v>
      </c>
      <c r="D383" s="3">
        <v>30000</v>
      </c>
      <c r="E383">
        <v>2</v>
      </c>
      <c r="F383" s="6" t="s">
        <v>19</v>
      </c>
      <c r="G383" s="6" t="s">
        <v>20</v>
      </c>
      <c r="H383" s="6" t="s">
        <v>15</v>
      </c>
      <c r="I383">
        <v>2</v>
      </c>
      <c r="J383" t="s">
        <v>23</v>
      </c>
      <c r="K3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83" s="6" t="s">
        <v>24</v>
      </c>
      <c r="M383" s="7">
        <v>69</v>
      </c>
      <c r="N383" t="s">
        <v>18</v>
      </c>
      <c r="O383" s="9" t="str">
        <f>IF(Table1_1[[#This Row],[Purchased Bike]]="yes","1","0")</f>
        <v>0</v>
      </c>
      <c r="P383" s="4" t="str">
        <f>IF(Table1_1[[#This Row],[Income]]&lt;=30000,"Low ",IF(Table1_1[[#This Row],[Income]]&lt;=70000,"Middle","High"))</f>
        <v xml:space="preserve">Low </v>
      </c>
      <c r="Q383" s="6" t="str">
        <f>IF(Table1_1[[#This Row],[Age]]&lt;30,"Young",IF(Table1_1[[#This Row],[Age]]&lt;50,"Middle aged","Senior citizen"))</f>
        <v>Senior citizen</v>
      </c>
      <c r="R383" s="7">
        <f>IF(Table1_1[[#This Row],[Marriedarital SingletatuSingle]]="M",Table1_1[[#This Row],[Children]]+2,Table1_1[[#This Row],[Children]]+1)</f>
        <v>3</v>
      </c>
      <c r="S383" s="4" t="str">
        <f>IF(Table1_1[[#This Row],[Cars]]=0,"No","Yes")</f>
        <v>Yes</v>
      </c>
      <c r="T383" s="6" t="str">
        <f>IF(AND(Table1_1[[#This Row],[Income]]&gt;50000,Table1_1[[#This Row],[Home Owner]]="Yes"),"High stability","Low stability")</f>
        <v>Low stability</v>
      </c>
      <c r="U383" s="3">
        <f>Table1_1[[#This Row],[Income]]/Table1_1[[#This Row],[Family size]]</f>
        <v>10000</v>
      </c>
      <c r="V383" s="6" t="str">
        <f>IF(Table1_1[[#This Row],[Occupation]]="Skilled manual","Blue collar",IF(Table1_1[[#This Row],[Occupation]]="Manual","Blue collar","White collar"))</f>
        <v>White collar</v>
      </c>
    </row>
    <row r="384" spans="1:22" x14ac:dyDescent="0.3">
      <c r="A384" t="s">
        <v>418</v>
      </c>
      <c r="B384" s="6" t="s">
        <v>1042</v>
      </c>
      <c r="C384" s="6" t="s">
        <v>1046</v>
      </c>
      <c r="D384" s="3">
        <v>80000</v>
      </c>
      <c r="E384">
        <v>4</v>
      </c>
      <c r="F384" s="6" t="s">
        <v>19</v>
      </c>
      <c r="G384" s="6" t="s">
        <v>21</v>
      </c>
      <c r="H384" s="6" t="s">
        <v>15</v>
      </c>
      <c r="I384">
        <v>2</v>
      </c>
      <c r="J384" t="s">
        <v>30</v>
      </c>
      <c r="K3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384" s="6" t="s">
        <v>17</v>
      </c>
      <c r="M384" s="7">
        <v>53</v>
      </c>
      <c r="N384" t="s">
        <v>18</v>
      </c>
      <c r="O384" s="9" t="str">
        <f>IF(Table1_1[[#This Row],[Purchased Bike]]="yes","1","0")</f>
        <v>0</v>
      </c>
      <c r="P384" s="4" t="str">
        <f>IF(Table1_1[[#This Row],[Income]]&lt;=30000,"Low ",IF(Table1_1[[#This Row],[Income]]&lt;=70000,"Middle","High"))</f>
        <v>High</v>
      </c>
      <c r="Q384" s="6" t="str">
        <f>IF(Table1_1[[#This Row],[Age]]&lt;30,"Young",IF(Table1_1[[#This Row],[Age]]&lt;50,"Middle aged","Senior citizen"))</f>
        <v>Senior citizen</v>
      </c>
      <c r="R384" s="7">
        <f>IF(Table1_1[[#This Row],[Marriedarital SingletatuSingle]]="M",Table1_1[[#This Row],[Children]]+2,Table1_1[[#This Row],[Children]]+1)</f>
        <v>5</v>
      </c>
      <c r="S384" s="4" t="str">
        <f>IF(Table1_1[[#This Row],[Cars]]=0,"No","Yes")</f>
        <v>Yes</v>
      </c>
      <c r="T384" s="6" t="str">
        <f>IF(AND(Table1_1[[#This Row],[Income]]&gt;50000,Table1_1[[#This Row],[Home Owner]]="Yes"),"High stability","Low stability")</f>
        <v>High stability</v>
      </c>
      <c r="U384" s="3">
        <f>Table1_1[[#This Row],[Income]]/Table1_1[[#This Row],[Family size]]</f>
        <v>16000</v>
      </c>
      <c r="V384" s="6" t="str">
        <f>IF(Table1_1[[#This Row],[Occupation]]="Skilled manual","Blue collar",IF(Table1_1[[#This Row],[Occupation]]="Manual","Blue collar","White collar"))</f>
        <v>White collar</v>
      </c>
    </row>
    <row r="385" spans="1:22" x14ac:dyDescent="0.3">
      <c r="A385" t="s">
        <v>419</v>
      </c>
      <c r="B385" s="6" t="s">
        <v>1042</v>
      </c>
      <c r="C385" s="6" t="s">
        <v>1046</v>
      </c>
      <c r="D385" s="3">
        <v>40000</v>
      </c>
      <c r="E385">
        <v>0</v>
      </c>
      <c r="F385" s="6" t="s">
        <v>31</v>
      </c>
      <c r="G385" s="6" t="s">
        <v>20</v>
      </c>
      <c r="H385" s="6" t="s">
        <v>15</v>
      </c>
      <c r="I385">
        <v>0</v>
      </c>
      <c r="J385" t="s">
        <v>16</v>
      </c>
      <c r="K3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85" s="6" t="s">
        <v>17</v>
      </c>
      <c r="M385" s="7">
        <v>37</v>
      </c>
      <c r="N385" t="s">
        <v>15</v>
      </c>
      <c r="O385" s="9" t="str">
        <f>IF(Table1_1[[#This Row],[Purchased Bike]]="yes","1","0")</f>
        <v>1</v>
      </c>
      <c r="P385" s="4" t="str">
        <f>IF(Table1_1[[#This Row],[Income]]&lt;=30000,"Low ",IF(Table1_1[[#This Row],[Income]]&lt;=70000,"Middle","High"))</f>
        <v>Middle</v>
      </c>
      <c r="Q385" s="6" t="str">
        <f>IF(Table1_1[[#This Row],[Age]]&lt;30,"Young",IF(Table1_1[[#This Row],[Age]]&lt;50,"Middle aged","Senior citizen"))</f>
        <v>Middle aged</v>
      </c>
      <c r="R385" s="7">
        <f>IF(Table1_1[[#This Row],[Marriedarital SingletatuSingle]]="M",Table1_1[[#This Row],[Children]]+2,Table1_1[[#This Row],[Children]]+1)</f>
        <v>1</v>
      </c>
      <c r="S385" s="4" t="str">
        <f>IF(Table1_1[[#This Row],[Cars]]=0,"No","Yes")</f>
        <v>No</v>
      </c>
      <c r="T385" s="6" t="str">
        <f>IF(AND(Table1_1[[#This Row],[Income]]&gt;50000,Table1_1[[#This Row],[Home Owner]]="Yes"),"High stability","Low stability")</f>
        <v>Low stability</v>
      </c>
      <c r="U385" s="3">
        <f>Table1_1[[#This Row],[Income]]/Table1_1[[#This Row],[Family size]]</f>
        <v>40000</v>
      </c>
      <c r="V385" s="6" t="str">
        <f>IF(Table1_1[[#This Row],[Occupation]]="Skilled manual","Blue collar",IF(Table1_1[[#This Row],[Occupation]]="Manual","Blue collar","White collar"))</f>
        <v>White collar</v>
      </c>
    </row>
    <row r="386" spans="1:22" x14ac:dyDescent="0.3">
      <c r="A386" t="s">
        <v>420</v>
      </c>
      <c r="B386" s="6" t="s">
        <v>1044</v>
      </c>
      <c r="C386" s="6" t="s">
        <v>1045</v>
      </c>
      <c r="D386" s="3">
        <v>10000</v>
      </c>
      <c r="E386">
        <v>0</v>
      </c>
      <c r="F386" s="6" t="s">
        <v>19</v>
      </c>
      <c r="G386" s="6" t="s">
        <v>25</v>
      </c>
      <c r="H386" s="6" t="s">
        <v>18</v>
      </c>
      <c r="I386">
        <v>1</v>
      </c>
      <c r="J386" t="s">
        <v>16</v>
      </c>
      <c r="K3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86" s="6" t="s">
        <v>24</v>
      </c>
      <c r="M386" s="7">
        <v>28</v>
      </c>
      <c r="N386" t="s">
        <v>15</v>
      </c>
      <c r="O386" s="9" t="str">
        <f>IF(Table1_1[[#This Row],[Purchased Bike]]="yes","1","0")</f>
        <v>1</v>
      </c>
      <c r="P386" s="4" t="str">
        <f>IF(Table1_1[[#This Row],[Income]]&lt;=30000,"Low ",IF(Table1_1[[#This Row],[Income]]&lt;=70000,"Middle","High"))</f>
        <v xml:space="preserve">Low </v>
      </c>
      <c r="Q386" s="6" t="str">
        <f>IF(Table1_1[[#This Row],[Age]]&lt;30,"Young",IF(Table1_1[[#This Row],[Age]]&lt;50,"Middle aged","Senior citizen"))</f>
        <v>Young</v>
      </c>
      <c r="R386" s="7">
        <f>IF(Table1_1[[#This Row],[Marriedarital SingletatuSingle]]="M",Table1_1[[#This Row],[Children]]+2,Table1_1[[#This Row],[Children]]+1)</f>
        <v>1</v>
      </c>
      <c r="S386" s="4" t="str">
        <f>IF(Table1_1[[#This Row],[Cars]]=0,"No","Yes")</f>
        <v>Yes</v>
      </c>
      <c r="T386" s="6" t="str">
        <f>IF(AND(Table1_1[[#This Row],[Income]]&gt;50000,Table1_1[[#This Row],[Home Owner]]="Yes"),"High stability","Low stability")</f>
        <v>Low stability</v>
      </c>
      <c r="U386" s="3">
        <f>Table1_1[[#This Row],[Income]]/Table1_1[[#This Row],[Family size]]</f>
        <v>10000</v>
      </c>
      <c r="V386" s="6" t="str">
        <f>IF(Table1_1[[#This Row],[Occupation]]="Skilled manual","Blue collar",IF(Table1_1[[#This Row],[Occupation]]="Manual","Blue collar","White collar"))</f>
        <v>Blue collar</v>
      </c>
    </row>
    <row r="387" spans="1:22" x14ac:dyDescent="0.3">
      <c r="A387" t="s">
        <v>421</v>
      </c>
      <c r="B387" s="6" t="s">
        <v>1044</v>
      </c>
      <c r="C387" s="6" t="s">
        <v>1046</v>
      </c>
      <c r="D387" s="3">
        <v>30000</v>
      </c>
      <c r="E387">
        <v>3</v>
      </c>
      <c r="F387" s="6" t="s">
        <v>19</v>
      </c>
      <c r="G387" s="6" t="s">
        <v>20</v>
      </c>
      <c r="H387" s="6" t="s">
        <v>15</v>
      </c>
      <c r="I387">
        <v>0</v>
      </c>
      <c r="J387" t="s">
        <v>16</v>
      </c>
      <c r="K3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87" s="6" t="s">
        <v>17</v>
      </c>
      <c r="M387" s="7">
        <v>43</v>
      </c>
      <c r="N387" t="s">
        <v>18</v>
      </c>
      <c r="O387" s="9" t="str">
        <f>IF(Table1_1[[#This Row],[Purchased Bike]]="yes","1","0")</f>
        <v>0</v>
      </c>
      <c r="P387" s="4" t="str">
        <f>IF(Table1_1[[#This Row],[Income]]&lt;=30000,"Low ",IF(Table1_1[[#This Row],[Income]]&lt;=70000,"Middle","High"))</f>
        <v xml:space="preserve">Low </v>
      </c>
      <c r="Q387" s="6" t="str">
        <f>IF(Table1_1[[#This Row],[Age]]&lt;30,"Young",IF(Table1_1[[#This Row],[Age]]&lt;50,"Middle aged","Senior citizen"))</f>
        <v>Middle aged</v>
      </c>
      <c r="R387" s="7">
        <f>IF(Table1_1[[#This Row],[Marriedarital SingletatuSingle]]="M",Table1_1[[#This Row],[Children]]+2,Table1_1[[#This Row],[Children]]+1)</f>
        <v>4</v>
      </c>
      <c r="S387" s="4" t="str">
        <f>IF(Table1_1[[#This Row],[Cars]]=0,"No","Yes")</f>
        <v>No</v>
      </c>
      <c r="T387" s="6" t="str">
        <f>IF(AND(Table1_1[[#This Row],[Income]]&gt;50000,Table1_1[[#This Row],[Home Owner]]="Yes"),"High stability","Low stability")</f>
        <v>Low stability</v>
      </c>
      <c r="U387" s="3">
        <f>Table1_1[[#This Row],[Income]]/Table1_1[[#This Row],[Family size]]</f>
        <v>7500</v>
      </c>
      <c r="V387" s="6" t="str">
        <f>IF(Table1_1[[#This Row],[Occupation]]="Skilled manual","Blue collar",IF(Table1_1[[#This Row],[Occupation]]="Manual","Blue collar","White collar"))</f>
        <v>White collar</v>
      </c>
    </row>
    <row r="388" spans="1:22" x14ac:dyDescent="0.3">
      <c r="A388" t="s">
        <v>422</v>
      </c>
      <c r="B388" s="6" t="s">
        <v>1044</v>
      </c>
      <c r="C388" s="6" t="s">
        <v>1045</v>
      </c>
      <c r="D388" s="3">
        <v>120000</v>
      </c>
      <c r="E388">
        <v>0</v>
      </c>
      <c r="F388" s="6" t="s">
        <v>29</v>
      </c>
      <c r="G388" s="6" t="s">
        <v>21</v>
      </c>
      <c r="H388" s="6" t="s">
        <v>15</v>
      </c>
      <c r="I388">
        <v>4</v>
      </c>
      <c r="J388" t="s">
        <v>30</v>
      </c>
      <c r="K3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388" s="6" t="s">
        <v>24</v>
      </c>
      <c r="M388" s="7">
        <v>34</v>
      </c>
      <c r="N388" t="s">
        <v>15</v>
      </c>
      <c r="O388" s="9" t="str">
        <f>IF(Table1_1[[#This Row],[Purchased Bike]]="yes","1","0")</f>
        <v>1</v>
      </c>
      <c r="P388" s="4" t="str">
        <f>IF(Table1_1[[#This Row],[Income]]&lt;=30000,"Low ",IF(Table1_1[[#This Row],[Income]]&lt;=70000,"Middle","High"))</f>
        <v>High</v>
      </c>
      <c r="Q388" s="6" t="str">
        <f>IF(Table1_1[[#This Row],[Age]]&lt;30,"Young",IF(Table1_1[[#This Row],[Age]]&lt;50,"Middle aged","Senior citizen"))</f>
        <v>Middle aged</v>
      </c>
      <c r="R388" s="7">
        <f>IF(Table1_1[[#This Row],[Marriedarital SingletatuSingle]]="M",Table1_1[[#This Row],[Children]]+2,Table1_1[[#This Row],[Children]]+1)</f>
        <v>1</v>
      </c>
      <c r="S388" s="4" t="str">
        <f>IF(Table1_1[[#This Row],[Cars]]=0,"No","Yes")</f>
        <v>Yes</v>
      </c>
      <c r="T388" s="6" t="str">
        <f>IF(AND(Table1_1[[#This Row],[Income]]&gt;50000,Table1_1[[#This Row],[Home Owner]]="Yes"),"High stability","Low stability")</f>
        <v>High stability</v>
      </c>
      <c r="U388" s="3">
        <f>Table1_1[[#This Row],[Income]]/Table1_1[[#This Row],[Family size]]</f>
        <v>120000</v>
      </c>
      <c r="V388" s="6" t="str">
        <f>IF(Table1_1[[#This Row],[Occupation]]="Skilled manual","Blue collar",IF(Table1_1[[#This Row],[Occupation]]="Manual","Blue collar","White collar"))</f>
        <v>White collar</v>
      </c>
    </row>
    <row r="389" spans="1:22" x14ac:dyDescent="0.3">
      <c r="A389" t="s">
        <v>423</v>
      </c>
      <c r="B389" s="6" t="s">
        <v>1044</v>
      </c>
      <c r="C389" s="6" t="s">
        <v>1045</v>
      </c>
      <c r="D389" s="3">
        <v>20000</v>
      </c>
      <c r="E389">
        <v>0</v>
      </c>
      <c r="F389" s="6" t="s">
        <v>29</v>
      </c>
      <c r="G389" s="6" t="s">
        <v>25</v>
      </c>
      <c r="H389" s="6" t="s">
        <v>18</v>
      </c>
      <c r="I389">
        <v>2</v>
      </c>
      <c r="J389" t="s">
        <v>26</v>
      </c>
      <c r="K3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89" s="6" t="s">
        <v>17</v>
      </c>
      <c r="M389" s="7">
        <v>34</v>
      </c>
      <c r="N389" t="s">
        <v>15</v>
      </c>
      <c r="O389" s="9" t="str">
        <f>IF(Table1_1[[#This Row],[Purchased Bike]]="yes","1","0")</f>
        <v>1</v>
      </c>
      <c r="P389" s="4" t="str">
        <f>IF(Table1_1[[#This Row],[Income]]&lt;=30000,"Low ",IF(Table1_1[[#This Row],[Income]]&lt;=70000,"Middle","High"))</f>
        <v xml:space="preserve">Low </v>
      </c>
      <c r="Q389" s="6" t="str">
        <f>IF(Table1_1[[#This Row],[Age]]&lt;30,"Young",IF(Table1_1[[#This Row],[Age]]&lt;50,"Middle aged","Senior citizen"))</f>
        <v>Middle aged</v>
      </c>
      <c r="R389" s="7">
        <f>IF(Table1_1[[#This Row],[Marriedarital SingletatuSingle]]="M",Table1_1[[#This Row],[Children]]+2,Table1_1[[#This Row],[Children]]+1)</f>
        <v>1</v>
      </c>
      <c r="S389" s="4" t="str">
        <f>IF(Table1_1[[#This Row],[Cars]]=0,"No","Yes")</f>
        <v>Yes</v>
      </c>
      <c r="T389" s="6" t="str">
        <f>IF(AND(Table1_1[[#This Row],[Income]]&gt;50000,Table1_1[[#This Row],[Home Owner]]="Yes"),"High stability","Low stability")</f>
        <v>Low stability</v>
      </c>
      <c r="U389" s="3">
        <f>Table1_1[[#This Row],[Income]]/Table1_1[[#This Row],[Family size]]</f>
        <v>20000</v>
      </c>
      <c r="V389" s="6" t="str">
        <f>IF(Table1_1[[#This Row],[Occupation]]="Skilled manual","Blue collar",IF(Table1_1[[#This Row],[Occupation]]="Manual","Blue collar","White collar"))</f>
        <v>Blue collar</v>
      </c>
    </row>
    <row r="390" spans="1:22" x14ac:dyDescent="0.3">
      <c r="A390" t="s">
        <v>424</v>
      </c>
      <c r="B390" s="6" t="s">
        <v>1042</v>
      </c>
      <c r="C390" s="6" t="s">
        <v>1045</v>
      </c>
      <c r="D390" s="3">
        <v>30000</v>
      </c>
      <c r="E390">
        <v>1</v>
      </c>
      <c r="F390" s="6" t="s">
        <v>13</v>
      </c>
      <c r="G390" s="6" t="s">
        <v>20</v>
      </c>
      <c r="H390" s="6" t="s">
        <v>15</v>
      </c>
      <c r="I390">
        <v>0</v>
      </c>
      <c r="J390" t="s">
        <v>16</v>
      </c>
      <c r="K3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90" s="6" t="s">
        <v>17</v>
      </c>
      <c r="M390" s="7">
        <v>64</v>
      </c>
      <c r="N390" t="s">
        <v>18</v>
      </c>
      <c r="O390" s="9" t="str">
        <f>IF(Table1_1[[#This Row],[Purchased Bike]]="yes","1","0")</f>
        <v>0</v>
      </c>
      <c r="P390" s="4" t="str">
        <f>IF(Table1_1[[#This Row],[Income]]&lt;=30000,"Low ",IF(Table1_1[[#This Row],[Income]]&lt;=70000,"Middle","High"))</f>
        <v xml:space="preserve">Low </v>
      </c>
      <c r="Q390" s="6" t="str">
        <f>IF(Table1_1[[#This Row],[Age]]&lt;30,"Young",IF(Table1_1[[#This Row],[Age]]&lt;50,"Middle aged","Senior citizen"))</f>
        <v>Senior citizen</v>
      </c>
      <c r="R390" s="7">
        <f>IF(Table1_1[[#This Row],[Marriedarital SingletatuSingle]]="M",Table1_1[[#This Row],[Children]]+2,Table1_1[[#This Row],[Children]]+1)</f>
        <v>2</v>
      </c>
      <c r="S390" s="4" t="str">
        <f>IF(Table1_1[[#This Row],[Cars]]=0,"No","Yes")</f>
        <v>No</v>
      </c>
      <c r="T390" s="6" t="str">
        <f>IF(AND(Table1_1[[#This Row],[Income]]&gt;50000,Table1_1[[#This Row],[Home Owner]]="Yes"),"High stability","Low stability")</f>
        <v>Low stability</v>
      </c>
      <c r="U390" s="3">
        <f>Table1_1[[#This Row],[Income]]/Table1_1[[#This Row],[Family size]]</f>
        <v>15000</v>
      </c>
      <c r="V390" s="6" t="str">
        <f>IF(Table1_1[[#This Row],[Occupation]]="Skilled manual","Blue collar",IF(Table1_1[[#This Row],[Occupation]]="Manual","Blue collar","White collar"))</f>
        <v>White collar</v>
      </c>
    </row>
    <row r="391" spans="1:22" x14ac:dyDescent="0.3">
      <c r="A391" t="s">
        <v>425</v>
      </c>
      <c r="B391" s="6" t="s">
        <v>1042</v>
      </c>
      <c r="C391" s="6" t="s">
        <v>1045</v>
      </c>
      <c r="D391" s="3">
        <v>80000</v>
      </c>
      <c r="E391">
        <v>0</v>
      </c>
      <c r="F391" s="6" t="s">
        <v>13</v>
      </c>
      <c r="G391" s="6" t="s">
        <v>21</v>
      </c>
      <c r="H391" s="6" t="s">
        <v>15</v>
      </c>
      <c r="I391">
        <v>1</v>
      </c>
      <c r="J391" t="s">
        <v>26</v>
      </c>
      <c r="K3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91" s="6" t="s">
        <v>24</v>
      </c>
      <c r="M391" s="7">
        <v>41</v>
      </c>
      <c r="N391" t="s">
        <v>15</v>
      </c>
      <c r="O391" s="9" t="str">
        <f>IF(Table1_1[[#This Row],[Purchased Bike]]="yes","1","0")</f>
        <v>1</v>
      </c>
      <c r="P391" s="4" t="str">
        <f>IF(Table1_1[[#This Row],[Income]]&lt;=30000,"Low ",IF(Table1_1[[#This Row],[Income]]&lt;=70000,"Middle","High"))</f>
        <v>High</v>
      </c>
      <c r="Q391" s="6" t="str">
        <f>IF(Table1_1[[#This Row],[Age]]&lt;30,"Young",IF(Table1_1[[#This Row],[Age]]&lt;50,"Middle aged","Senior citizen"))</f>
        <v>Middle aged</v>
      </c>
      <c r="R391" s="7">
        <f>IF(Table1_1[[#This Row],[Marriedarital SingletatuSingle]]="M",Table1_1[[#This Row],[Children]]+2,Table1_1[[#This Row],[Children]]+1)</f>
        <v>1</v>
      </c>
      <c r="S391" s="4" t="str">
        <f>IF(Table1_1[[#This Row],[Cars]]=0,"No","Yes")</f>
        <v>Yes</v>
      </c>
      <c r="T391" s="6" t="str">
        <f>IF(AND(Table1_1[[#This Row],[Income]]&gt;50000,Table1_1[[#This Row],[Home Owner]]="Yes"),"High stability","Low stability")</f>
        <v>High stability</v>
      </c>
      <c r="U391" s="3">
        <f>Table1_1[[#This Row],[Income]]/Table1_1[[#This Row],[Family size]]</f>
        <v>80000</v>
      </c>
      <c r="V391" s="6" t="str">
        <f>IF(Table1_1[[#This Row],[Occupation]]="Skilled manual","Blue collar",IF(Table1_1[[#This Row],[Occupation]]="Manual","Blue collar","White collar"))</f>
        <v>White collar</v>
      </c>
    </row>
    <row r="392" spans="1:22" x14ac:dyDescent="0.3">
      <c r="A392" t="s">
        <v>426</v>
      </c>
      <c r="B392" s="6" t="s">
        <v>1044</v>
      </c>
      <c r="C392" s="6" t="s">
        <v>1046</v>
      </c>
      <c r="D392" s="3">
        <v>70000</v>
      </c>
      <c r="E392">
        <v>0</v>
      </c>
      <c r="F392" s="6" t="s">
        <v>13</v>
      </c>
      <c r="G392" s="6" t="s">
        <v>21</v>
      </c>
      <c r="H392" s="6" t="s">
        <v>18</v>
      </c>
      <c r="I392">
        <v>1</v>
      </c>
      <c r="J392" t="s">
        <v>23</v>
      </c>
      <c r="K3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92" s="6" t="s">
        <v>24</v>
      </c>
      <c r="M392" s="7">
        <v>38</v>
      </c>
      <c r="N392" t="s">
        <v>18</v>
      </c>
      <c r="O392" s="9" t="str">
        <f>IF(Table1_1[[#This Row],[Purchased Bike]]="yes","1","0")</f>
        <v>0</v>
      </c>
      <c r="P392" s="4" t="str">
        <f>IF(Table1_1[[#This Row],[Income]]&lt;=30000,"Low ",IF(Table1_1[[#This Row],[Income]]&lt;=70000,"Middle","High"))</f>
        <v>Middle</v>
      </c>
      <c r="Q392" s="6" t="str">
        <f>IF(Table1_1[[#This Row],[Age]]&lt;30,"Young",IF(Table1_1[[#This Row],[Age]]&lt;50,"Middle aged","Senior citizen"))</f>
        <v>Middle aged</v>
      </c>
      <c r="R392" s="7">
        <f>IF(Table1_1[[#This Row],[Marriedarital SingletatuSingle]]="M",Table1_1[[#This Row],[Children]]+2,Table1_1[[#This Row],[Children]]+1)</f>
        <v>1</v>
      </c>
      <c r="S392" s="4" t="str">
        <f>IF(Table1_1[[#This Row],[Cars]]=0,"No","Yes")</f>
        <v>Yes</v>
      </c>
      <c r="T392" s="6" t="str">
        <f>IF(AND(Table1_1[[#This Row],[Income]]&gt;50000,Table1_1[[#This Row],[Home Owner]]="Yes"),"High stability","Low stability")</f>
        <v>Low stability</v>
      </c>
      <c r="U392" s="3">
        <f>Table1_1[[#This Row],[Income]]/Table1_1[[#This Row],[Family size]]</f>
        <v>70000</v>
      </c>
      <c r="V392" s="6" t="str">
        <f>IF(Table1_1[[#This Row],[Occupation]]="Skilled manual","Blue collar",IF(Table1_1[[#This Row],[Occupation]]="Manual","Blue collar","White collar"))</f>
        <v>White collar</v>
      </c>
    </row>
    <row r="393" spans="1:22" x14ac:dyDescent="0.3">
      <c r="A393" t="s">
        <v>427</v>
      </c>
      <c r="B393" s="6" t="s">
        <v>1044</v>
      </c>
      <c r="C393" s="6" t="s">
        <v>1045</v>
      </c>
      <c r="D393" s="3">
        <v>70000</v>
      </c>
      <c r="E393">
        <v>0</v>
      </c>
      <c r="F393" s="6" t="s">
        <v>13</v>
      </c>
      <c r="G393" s="6" t="s">
        <v>21</v>
      </c>
      <c r="H393" s="6" t="s">
        <v>18</v>
      </c>
      <c r="I393">
        <v>1</v>
      </c>
      <c r="J393" t="s">
        <v>16</v>
      </c>
      <c r="K3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93" s="6" t="s">
        <v>24</v>
      </c>
      <c r="M393" s="7">
        <v>41</v>
      </c>
      <c r="N393" t="s">
        <v>15</v>
      </c>
      <c r="O393" s="9" t="str">
        <f>IF(Table1_1[[#This Row],[Purchased Bike]]="yes","1","0")</f>
        <v>1</v>
      </c>
      <c r="P393" s="4" t="str">
        <f>IF(Table1_1[[#This Row],[Income]]&lt;=30000,"Low ",IF(Table1_1[[#This Row],[Income]]&lt;=70000,"Middle","High"))</f>
        <v>Middle</v>
      </c>
      <c r="Q393" s="6" t="str">
        <f>IF(Table1_1[[#This Row],[Age]]&lt;30,"Young",IF(Table1_1[[#This Row],[Age]]&lt;50,"Middle aged","Senior citizen"))</f>
        <v>Middle aged</v>
      </c>
      <c r="R393" s="7">
        <f>IF(Table1_1[[#This Row],[Marriedarital SingletatuSingle]]="M",Table1_1[[#This Row],[Children]]+2,Table1_1[[#This Row],[Children]]+1)</f>
        <v>1</v>
      </c>
      <c r="S393" s="4" t="str">
        <f>IF(Table1_1[[#This Row],[Cars]]=0,"No","Yes")</f>
        <v>Yes</v>
      </c>
      <c r="T393" s="6" t="str">
        <f>IF(AND(Table1_1[[#This Row],[Income]]&gt;50000,Table1_1[[#This Row],[Home Owner]]="Yes"),"High stability","Low stability")</f>
        <v>Low stability</v>
      </c>
      <c r="U393" s="3">
        <f>Table1_1[[#This Row],[Income]]/Table1_1[[#This Row],[Family size]]</f>
        <v>70000</v>
      </c>
      <c r="V393" s="6" t="str">
        <f>IF(Table1_1[[#This Row],[Occupation]]="Skilled manual","Blue collar",IF(Table1_1[[#This Row],[Occupation]]="Manual","Blue collar","White collar"))</f>
        <v>White collar</v>
      </c>
    </row>
    <row r="394" spans="1:22" x14ac:dyDescent="0.3">
      <c r="A394" t="s">
        <v>428</v>
      </c>
      <c r="B394" s="6" t="s">
        <v>1044</v>
      </c>
      <c r="C394" s="6" t="s">
        <v>1046</v>
      </c>
      <c r="D394" s="3">
        <v>20000</v>
      </c>
      <c r="E394">
        <v>1</v>
      </c>
      <c r="F394" s="6" t="s">
        <v>13</v>
      </c>
      <c r="G394" s="6" t="s">
        <v>20</v>
      </c>
      <c r="H394" s="6" t="s">
        <v>18</v>
      </c>
      <c r="I394">
        <v>0</v>
      </c>
      <c r="J394" t="s">
        <v>16</v>
      </c>
      <c r="K3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94" s="6" t="s">
        <v>17</v>
      </c>
      <c r="M394" s="7">
        <v>51</v>
      </c>
      <c r="N394" t="s">
        <v>18</v>
      </c>
      <c r="O394" s="9" t="str">
        <f>IF(Table1_1[[#This Row],[Purchased Bike]]="yes","1","0")</f>
        <v>0</v>
      </c>
      <c r="P394" s="4" t="str">
        <f>IF(Table1_1[[#This Row],[Income]]&lt;=30000,"Low ",IF(Table1_1[[#This Row],[Income]]&lt;=70000,"Middle","High"))</f>
        <v xml:space="preserve">Low </v>
      </c>
      <c r="Q394" s="6" t="str">
        <f>IF(Table1_1[[#This Row],[Age]]&lt;30,"Young",IF(Table1_1[[#This Row],[Age]]&lt;50,"Middle aged","Senior citizen"))</f>
        <v>Senior citizen</v>
      </c>
      <c r="R394" s="7">
        <f>IF(Table1_1[[#This Row],[Marriedarital SingletatuSingle]]="M",Table1_1[[#This Row],[Children]]+2,Table1_1[[#This Row],[Children]]+1)</f>
        <v>2</v>
      </c>
      <c r="S394" s="4" t="str">
        <f>IF(Table1_1[[#This Row],[Cars]]=0,"No","Yes")</f>
        <v>No</v>
      </c>
      <c r="T394" s="6" t="str">
        <f>IF(AND(Table1_1[[#This Row],[Income]]&gt;50000,Table1_1[[#This Row],[Home Owner]]="Yes"),"High stability","Low stability")</f>
        <v>Low stability</v>
      </c>
      <c r="U394" s="3">
        <f>Table1_1[[#This Row],[Income]]/Table1_1[[#This Row],[Family size]]</f>
        <v>10000</v>
      </c>
      <c r="V394" s="6" t="str">
        <f>IF(Table1_1[[#This Row],[Occupation]]="Skilled manual","Blue collar",IF(Table1_1[[#This Row],[Occupation]]="Manual","Blue collar","White collar"))</f>
        <v>White collar</v>
      </c>
    </row>
    <row r="395" spans="1:22" x14ac:dyDescent="0.3">
      <c r="A395" t="s">
        <v>429</v>
      </c>
      <c r="B395" s="6" t="s">
        <v>1042</v>
      </c>
      <c r="C395" s="6" t="s">
        <v>1045</v>
      </c>
      <c r="D395" s="3">
        <v>10000</v>
      </c>
      <c r="E395">
        <v>0</v>
      </c>
      <c r="F395" s="6" t="s">
        <v>29</v>
      </c>
      <c r="G395" s="6" t="s">
        <v>25</v>
      </c>
      <c r="H395" s="6" t="s">
        <v>15</v>
      </c>
      <c r="I395">
        <v>2</v>
      </c>
      <c r="J395" t="s">
        <v>26</v>
      </c>
      <c r="K3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395" s="6" t="s">
        <v>17</v>
      </c>
      <c r="M395" s="7">
        <v>32</v>
      </c>
      <c r="N395" t="s">
        <v>18</v>
      </c>
      <c r="O395" s="9" t="str">
        <f>IF(Table1_1[[#This Row],[Purchased Bike]]="yes","1","0")</f>
        <v>0</v>
      </c>
      <c r="P395" s="4" t="str">
        <f>IF(Table1_1[[#This Row],[Income]]&lt;=30000,"Low ",IF(Table1_1[[#This Row],[Income]]&lt;=70000,"Middle","High"))</f>
        <v xml:space="preserve">Low </v>
      </c>
      <c r="Q395" s="6" t="str">
        <f>IF(Table1_1[[#This Row],[Age]]&lt;30,"Young",IF(Table1_1[[#This Row],[Age]]&lt;50,"Middle aged","Senior citizen"))</f>
        <v>Middle aged</v>
      </c>
      <c r="R395" s="7">
        <f>IF(Table1_1[[#This Row],[Marriedarital SingletatuSingle]]="M",Table1_1[[#This Row],[Children]]+2,Table1_1[[#This Row],[Children]]+1)</f>
        <v>1</v>
      </c>
      <c r="S395" s="4" t="str">
        <f>IF(Table1_1[[#This Row],[Cars]]=0,"No","Yes")</f>
        <v>Yes</v>
      </c>
      <c r="T395" s="6" t="str">
        <f>IF(AND(Table1_1[[#This Row],[Income]]&gt;50000,Table1_1[[#This Row],[Home Owner]]="Yes"),"High stability","Low stability")</f>
        <v>Low stability</v>
      </c>
      <c r="U395" s="3">
        <f>Table1_1[[#This Row],[Income]]/Table1_1[[#This Row],[Family size]]</f>
        <v>10000</v>
      </c>
      <c r="V395" s="6" t="str">
        <f>IF(Table1_1[[#This Row],[Occupation]]="Skilled manual","Blue collar",IF(Table1_1[[#This Row],[Occupation]]="Manual","Blue collar","White collar"))</f>
        <v>Blue collar</v>
      </c>
    </row>
    <row r="396" spans="1:22" x14ac:dyDescent="0.3">
      <c r="A396" t="s">
        <v>430</v>
      </c>
      <c r="B396" s="6" t="s">
        <v>1042</v>
      </c>
      <c r="C396" s="6" t="s">
        <v>1045</v>
      </c>
      <c r="D396" s="3">
        <v>40000</v>
      </c>
      <c r="E396">
        <v>0</v>
      </c>
      <c r="F396" s="6" t="s">
        <v>13</v>
      </c>
      <c r="G396" s="6" t="s">
        <v>20</v>
      </c>
      <c r="H396" s="6" t="s">
        <v>15</v>
      </c>
      <c r="I396">
        <v>0</v>
      </c>
      <c r="J396" t="s">
        <v>16</v>
      </c>
      <c r="K3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96" s="6" t="s">
        <v>17</v>
      </c>
      <c r="M396" s="7">
        <v>38</v>
      </c>
      <c r="N396" t="s">
        <v>15</v>
      </c>
      <c r="O396" s="9" t="str">
        <f>IF(Table1_1[[#This Row],[Purchased Bike]]="yes","1","0")</f>
        <v>1</v>
      </c>
      <c r="P396" s="4" t="str">
        <f>IF(Table1_1[[#This Row],[Income]]&lt;=30000,"Low ",IF(Table1_1[[#This Row],[Income]]&lt;=70000,"Middle","High"))</f>
        <v>Middle</v>
      </c>
      <c r="Q396" s="6" t="str">
        <f>IF(Table1_1[[#This Row],[Age]]&lt;30,"Young",IF(Table1_1[[#This Row],[Age]]&lt;50,"Middle aged","Senior citizen"))</f>
        <v>Middle aged</v>
      </c>
      <c r="R396" s="7">
        <f>IF(Table1_1[[#This Row],[Marriedarital SingletatuSingle]]="M",Table1_1[[#This Row],[Children]]+2,Table1_1[[#This Row],[Children]]+1)</f>
        <v>1</v>
      </c>
      <c r="S396" s="4" t="str">
        <f>IF(Table1_1[[#This Row],[Cars]]=0,"No","Yes")</f>
        <v>No</v>
      </c>
      <c r="T396" s="6" t="str">
        <f>IF(AND(Table1_1[[#This Row],[Income]]&gt;50000,Table1_1[[#This Row],[Home Owner]]="Yes"),"High stability","Low stability")</f>
        <v>Low stability</v>
      </c>
      <c r="U396" s="3">
        <f>Table1_1[[#This Row],[Income]]/Table1_1[[#This Row],[Family size]]</f>
        <v>40000</v>
      </c>
      <c r="V396" s="6" t="str">
        <f>IF(Table1_1[[#This Row],[Occupation]]="Skilled manual","Blue collar",IF(Table1_1[[#This Row],[Occupation]]="Manual","Blue collar","White collar"))</f>
        <v>White collar</v>
      </c>
    </row>
    <row r="397" spans="1:22" x14ac:dyDescent="0.3">
      <c r="A397" t="s">
        <v>431</v>
      </c>
      <c r="B397" s="6" t="s">
        <v>1042</v>
      </c>
      <c r="C397" s="6" t="s">
        <v>1046</v>
      </c>
      <c r="D397" s="3">
        <v>30000</v>
      </c>
      <c r="E397">
        <v>1</v>
      </c>
      <c r="F397" s="6" t="s">
        <v>13</v>
      </c>
      <c r="G397" s="6" t="s">
        <v>20</v>
      </c>
      <c r="H397" s="6" t="s">
        <v>15</v>
      </c>
      <c r="I397">
        <v>0</v>
      </c>
      <c r="J397" t="s">
        <v>16</v>
      </c>
      <c r="K3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397" s="6" t="s">
        <v>17</v>
      </c>
      <c r="M397" s="7">
        <v>38</v>
      </c>
      <c r="N397" t="s">
        <v>15</v>
      </c>
      <c r="O397" s="9" t="str">
        <f>IF(Table1_1[[#This Row],[Purchased Bike]]="yes","1","0")</f>
        <v>1</v>
      </c>
      <c r="P397" s="4" t="str">
        <f>IF(Table1_1[[#This Row],[Income]]&lt;=30000,"Low ",IF(Table1_1[[#This Row],[Income]]&lt;=70000,"Middle","High"))</f>
        <v xml:space="preserve">Low </v>
      </c>
      <c r="Q397" s="6" t="str">
        <f>IF(Table1_1[[#This Row],[Age]]&lt;30,"Young",IF(Table1_1[[#This Row],[Age]]&lt;50,"Middle aged","Senior citizen"))</f>
        <v>Middle aged</v>
      </c>
      <c r="R397" s="7">
        <f>IF(Table1_1[[#This Row],[Marriedarital SingletatuSingle]]="M",Table1_1[[#This Row],[Children]]+2,Table1_1[[#This Row],[Children]]+1)</f>
        <v>2</v>
      </c>
      <c r="S397" s="4" t="str">
        <f>IF(Table1_1[[#This Row],[Cars]]=0,"No","Yes")</f>
        <v>No</v>
      </c>
      <c r="T397" s="6" t="str">
        <f>IF(AND(Table1_1[[#This Row],[Income]]&gt;50000,Table1_1[[#This Row],[Home Owner]]="Yes"),"High stability","Low stability")</f>
        <v>Low stability</v>
      </c>
      <c r="U397" s="3">
        <f>Table1_1[[#This Row],[Income]]/Table1_1[[#This Row],[Family size]]</f>
        <v>15000</v>
      </c>
      <c r="V397" s="6" t="str">
        <f>IF(Table1_1[[#This Row],[Occupation]]="Skilled manual","Blue collar",IF(Table1_1[[#This Row],[Occupation]]="Manual","Blue collar","White collar"))</f>
        <v>White collar</v>
      </c>
    </row>
    <row r="398" spans="1:22" x14ac:dyDescent="0.3">
      <c r="A398" t="s">
        <v>432</v>
      </c>
      <c r="B398" s="6" t="s">
        <v>1044</v>
      </c>
      <c r="C398" s="6" t="s">
        <v>1046</v>
      </c>
      <c r="D398" s="3">
        <v>60000</v>
      </c>
      <c r="E398">
        <v>2</v>
      </c>
      <c r="F398" s="6" t="s">
        <v>13</v>
      </c>
      <c r="G398" s="6" t="s">
        <v>21</v>
      </c>
      <c r="H398" s="6" t="s">
        <v>15</v>
      </c>
      <c r="I398">
        <v>1</v>
      </c>
      <c r="J398" t="s">
        <v>22</v>
      </c>
      <c r="K3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398" s="6" t="s">
        <v>24</v>
      </c>
      <c r="M398" s="7">
        <v>38</v>
      </c>
      <c r="N398" t="s">
        <v>15</v>
      </c>
      <c r="O398" s="9" t="str">
        <f>IF(Table1_1[[#This Row],[Purchased Bike]]="yes","1","0")</f>
        <v>1</v>
      </c>
      <c r="P398" s="4" t="str">
        <f>IF(Table1_1[[#This Row],[Income]]&lt;=30000,"Low ",IF(Table1_1[[#This Row],[Income]]&lt;=70000,"Middle","High"))</f>
        <v>Middle</v>
      </c>
      <c r="Q398" s="6" t="str">
        <f>IF(Table1_1[[#This Row],[Age]]&lt;30,"Young",IF(Table1_1[[#This Row],[Age]]&lt;50,"Middle aged","Senior citizen"))</f>
        <v>Middle aged</v>
      </c>
      <c r="R398" s="7">
        <f>IF(Table1_1[[#This Row],[Marriedarital SingletatuSingle]]="M",Table1_1[[#This Row],[Children]]+2,Table1_1[[#This Row],[Children]]+1)</f>
        <v>3</v>
      </c>
      <c r="S398" s="4" t="str">
        <f>IF(Table1_1[[#This Row],[Cars]]=0,"No","Yes")</f>
        <v>Yes</v>
      </c>
      <c r="T398" s="6" t="str">
        <f>IF(AND(Table1_1[[#This Row],[Income]]&gt;50000,Table1_1[[#This Row],[Home Owner]]="Yes"),"High stability","Low stability")</f>
        <v>High stability</v>
      </c>
      <c r="U398" s="3">
        <f>Table1_1[[#This Row],[Income]]/Table1_1[[#This Row],[Family size]]</f>
        <v>20000</v>
      </c>
      <c r="V398" s="6" t="str">
        <f>IF(Table1_1[[#This Row],[Occupation]]="Skilled manual","Blue collar",IF(Table1_1[[#This Row],[Occupation]]="Manual","Blue collar","White collar"))</f>
        <v>White collar</v>
      </c>
    </row>
    <row r="399" spans="1:22" x14ac:dyDescent="0.3">
      <c r="A399" t="s">
        <v>433</v>
      </c>
      <c r="B399" s="6" t="s">
        <v>1042</v>
      </c>
      <c r="C399" s="6" t="s">
        <v>1045</v>
      </c>
      <c r="D399" s="3">
        <v>10000</v>
      </c>
      <c r="E399">
        <v>2</v>
      </c>
      <c r="F399" s="6" t="s">
        <v>29</v>
      </c>
      <c r="G399" s="6" t="s">
        <v>20</v>
      </c>
      <c r="H399" s="6" t="s">
        <v>15</v>
      </c>
      <c r="I399">
        <v>2</v>
      </c>
      <c r="J399" t="s">
        <v>23</v>
      </c>
      <c r="K3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399" s="6" t="s">
        <v>24</v>
      </c>
      <c r="M399" s="7">
        <v>58</v>
      </c>
      <c r="N399" t="s">
        <v>18</v>
      </c>
      <c r="O399" s="9" t="str">
        <f>IF(Table1_1[[#This Row],[Purchased Bike]]="yes","1","0")</f>
        <v>0</v>
      </c>
      <c r="P399" s="4" t="str">
        <f>IF(Table1_1[[#This Row],[Income]]&lt;=30000,"Low ",IF(Table1_1[[#This Row],[Income]]&lt;=70000,"Middle","High"))</f>
        <v xml:space="preserve">Low </v>
      </c>
      <c r="Q399" s="6" t="str">
        <f>IF(Table1_1[[#This Row],[Age]]&lt;30,"Young",IF(Table1_1[[#This Row],[Age]]&lt;50,"Middle aged","Senior citizen"))</f>
        <v>Senior citizen</v>
      </c>
      <c r="R399" s="7">
        <f>IF(Table1_1[[#This Row],[Marriedarital SingletatuSingle]]="M",Table1_1[[#This Row],[Children]]+2,Table1_1[[#This Row],[Children]]+1)</f>
        <v>3</v>
      </c>
      <c r="S399" s="4" t="str">
        <f>IF(Table1_1[[#This Row],[Cars]]=0,"No","Yes")</f>
        <v>Yes</v>
      </c>
      <c r="T399" s="6" t="str">
        <f>IF(AND(Table1_1[[#This Row],[Income]]&gt;50000,Table1_1[[#This Row],[Home Owner]]="Yes"),"High stability","Low stability")</f>
        <v>Low stability</v>
      </c>
      <c r="U399" s="3">
        <f>Table1_1[[#This Row],[Income]]/Table1_1[[#This Row],[Family size]]</f>
        <v>3333.3333333333335</v>
      </c>
      <c r="V399" s="6" t="str">
        <f>IF(Table1_1[[#This Row],[Occupation]]="Skilled manual","Blue collar",IF(Table1_1[[#This Row],[Occupation]]="Manual","Blue collar","White collar"))</f>
        <v>White collar</v>
      </c>
    </row>
    <row r="400" spans="1:22" x14ac:dyDescent="0.3">
      <c r="A400" t="s">
        <v>434</v>
      </c>
      <c r="B400" s="6" t="s">
        <v>1044</v>
      </c>
      <c r="C400" s="6" t="s">
        <v>1046</v>
      </c>
      <c r="D400" s="3">
        <v>30000</v>
      </c>
      <c r="E400">
        <v>1</v>
      </c>
      <c r="F400" s="6" t="s">
        <v>13</v>
      </c>
      <c r="G400" s="6" t="s">
        <v>20</v>
      </c>
      <c r="H400" s="6" t="s">
        <v>15</v>
      </c>
      <c r="I400">
        <v>1</v>
      </c>
      <c r="J400" t="s">
        <v>26</v>
      </c>
      <c r="K4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00" s="6" t="s">
        <v>17</v>
      </c>
      <c r="M400" s="7">
        <v>39</v>
      </c>
      <c r="N400" t="s">
        <v>15</v>
      </c>
      <c r="O400" s="9" t="str">
        <f>IF(Table1_1[[#This Row],[Purchased Bike]]="yes","1","0")</f>
        <v>1</v>
      </c>
      <c r="P400" s="4" t="str">
        <f>IF(Table1_1[[#This Row],[Income]]&lt;=30000,"Low ",IF(Table1_1[[#This Row],[Income]]&lt;=70000,"Middle","High"))</f>
        <v xml:space="preserve">Low </v>
      </c>
      <c r="Q400" s="6" t="str">
        <f>IF(Table1_1[[#This Row],[Age]]&lt;30,"Young",IF(Table1_1[[#This Row],[Age]]&lt;50,"Middle aged","Senior citizen"))</f>
        <v>Middle aged</v>
      </c>
      <c r="R400" s="7">
        <f>IF(Table1_1[[#This Row],[Marriedarital SingletatuSingle]]="M",Table1_1[[#This Row],[Children]]+2,Table1_1[[#This Row],[Children]]+1)</f>
        <v>2</v>
      </c>
      <c r="S400" s="4" t="str">
        <f>IF(Table1_1[[#This Row],[Cars]]=0,"No","Yes")</f>
        <v>Yes</v>
      </c>
      <c r="T400" s="6" t="str">
        <f>IF(AND(Table1_1[[#This Row],[Income]]&gt;50000,Table1_1[[#This Row],[Home Owner]]="Yes"),"High stability","Low stability")</f>
        <v>Low stability</v>
      </c>
      <c r="U400" s="3">
        <f>Table1_1[[#This Row],[Income]]/Table1_1[[#This Row],[Family size]]</f>
        <v>15000</v>
      </c>
      <c r="V400" s="6" t="str">
        <f>IF(Table1_1[[#This Row],[Occupation]]="Skilled manual","Blue collar",IF(Table1_1[[#This Row],[Occupation]]="Manual","Blue collar","White collar"))</f>
        <v>White collar</v>
      </c>
    </row>
    <row r="401" spans="1:22" x14ac:dyDescent="0.3">
      <c r="A401" t="s">
        <v>435</v>
      </c>
      <c r="B401" s="6" t="s">
        <v>1044</v>
      </c>
      <c r="C401" s="6" t="s">
        <v>1045</v>
      </c>
      <c r="D401" s="3">
        <v>40000</v>
      </c>
      <c r="E401">
        <v>2</v>
      </c>
      <c r="F401" s="6" t="s">
        <v>13</v>
      </c>
      <c r="G401" s="6" t="s">
        <v>28</v>
      </c>
      <c r="H401" s="6" t="s">
        <v>18</v>
      </c>
      <c r="I401">
        <v>1</v>
      </c>
      <c r="J401" t="s">
        <v>23</v>
      </c>
      <c r="K4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01" s="6" t="s">
        <v>24</v>
      </c>
      <c r="M401" s="7">
        <v>53</v>
      </c>
      <c r="N401" t="s">
        <v>15</v>
      </c>
      <c r="O401" s="9" t="str">
        <f>IF(Table1_1[[#This Row],[Purchased Bike]]="yes","1","0")</f>
        <v>1</v>
      </c>
      <c r="P401" s="4" t="str">
        <f>IF(Table1_1[[#This Row],[Income]]&lt;=30000,"Low ",IF(Table1_1[[#This Row],[Income]]&lt;=70000,"Middle","High"))</f>
        <v>Middle</v>
      </c>
      <c r="Q401" s="6" t="str">
        <f>IF(Table1_1[[#This Row],[Age]]&lt;30,"Young",IF(Table1_1[[#This Row],[Age]]&lt;50,"Middle aged","Senior citizen"))</f>
        <v>Senior citizen</v>
      </c>
      <c r="R401" s="7">
        <f>IF(Table1_1[[#This Row],[Marriedarital SingletatuSingle]]="M",Table1_1[[#This Row],[Children]]+2,Table1_1[[#This Row],[Children]]+1)</f>
        <v>3</v>
      </c>
      <c r="S401" s="4" t="str">
        <f>IF(Table1_1[[#This Row],[Cars]]=0,"No","Yes")</f>
        <v>Yes</v>
      </c>
      <c r="T401" s="6" t="str">
        <f>IF(AND(Table1_1[[#This Row],[Income]]&gt;50000,Table1_1[[#This Row],[Home Owner]]="Yes"),"High stability","Low stability")</f>
        <v>Low stability</v>
      </c>
      <c r="U401" s="3">
        <f>Table1_1[[#This Row],[Income]]/Table1_1[[#This Row],[Family size]]</f>
        <v>13333.333333333334</v>
      </c>
      <c r="V401" s="6" t="str">
        <f>IF(Table1_1[[#This Row],[Occupation]]="Skilled manual","Blue collar",IF(Table1_1[[#This Row],[Occupation]]="Manual","Blue collar","White collar"))</f>
        <v>White collar</v>
      </c>
    </row>
    <row r="402" spans="1:22" x14ac:dyDescent="0.3">
      <c r="A402" t="s">
        <v>436</v>
      </c>
      <c r="B402" s="6" t="s">
        <v>1044</v>
      </c>
      <c r="C402" s="6" t="s">
        <v>1045</v>
      </c>
      <c r="D402" s="3">
        <v>110000</v>
      </c>
      <c r="E402">
        <v>3</v>
      </c>
      <c r="F402" s="6" t="s">
        <v>13</v>
      </c>
      <c r="G402" s="6" t="s">
        <v>28</v>
      </c>
      <c r="H402" s="6" t="s">
        <v>15</v>
      </c>
      <c r="I402">
        <v>4</v>
      </c>
      <c r="J402" t="s">
        <v>30</v>
      </c>
      <c r="K40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02" s="6" t="s">
        <v>17</v>
      </c>
      <c r="M402" s="7">
        <v>53</v>
      </c>
      <c r="N402" t="s">
        <v>18</v>
      </c>
      <c r="O402" s="9" t="str">
        <f>IF(Table1_1[[#This Row],[Purchased Bike]]="yes","1","0")</f>
        <v>0</v>
      </c>
      <c r="P402" s="4" t="str">
        <f>IF(Table1_1[[#This Row],[Income]]&lt;=30000,"Low ",IF(Table1_1[[#This Row],[Income]]&lt;=70000,"Middle","High"))</f>
        <v>High</v>
      </c>
      <c r="Q402" s="6" t="str">
        <f>IF(Table1_1[[#This Row],[Age]]&lt;30,"Young",IF(Table1_1[[#This Row],[Age]]&lt;50,"Middle aged","Senior citizen"))</f>
        <v>Senior citizen</v>
      </c>
      <c r="R402" s="7">
        <f>IF(Table1_1[[#This Row],[Marriedarital SingletatuSingle]]="M",Table1_1[[#This Row],[Children]]+2,Table1_1[[#This Row],[Children]]+1)</f>
        <v>4</v>
      </c>
      <c r="S402" s="4" t="str">
        <f>IF(Table1_1[[#This Row],[Cars]]=0,"No","Yes")</f>
        <v>Yes</v>
      </c>
      <c r="T402" s="6" t="str">
        <f>IF(AND(Table1_1[[#This Row],[Income]]&gt;50000,Table1_1[[#This Row],[Home Owner]]="Yes"),"High stability","Low stability")</f>
        <v>High stability</v>
      </c>
      <c r="U402" s="3">
        <f>Table1_1[[#This Row],[Income]]/Table1_1[[#This Row],[Family size]]</f>
        <v>27500</v>
      </c>
      <c r="V402" s="6" t="str">
        <f>IF(Table1_1[[#This Row],[Occupation]]="Skilled manual","Blue collar",IF(Table1_1[[#This Row],[Occupation]]="Manual","Blue collar","White collar"))</f>
        <v>White collar</v>
      </c>
    </row>
    <row r="403" spans="1:22" x14ac:dyDescent="0.3">
      <c r="A403" t="s">
        <v>437</v>
      </c>
      <c r="B403" s="6" t="s">
        <v>1042</v>
      </c>
      <c r="C403" s="6" t="s">
        <v>1045</v>
      </c>
      <c r="D403" s="3">
        <v>40000</v>
      </c>
      <c r="E403">
        <v>1</v>
      </c>
      <c r="F403" s="6" t="s">
        <v>13</v>
      </c>
      <c r="G403" s="6" t="s">
        <v>20</v>
      </c>
      <c r="H403" s="6" t="s">
        <v>15</v>
      </c>
      <c r="I403">
        <v>0</v>
      </c>
      <c r="J403" t="s">
        <v>16</v>
      </c>
      <c r="K40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03" s="6" t="s">
        <v>17</v>
      </c>
      <c r="M403" s="7">
        <v>80</v>
      </c>
      <c r="N403" t="s">
        <v>18</v>
      </c>
      <c r="O403" s="9" t="str">
        <f>IF(Table1_1[[#This Row],[Purchased Bike]]="yes","1","0")</f>
        <v>0</v>
      </c>
      <c r="P403" s="4" t="str">
        <f>IF(Table1_1[[#This Row],[Income]]&lt;=30000,"Low ",IF(Table1_1[[#This Row],[Income]]&lt;=70000,"Middle","High"))</f>
        <v>Middle</v>
      </c>
      <c r="Q403" s="6" t="str">
        <f>IF(Table1_1[[#This Row],[Age]]&lt;30,"Young",IF(Table1_1[[#This Row],[Age]]&lt;50,"Middle aged","Senior citizen"))</f>
        <v>Senior citizen</v>
      </c>
      <c r="R403" s="7">
        <f>IF(Table1_1[[#This Row],[Marriedarital SingletatuSingle]]="M",Table1_1[[#This Row],[Children]]+2,Table1_1[[#This Row],[Children]]+1)</f>
        <v>2</v>
      </c>
      <c r="S403" s="4" t="str">
        <f>IF(Table1_1[[#This Row],[Cars]]=0,"No","Yes")</f>
        <v>No</v>
      </c>
      <c r="T403" s="6" t="str">
        <f>IF(AND(Table1_1[[#This Row],[Income]]&gt;50000,Table1_1[[#This Row],[Home Owner]]="Yes"),"High stability","Low stability")</f>
        <v>Low stability</v>
      </c>
      <c r="U403" s="3">
        <f>Table1_1[[#This Row],[Income]]/Table1_1[[#This Row],[Family size]]</f>
        <v>20000</v>
      </c>
      <c r="V403" s="6" t="str">
        <f>IF(Table1_1[[#This Row],[Occupation]]="Skilled manual","Blue collar",IF(Table1_1[[#This Row],[Occupation]]="Manual","Blue collar","White collar"))</f>
        <v>White collar</v>
      </c>
    </row>
    <row r="404" spans="1:22" x14ac:dyDescent="0.3">
      <c r="A404" t="s">
        <v>438</v>
      </c>
      <c r="B404" s="6" t="s">
        <v>1042</v>
      </c>
      <c r="C404" s="6" t="s">
        <v>1046</v>
      </c>
      <c r="D404" s="3">
        <v>10000</v>
      </c>
      <c r="E404">
        <v>1</v>
      </c>
      <c r="F404" s="6" t="s">
        <v>31</v>
      </c>
      <c r="G404" s="6" t="s">
        <v>25</v>
      </c>
      <c r="H404" s="6" t="s">
        <v>15</v>
      </c>
      <c r="I404">
        <v>0</v>
      </c>
      <c r="J404" t="s">
        <v>16</v>
      </c>
      <c r="K40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04" s="6" t="s">
        <v>17</v>
      </c>
      <c r="M404" s="7">
        <v>44</v>
      </c>
      <c r="N404" t="s">
        <v>18</v>
      </c>
      <c r="O404" s="9" t="str">
        <f>IF(Table1_1[[#This Row],[Purchased Bike]]="yes","1","0")</f>
        <v>0</v>
      </c>
      <c r="P404" s="4" t="str">
        <f>IF(Table1_1[[#This Row],[Income]]&lt;=30000,"Low ",IF(Table1_1[[#This Row],[Income]]&lt;=70000,"Middle","High"))</f>
        <v xml:space="preserve">Low </v>
      </c>
      <c r="Q404" s="6" t="str">
        <f>IF(Table1_1[[#This Row],[Age]]&lt;30,"Young",IF(Table1_1[[#This Row],[Age]]&lt;50,"Middle aged","Senior citizen"))</f>
        <v>Middle aged</v>
      </c>
      <c r="R404" s="7">
        <f>IF(Table1_1[[#This Row],[Marriedarital SingletatuSingle]]="M",Table1_1[[#This Row],[Children]]+2,Table1_1[[#This Row],[Children]]+1)</f>
        <v>2</v>
      </c>
      <c r="S404" s="4" t="str">
        <f>IF(Table1_1[[#This Row],[Cars]]=0,"No","Yes")</f>
        <v>No</v>
      </c>
      <c r="T404" s="6" t="str">
        <f>IF(AND(Table1_1[[#This Row],[Income]]&gt;50000,Table1_1[[#This Row],[Home Owner]]="Yes"),"High stability","Low stability")</f>
        <v>Low stability</v>
      </c>
      <c r="U404" s="3">
        <f>Table1_1[[#This Row],[Income]]/Table1_1[[#This Row],[Family size]]</f>
        <v>5000</v>
      </c>
      <c r="V404" s="6" t="str">
        <f>IF(Table1_1[[#This Row],[Occupation]]="Skilled manual","Blue collar",IF(Table1_1[[#This Row],[Occupation]]="Manual","Blue collar","White collar"))</f>
        <v>Blue collar</v>
      </c>
    </row>
    <row r="405" spans="1:22" x14ac:dyDescent="0.3">
      <c r="A405" t="s">
        <v>439</v>
      </c>
      <c r="B405" s="6" t="s">
        <v>1042</v>
      </c>
      <c r="C405" s="6" t="s">
        <v>1046</v>
      </c>
      <c r="D405" s="3">
        <v>20000</v>
      </c>
      <c r="E405">
        <v>1</v>
      </c>
      <c r="F405" s="6" t="s">
        <v>31</v>
      </c>
      <c r="G405" s="6" t="s">
        <v>20</v>
      </c>
      <c r="H405" s="6" t="s">
        <v>15</v>
      </c>
      <c r="I405">
        <v>0</v>
      </c>
      <c r="J405" t="s">
        <v>16</v>
      </c>
      <c r="K40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05" s="6" t="s">
        <v>17</v>
      </c>
      <c r="M405" s="7">
        <v>44</v>
      </c>
      <c r="N405" t="s">
        <v>18</v>
      </c>
      <c r="O405" s="9" t="str">
        <f>IF(Table1_1[[#This Row],[Purchased Bike]]="yes","1","0")</f>
        <v>0</v>
      </c>
      <c r="P405" s="4" t="str">
        <f>IF(Table1_1[[#This Row],[Income]]&lt;=30000,"Low ",IF(Table1_1[[#This Row],[Income]]&lt;=70000,"Middle","High"))</f>
        <v xml:space="preserve">Low </v>
      </c>
      <c r="Q405" s="6" t="str">
        <f>IF(Table1_1[[#This Row],[Age]]&lt;30,"Young",IF(Table1_1[[#This Row],[Age]]&lt;50,"Middle aged","Senior citizen"))</f>
        <v>Middle aged</v>
      </c>
      <c r="R405" s="7">
        <f>IF(Table1_1[[#This Row],[Marriedarital SingletatuSingle]]="M",Table1_1[[#This Row],[Children]]+2,Table1_1[[#This Row],[Children]]+1)</f>
        <v>2</v>
      </c>
      <c r="S405" s="4" t="str">
        <f>IF(Table1_1[[#This Row],[Cars]]=0,"No","Yes")</f>
        <v>No</v>
      </c>
      <c r="T405" s="6" t="str">
        <f>IF(AND(Table1_1[[#This Row],[Income]]&gt;50000,Table1_1[[#This Row],[Home Owner]]="Yes"),"High stability","Low stability")</f>
        <v>Low stability</v>
      </c>
      <c r="U405" s="3">
        <f>Table1_1[[#This Row],[Income]]/Table1_1[[#This Row],[Family size]]</f>
        <v>10000</v>
      </c>
      <c r="V405" s="6" t="str">
        <f>IF(Table1_1[[#This Row],[Occupation]]="Skilled manual","Blue collar",IF(Table1_1[[#This Row],[Occupation]]="Manual","Blue collar","White collar"))</f>
        <v>White collar</v>
      </c>
    </row>
    <row r="406" spans="1:22" x14ac:dyDescent="0.3">
      <c r="A406" t="s">
        <v>440</v>
      </c>
      <c r="B406" s="6" t="s">
        <v>1042</v>
      </c>
      <c r="C406" s="6" t="s">
        <v>1046</v>
      </c>
      <c r="D406" s="3">
        <v>30000</v>
      </c>
      <c r="E406">
        <v>3</v>
      </c>
      <c r="F406" s="6" t="s">
        <v>27</v>
      </c>
      <c r="G406" s="6" t="s">
        <v>14</v>
      </c>
      <c r="H406" s="6" t="s">
        <v>15</v>
      </c>
      <c r="I406">
        <v>2</v>
      </c>
      <c r="J406" t="s">
        <v>23</v>
      </c>
      <c r="K40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06" s="6" t="s">
        <v>24</v>
      </c>
      <c r="M406" s="7">
        <v>54</v>
      </c>
      <c r="N406" t="s">
        <v>15</v>
      </c>
      <c r="O406" s="9" t="str">
        <f>IF(Table1_1[[#This Row],[Purchased Bike]]="yes","1","0")</f>
        <v>1</v>
      </c>
      <c r="P406" s="4" t="str">
        <f>IF(Table1_1[[#This Row],[Income]]&lt;=30000,"Low ",IF(Table1_1[[#This Row],[Income]]&lt;=70000,"Middle","High"))</f>
        <v xml:space="preserve">Low </v>
      </c>
      <c r="Q406" s="6" t="str">
        <f>IF(Table1_1[[#This Row],[Age]]&lt;30,"Young",IF(Table1_1[[#This Row],[Age]]&lt;50,"Middle aged","Senior citizen"))</f>
        <v>Senior citizen</v>
      </c>
      <c r="R406" s="7">
        <f>IF(Table1_1[[#This Row],[Marriedarital SingletatuSingle]]="M",Table1_1[[#This Row],[Children]]+2,Table1_1[[#This Row],[Children]]+1)</f>
        <v>4</v>
      </c>
      <c r="S406" s="4" t="str">
        <f>IF(Table1_1[[#This Row],[Cars]]=0,"No","Yes")</f>
        <v>Yes</v>
      </c>
      <c r="T406" s="6" t="str">
        <f>IF(AND(Table1_1[[#This Row],[Income]]&gt;50000,Table1_1[[#This Row],[Home Owner]]="Yes"),"High stability","Low stability")</f>
        <v>Low stability</v>
      </c>
      <c r="U406" s="3">
        <f>Table1_1[[#This Row],[Income]]/Table1_1[[#This Row],[Family size]]</f>
        <v>7500</v>
      </c>
      <c r="V406" s="6" t="str">
        <f>IF(Table1_1[[#This Row],[Occupation]]="Skilled manual","Blue collar",IF(Table1_1[[#This Row],[Occupation]]="Manual","Blue collar","White collar"))</f>
        <v>Blue collar</v>
      </c>
    </row>
    <row r="407" spans="1:22" x14ac:dyDescent="0.3">
      <c r="A407" t="s">
        <v>441</v>
      </c>
      <c r="B407" s="6" t="s">
        <v>1042</v>
      </c>
      <c r="C407" s="6" t="s">
        <v>1045</v>
      </c>
      <c r="D407" s="3">
        <v>30000</v>
      </c>
      <c r="E407">
        <v>0</v>
      </c>
      <c r="F407" s="6" t="s">
        <v>13</v>
      </c>
      <c r="G407" s="6" t="s">
        <v>20</v>
      </c>
      <c r="H407" s="6" t="s">
        <v>15</v>
      </c>
      <c r="I407">
        <v>0</v>
      </c>
      <c r="J407" t="s">
        <v>16</v>
      </c>
      <c r="K40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07" s="6" t="s">
        <v>17</v>
      </c>
      <c r="M407" s="7">
        <v>37</v>
      </c>
      <c r="N407" t="s">
        <v>15</v>
      </c>
      <c r="O407" s="9" t="str">
        <f>IF(Table1_1[[#This Row],[Purchased Bike]]="yes","1","0")</f>
        <v>1</v>
      </c>
      <c r="P407" s="4" t="str">
        <f>IF(Table1_1[[#This Row],[Income]]&lt;=30000,"Low ",IF(Table1_1[[#This Row],[Income]]&lt;=70000,"Middle","High"))</f>
        <v xml:space="preserve">Low </v>
      </c>
      <c r="Q407" s="6" t="str">
        <f>IF(Table1_1[[#This Row],[Age]]&lt;30,"Young",IF(Table1_1[[#This Row],[Age]]&lt;50,"Middle aged","Senior citizen"))</f>
        <v>Middle aged</v>
      </c>
      <c r="R407" s="7">
        <f>IF(Table1_1[[#This Row],[Marriedarital SingletatuSingle]]="M",Table1_1[[#This Row],[Children]]+2,Table1_1[[#This Row],[Children]]+1)</f>
        <v>1</v>
      </c>
      <c r="S407" s="4" t="str">
        <f>IF(Table1_1[[#This Row],[Cars]]=0,"No","Yes")</f>
        <v>No</v>
      </c>
      <c r="T407" s="6" t="str">
        <f>IF(AND(Table1_1[[#This Row],[Income]]&gt;50000,Table1_1[[#This Row],[Home Owner]]="Yes"),"High stability","Low stability")</f>
        <v>Low stability</v>
      </c>
      <c r="U407" s="3">
        <f>Table1_1[[#This Row],[Income]]/Table1_1[[#This Row],[Family size]]</f>
        <v>30000</v>
      </c>
      <c r="V407" s="6" t="str">
        <f>IF(Table1_1[[#This Row],[Occupation]]="Skilled manual","Blue collar",IF(Table1_1[[#This Row],[Occupation]]="Manual","Blue collar","White collar"))</f>
        <v>White collar</v>
      </c>
    </row>
    <row r="408" spans="1:22" x14ac:dyDescent="0.3">
      <c r="A408" t="s">
        <v>442</v>
      </c>
      <c r="B408" s="6" t="s">
        <v>1042</v>
      </c>
      <c r="C408" s="6" t="s">
        <v>1045</v>
      </c>
      <c r="D408" s="3">
        <v>40000</v>
      </c>
      <c r="E408">
        <v>1</v>
      </c>
      <c r="F408" s="6" t="s">
        <v>13</v>
      </c>
      <c r="G408" s="6" t="s">
        <v>14</v>
      </c>
      <c r="H408" s="6" t="s">
        <v>15</v>
      </c>
      <c r="I408">
        <v>0</v>
      </c>
      <c r="J408" t="s">
        <v>16</v>
      </c>
      <c r="K40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08" s="6" t="s">
        <v>17</v>
      </c>
      <c r="M408" s="7">
        <v>41</v>
      </c>
      <c r="N408" t="s">
        <v>18</v>
      </c>
      <c r="O408" s="9" t="str">
        <f>IF(Table1_1[[#This Row],[Purchased Bike]]="yes","1","0")</f>
        <v>0</v>
      </c>
      <c r="P408" s="4" t="str">
        <f>IF(Table1_1[[#This Row],[Income]]&lt;=30000,"Low ",IF(Table1_1[[#This Row],[Income]]&lt;=70000,"Middle","High"))</f>
        <v>Middle</v>
      </c>
      <c r="Q408" s="6" t="str">
        <f>IF(Table1_1[[#This Row],[Age]]&lt;30,"Young",IF(Table1_1[[#This Row],[Age]]&lt;50,"Middle aged","Senior citizen"))</f>
        <v>Middle aged</v>
      </c>
      <c r="R408" s="7">
        <f>IF(Table1_1[[#This Row],[Marriedarital SingletatuSingle]]="M",Table1_1[[#This Row],[Children]]+2,Table1_1[[#This Row],[Children]]+1)</f>
        <v>2</v>
      </c>
      <c r="S408" s="4" t="str">
        <f>IF(Table1_1[[#This Row],[Cars]]=0,"No","Yes")</f>
        <v>No</v>
      </c>
      <c r="T408" s="6" t="str">
        <f>IF(AND(Table1_1[[#This Row],[Income]]&gt;50000,Table1_1[[#This Row],[Home Owner]]="Yes"),"High stability","Low stability")</f>
        <v>Low stability</v>
      </c>
      <c r="U408" s="3">
        <f>Table1_1[[#This Row],[Income]]/Table1_1[[#This Row],[Family size]]</f>
        <v>20000</v>
      </c>
      <c r="V408" s="6" t="str">
        <f>IF(Table1_1[[#This Row],[Occupation]]="Skilled manual","Blue collar",IF(Table1_1[[#This Row],[Occupation]]="Manual","Blue collar","White collar"))</f>
        <v>Blue collar</v>
      </c>
    </row>
    <row r="409" spans="1:22" x14ac:dyDescent="0.3">
      <c r="A409" t="s">
        <v>443</v>
      </c>
      <c r="B409" s="6" t="s">
        <v>1044</v>
      </c>
      <c r="C409" s="6" t="s">
        <v>1045</v>
      </c>
      <c r="D409" s="3">
        <v>90000</v>
      </c>
      <c r="E409">
        <v>2</v>
      </c>
      <c r="F409" s="6" t="s">
        <v>13</v>
      </c>
      <c r="G409" s="6" t="s">
        <v>21</v>
      </c>
      <c r="H409" s="6" t="s">
        <v>18</v>
      </c>
      <c r="I409">
        <v>0</v>
      </c>
      <c r="J409" t="s">
        <v>16</v>
      </c>
      <c r="K40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09" s="6" t="s">
        <v>24</v>
      </c>
      <c r="M409" s="7">
        <v>36</v>
      </c>
      <c r="N409" t="s">
        <v>15</v>
      </c>
      <c r="O409" s="9" t="str">
        <f>IF(Table1_1[[#This Row],[Purchased Bike]]="yes","1","0")</f>
        <v>1</v>
      </c>
      <c r="P409" s="4" t="str">
        <f>IF(Table1_1[[#This Row],[Income]]&lt;=30000,"Low ",IF(Table1_1[[#This Row],[Income]]&lt;=70000,"Middle","High"))</f>
        <v>High</v>
      </c>
      <c r="Q409" s="6" t="str">
        <f>IF(Table1_1[[#This Row],[Age]]&lt;30,"Young",IF(Table1_1[[#This Row],[Age]]&lt;50,"Middle aged","Senior citizen"))</f>
        <v>Middle aged</v>
      </c>
      <c r="R409" s="7">
        <f>IF(Table1_1[[#This Row],[Marriedarital SingletatuSingle]]="M",Table1_1[[#This Row],[Children]]+2,Table1_1[[#This Row],[Children]]+1)</f>
        <v>3</v>
      </c>
      <c r="S409" s="4" t="str">
        <f>IF(Table1_1[[#This Row],[Cars]]=0,"No","Yes")</f>
        <v>No</v>
      </c>
      <c r="T409" s="6" t="str">
        <f>IF(AND(Table1_1[[#This Row],[Income]]&gt;50000,Table1_1[[#This Row],[Home Owner]]="Yes"),"High stability","Low stability")</f>
        <v>Low stability</v>
      </c>
      <c r="U409" s="3">
        <f>Table1_1[[#This Row],[Income]]/Table1_1[[#This Row],[Family size]]</f>
        <v>30000</v>
      </c>
      <c r="V409" s="6" t="str">
        <f>IF(Table1_1[[#This Row],[Occupation]]="Skilled manual","Blue collar",IF(Table1_1[[#This Row],[Occupation]]="Manual","Blue collar","White collar"))</f>
        <v>White collar</v>
      </c>
    </row>
    <row r="410" spans="1:22" x14ac:dyDescent="0.3">
      <c r="A410" t="s">
        <v>444</v>
      </c>
      <c r="B410" s="6" t="s">
        <v>1044</v>
      </c>
      <c r="C410" s="6" t="s">
        <v>1045</v>
      </c>
      <c r="D410" s="3">
        <v>40000</v>
      </c>
      <c r="E410">
        <v>2</v>
      </c>
      <c r="F410" s="6" t="s">
        <v>19</v>
      </c>
      <c r="G410" s="6" t="s">
        <v>20</v>
      </c>
      <c r="H410" s="6" t="s">
        <v>15</v>
      </c>
      <c r="I410">
        <v>0</v>
      </c>
      <c r="J410" t="s">
        <v>16</v>
      </c>
      <c r="K4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10" s="6" t="s">
        <v>17</v>
      </c>
      <c r="M410" s="7">
        <v>33</v>
      </c>
      <c r="N410" t="s">
        <v>18</v>
      </c>
      <c r="O410" s="9" t="str">
        <f>IF(Table1_1[[#This Row],[Purchased Bike]]="yes","1","0")</f>
        <v>0</v>
      </c>
      <c r="P410" s="4" t="str">
        <f>IF(Table1_1[[#This Row],[Income]]&lt;=30000,"Low ",IF(Table1_1[[#This Row],[Income]]&lt;=70000,"Middle","High"))</f>
        <v>Middle</v>
      </c>
      <c r="Q410" s="6" t="str">
        <f>IF(Table1_1[[#This Row],[Age]]&lt;30,"Young",IF(Table1_1[[#This Row],[Age]]&lt;50,"Middle aged","Senior citizen"))</f>
        <v>Middle aged</v>
      </c>
      <c r="R410" s="7">
        <f>IF(Table1_1[[#This Row],[Marriedarital SingletatuSingle]]="M",Table1_1[[#This Row],[Children]]+2,Table1_1[[#This Row],[Children]]+1)</f>
        <v>3</v>
      </c>
      <c r="S410" s="4" t="str">
        <f>IF(Table1_1[[#This Row],[Cars]]=0,"No","Yes")</f>
        <v>No</v>
      </c>
      <c r="T410" s="6" t="str">
        <f>IF(AND(Table1_1[[#This Row],[Income]]&gt;50000,Table1_1[[#This Row],[Home Owner]]="Yes"),"High stability","Low stability")</f>
        <v>Low stability</v>
      </c>
      <c r="U410" s="3">
        <f>Table1_1[[#This Row],[Income]]/Table1_1[[#This Row],[Family size]]</f>
        <v>13333.333333333334</v>
      </c>
      <c r="V410" s="6" t="str">
        <f>IF(Table1_1[[#This Row],[Occupation]]="Skilled manual","Blue collar",IF(Table1_1[[#This Row],[Occupation]]="Manual","Blue collar","White collar"))</f>
        <v>White collar</v>
      </c>
    </row>
    <row r="411" spans="1:22" x14ac:dyDescent="0.3">
      <c r="A411" t="s">
        <v>445</v>
      </c>
      <c r="B411" s="6" t="s">
        <v>1042</v>
      </c>
      <c r="C411" s="6" t="s">
        <v>1045</v>
      </c>
      <c r="D411" s="3">
        <v>130000</v>
      </c>
      <c r="E411">
        <v>3</v>
      </c>
      <c r="F411" s="6" t="s">
        <v>19</v>
      </c>
      <c r="G411" s="6" t="s">
        <v>21</v>
      </c>
      <c r="H411" s="6" t="s">
        <v>15</v>
      </c>
      <c r="I411">
        <v>4</v>
      </c>
      <c r="J411" t="s">
        <v>16</v>
      </c>
      <c r="K4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11" s="6" t="s">
        <v>17</v>
      </c>
      <c r="M411" s="7">
        <v>52</v>
      </c>
      <c r="N411" t="s">
        <v>18</v>
      </c>
      <c r="O411" s="9" t="str">
        <f>IF(Table1_1[[#This Row],[Purchased Bike]]="yes","1","0")</f>
        <v>0</v>
      </c>
      <c r="P411" s="4" t="str">
        <f>IF(Table1_1[[#This Row],[Income]]&lt;=30000,"Low ",IF(Table1_1[[#This Row],[Income]]&lt;=70000,"Middle","High"))</f>
        <v>High</v>
      </c>
      <c r="Q411" s="6" t="str">
        <f>IF(Table1_1[[#This Row],[Age]]&lt;30,"Young",IF(Table1_1[[#This Row],[Age]]&lt;50,"Middle aged","Senior citizen"))</f>
        <v>Senior citizen</v>
      </c>
      <c r="R411" s="7">
        <f>IF(Table1_1[[#This Row],[Marriedarital SingletatuSingle]]="M",Table1_1[[#This Row],[Children]]+2,Table1_1[[#This Row],[Children]]+1)</f>
        <v>4</v>
      </c>
      <c r="S411" s="4" t="str">
        <f>IF(Table1_1[[#This Row],[Cars]]=0,"No","Yes")</f>
        <v>Yes</v>
      </c>
      <c r="T411" s="6" t="str">
        <f>IF(AND(Table1_1[[#This Row],[Income]]&gt;50000,Table1_1[[#This Row],[Home Owner]]="Yes"),"High stability","Low stability")</f>
        <v>High stability</v>
      </c>
      <c r="U411" s="3">
        <f>Table1_1[[#This Row],[Income]]/Table1_1[[#This Row],[Family size]]</f>
        <v>32500</v>
      </c>
      <c r="V411" s="6" t="str">
        <f>IF(Table1_1[[#This Row],[Occupation]]="Skilled manual","Blue collar",IF(Table1_1[[#This Row],[Occupation]]="Manual","Blue collar","White collar"))</f>
        <v>White collar</v>
      </c>
    </row>
    <row r="412" spans="1:22" x14ac:dyDescent="0.3">
      <c r="A412" t="s">
        <v>446</v>
      </c>
      <c r="B412" s="6" t="s">
        <v>1042</v>
      </c>
      <c r="C412" s="6" t="s">
        <v>1045</v>
      </c>
      <c r="D412" s="3">
        <v>20000</v>
      </c>
      <c r="E412">
        <v>2</v>
      </c>
      <c r="F412" s="6" t="s">
        <v>19</v>
      </c>
      <c r="G412" s="6" t="s">
        <v>25</v>
      </c>
      <c r="H412" s="6" t="s">
        <v>15</v>
      </c>
      <c r="I412">
        <v>1</v>
      </c>
      <c r="J412" t="s">
        <v>16</v>
      </c>
      <c r="K4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12" s="6" t="s">
        <v>17</v>
      </c>
      <c r="M412" s="7">
        <v>46</v>
      </c>
      <c r="N412" t="s">
        <v>15</v>
      </c>
      <c r="O412" s="9" t="str">
        <f>IF(Table1_1[[#This Row],[Purchased Bike]]="yes","1","0")</f>
        <v>1</v>
      </c>
      <c r="P412" s="4" t="str">
        <f>IF(Table1_1[[#This Row],[Income]]&lt;=30000,"Low ",IF(Table1_1[[#This Row],[Income]]&lt;=70000,"Middle","High"))</f>
        <v xml:space="preserve">Low </v>
      </c>
      <c r="Q412" s="6" t="str">
        <f>IF(Table1_1[[#This Row],[Age]]&lt;30,"Young",IF(Table1_1[[#This Row],[Age]]&lt;50,"Middle aged","Senior citizen"))</f>
        <v>Middle aged</v>
      </c>
      <c r="R412" s="7">
        <f>IF(Table1_1[[#This Row],[Marriedarital SingletatuSingle]]="M",Table1_1[[#This Row],[Children]]+2,Table1_1[[#This Row],[Children]]+1)</f>
        <v>3</v>
      </c>
      <c r="S412" s="4" t="str">
        <f>IF(Table1_1[[#This Row],[Cars]]=0,"No","Yes")</f>
        <v>Yes</v>
      </c>
      <c r="T412" s="6" t="str">
        <f>IF(AND(Table1_1[[#This Row],[Income]]&gt;50000,Table1_1[[#This Row],[Home Owner]]="Yes"),"High stability","Low stability")</f>
        <v>Low stability</v>
      </c>
      <c r="U412" s="3">
        <f>Table1_1[[#This Row],[Income]]/Table1_1[[#This Row],[Family size]]</f>
        <v>6666.666666666667</v>
      </c>
      <c r="V412" s="6" t="str">
        <f>IF(Table1_1[[#This Row],[Occupation]]="Skilled manual","Blue collar",IF(Table1_1[[#This Row],[Occupation]]="Manual","Blue collar","White collar"))</f>
        <v>Blue collar</v>
      </c>
    </row>
    <row r="413" spans="1:22" x14ac:dyDescent="0.3">
      <c r="A413" t="s">
        <v>447</v>
      </c>
      <c r="B413" s="6" t="s">
        <v>1042</v>
      </c>
      <c r="C413" s="6" t="s">
        <v>1046</v>
      </c>
      <c r="D413" s="3">
        <v>70000</v>
      </c>
      <c r="E413">
        <v>5</v>
      </c>
      <c r="F413" s="6" t="s">
        <v>19</v>
      </c>
      <c r="G413" s="6" t="s">
        <v>14</v>
      </c>
      <c r="H413" s="6" t="s">
        <v>15</v>
      </c>
      <c r="I413">
        <v>2</v>
      </c>
      <c r="J413" t="s">
        <v>23</v>
      </c>
      <c r="K4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13" s="6" t="s">
        <v>24</v>
      </c>
      <c r="M413" s="7">
        <v>43</v>
      </c>
      <c r="N413" t="s">
        <v>18</v>
      </c>
      <c r="O413" s="9" t="str">
        <f>IF(Table1_1[[#This Row],[Purchased Bike]]="yes","1","0")</f>
        <v>0</v>
      </c>
      <c r="P413" s="4" t="str">
        <f>IF(Table1_1[[#This Row],[Income]]&lt;=30000,"Low ",IF(Table1_1[[#This Row],[Income]]&lt;=70000,"Middle","High"))</f>
        <v>Middle</v>
      </c>
      <c r="Q413" s="6" t="str">
        <f>IF(Table1_1[[#This Row],[Age]]&lt;30,"Young",IF(Table1_1[[#This Row],[Age]]&lt;50,"Middle aged","Senior citizen"))</f>
        <v>Middle aged</v>
      </c>
      <c r="R413" s="7">
        <f>IF(Table1_1[[#This Row],[Marriedarital SingletatuSingle]]="M",Table1_1[[#This Row],[Children]]+2,Table1_1[[#This Row],[Children]]+1)</f>
        <v>6</v>
      </c>
      <c r="S413" s="4" t="str">
        <f>IF(Table1_1[[#This Row],[Cars]]=0,"No","Yes")</f>
        <v>Yes</v>
      </c>
      <c r="T413" s="6" t="str">
        <f>IF(AND(Table1_1[[#This Row],[Income]]&gt;50000,Table1_1[[#This Row],[Home Owner]]="Yes"),"High stability","Low stability")</f>
        <v>High stability</v>
      </c>
      <c r="U413" s="3">
        <f>Table1_1[[#This Row],[Income]]/Table1_1[[#This Row],[Family size]]</f>
        <v>11666.666666666666</v>
      </c>
      <c r="V413" s="6" t="str">
        <f>IF(Table1_1[[#This Row],[Occupation]]="Skilled manual","Blue collar",IF(Table1_1[[#This Row],[Occupation]]="Manual","Blue collar","White collar"))</f>
        <v>Blue collar</v>
      </c>
    </row>
    <row r="414" spans="1:22" x14ac:dyDescent="0.3">
      <c r="A414" t="s">
        <v>448</v>
      </c>
      <c r="B414" s="6" t="s">
        <v>1044</v>
      </c>
      <c r="C414" s="6" t="s">
        <v>1046</v>
      </c>
      <c r="D414" s="3">
        <v>40000</v>
      </c>
      <c r="E414">
        <v>2</v>
      </c>
      <c r="F414" s="6" t="s">
        <v>19</v>
      </c>
      <c r="G414" s="6" t="s">
        <v>20</v>
      </c>
      <c r="H414" s="6" t="s">
        <v>15</v>
      </c>
      <c r="I414">
        <v>0</v>
      </c>
      <c r="J414" t="s">
        <v>16</v>
      </c>
      <c r="K4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14" s="6" t="s">
        <v>17</v>
      </c>
      <c r="M414" s="7">
        <v>34</v>
      </c>
      <c r="N414" t="s">
        <v>18</v>
      </c>
      <c r="O414" s="9" t="str">
        <f>IF(Table1_1[[#This Row],[Purchased Bike]]="yes","1","0")</f>
        <v>0</v>
      </c>
      <c r="P414" s="4" t="str">
        <f>IF(Table1_1[[#This Row],[Income]]&lt;=30000,"Low ",IF(Table1_1[[#This Row],[Income]]&lt;=70000,"Middle","High"))</f>
        <v>Middle</v>
      </c>
      <c r="Q414" s="6" t="str">
        <f>IF(Table1_1[[#This Row],[Age]]&lt;30,"Young",IF(Table1_1[[#This Row],[Age]]&lt;50,"Middle aged","Senior citizen"))</f>
        <v>Middle aged</v>
      </c>
      <c r="R414" s="7">
        <f>IF(Table1_1[[#This Row],[Marriedarital SingletatuSingle]]="M",Table1_1[[#This Row],[Children]]+2,Table1_1[[#This Row],[Children]]+1)</f>
        <v>3</v>
      </c>
      <c r="S414" s="4" t="str">
        <f>IF(Table1_1[[#This Row],[Cars]]=0,"No","Yes")</f>
        <v>No</v>
      </c>
      <c r="T414" s="6" t="str">
        <f>IF(AND(Table1_1[[#This Row],[Income]]&gt;50000,Table1_1[[#This Row],[Home Owner]]="Yes"),"High stability","Low stability")</f>
        <v>Low stability</v>
      </c>
      <c r="U414" s="3">
        <f>Table1_1[[#This Row],[Income]]/Table1_1[[#This Row],[Family size]]</f>
        <v>13333.333333333334</v>
      </c>
      <c r="V414" s="6" t="str">
        <f>IF(Table1_1[[#This Row],[Occupation]]="Skilled manual","Blue collar",IF(Table1_1[[#This Row],[Occupation]]="Manual","Blue collar","White collar"))</f>
        <v>White collar</v>
      </c>
    </row>
    <row r="415" spans="1:22" x14ac:dyDescent="0.3">
      <c r="A415" t="s">
        <v>449</v>
      </c>
      <c r="B415" s="6" t="s">
        <v>1044</v>
      </c>
      <c r="C415" s="6" t="s">
        <v>1045</v>
      </c>
      <c r="D415" s="3">
        <v>30000</v>
      </c>
      <c r="E415">
        <v>2</v>
      </c>
      <c r="F415" s="6" t="s">
        <v>19</v>
      </c>
      <c r="G415" s="6" t="s">
        <v>20</v>
      </c>
      <c r="H415" s="6" t="s">
        <v>18</v>
      </c>
      <c r="I415">
        <v>2</v>
      </c>
      <c r="J415" t="s">
        <v>23</v>
      </c>
      <c r="K4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15" s="6" t="s">
        <v>24</v>
      </c>
      <c r="M415" s="7">
        <v>67</v>
      </c>
      <c r="N415" t="s">
        <v>18</v>
      </c>
      <c r="O415" s="9" t="str">
        <f>IF(Table1_1[[#This Row],[Purchased Bike]]="yes","1","0")</f>
        <v>0</v>
      </c>
      <c r="P415" s="4" t="str">
        <f>IF(Table1_1[[#This Row],[Income]]&lt;=30000,"Low ",IF(Table1_1[[#This Row],[Income]]&lt;=70000,"Middle","High"))</f>
        <v xml:space="preserve">Low </v>
      </c>
      <c r="Q415" s="6" t="str">
        <f>IF(Table1_1[[#This Row],[Age]]&lt;30,"Young",IF(Table1_1[[#This Row],[Age]]&lt;50,"Middle aged","Senior citizen"))</f>
        <v>Senior citizen</v>
      </c>
      <c r="R415" s="7">
        <f>IF(Table1_1[[#This Row],[Marriedarital SingletatuSingle]]="M",Table1_1[[#This Row],[Children]]+2,Table1_1[[#This Row],[Children]]+1)</f>
        <v>3</v>
      </c>
      <c r="S415" s="4" t="str">
        <f>IF(Table1_1[[#This Row],[Cars]]=0,"No","Yes")</f>
        <v>Yes</v>
      </c>
      <c r="T415" s="6" t="str">
        <f>IF(AND(Table1_1[[#This Row],[Income]]&gt;50000,Table1_1[[#This Row],[Home Owner]]="Yes"),"High stability","Low stability")</f>
        <v>Low stability</v>
      </c>
      <c r="U415" s="3">
        <f>Table1_1[[#This Row],[Income]]/Table1_1[[#This Row],[Family size]]</f>
        <v>10000</v>
      </c>
      <c r="V415" s="6" t="str">
        <f>IF(Table1_1[[#This Row],[Occupation]]="Skilled manual","Blue collar",IF(Table1_1[[#This Row],[Occupation]]="Manual","Blue collar","White collar"))</f>
        <v>White collar</v>
      </c>
    </row>
    <row r="416" spans="1:22" x14ac:dyDescent="0.3">
      <c r="A416" t="s">
        <v>450</v>
      </c>
      <c r="B416" s="6" t="s">
        <v>1042</v>
      </c>
      <c r="C416" s="6" t="s">
        <v>1045</v>
      </c>
      <c r="D416" s="3">
        <v>40000</v>
      </c>
      <c r="E416">
        <v>0</v>
      </c>
      <c r="F416" s="6" t="s">
        <v>31</v>
      </c>
      <c r="G416" s="6" t="s">
        <v>20</v>
      </c>
      <c r="H416" s="6" t="s">
        <v>15</v>
      </c>
      <c r="I416">
        <v>0</v>
      </c>
      <c r="J416" t="s">
        <v>16</v>
      </c>
      <c r="K4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16" s="6" t="s">
        <v>17</v>
      </c>
      <c r="M416" s="7">
        <v>35</v>
      </c>
      <c r="N416" t="s">
        <v>15</v>
      </c>
      <c r="O416" s="9" t="str">
        <f>IF(Table1_1[[#This Row],[Purchased Bike]]="yes","1","0")</f>
        <v>1</v>
      </c>
      <c r="P416" s="4" t="str">
        <f>IF(Table1_1[[#This Row],[Income]]&lt;=30000,"Low ",IF(Table1_1[[#This Row],[Income]]&lt;=70000,"Middle","High"))</f>
        <v>Middle</v>
      </c>
      <c r="Q416" s="6" t="str">
        <f>IF(Table1_1[[#This Row],[Age]]&lt;30,"Young",IF(Table1_1[[#This Row],[Age]]&lt;50,"Middle aged","Senior citizen"))</f>
        <v>Middle aged</v>
      </c>
      <c r="R416" s="7">
        <f>IF(Table1_1[[#This Row],[Marriedarital SingletatuSingle]]="M",Table1_1[[#This Row],[Children]]+2,Table1_1[[#This Row],[Children]]+1)</f>
        <v>1</v>
      </c>
      <c r="S416" s="4" t="str">
        <f>IF(Table1_1[[#This Row],[Cars]]=0,"No","Yes")</f>
        <v>No</v>
      </c>
      <c r="T416" s="6" t="str">
        <f>IF(AND(Table1_1[[#This Row],[Income]]&gt;50000,Table1_1[[#This Row],[Home Owner]]="Yes"),"High stability","Low stability")</f>
        <v>Low stability</v>
      </c>
      <c r="U416" s="3">
        <f>Table1_1[[#This Row],[Income]]/Table1_1[[#This Row],[Family size]]</f>
        <v>40000</v>
      </c>
      <c r="V416" s="6" t="str">
        <f>IF(Table1_1[[#This Row],[Occupation]]="Skilled manual","Blue collar",IF(Table1_1[[#This Row],[Occupation]]="Manual","Blue collar","White collar"))</f>
        <v>White collar</v>
      </c>
    </row>
    <row r="417" spans="1:22" x14ac:dyDescent="0.3">
      <c r="A417" t="s">
        <v>451</v>
      </c>
      <c r="B417" s="6" t="s">
        <v>1042</v>
      </c>
      <c r="C417" s="6" t="s">
        <v>1045</v>
      </c>
      <c r="D417" s="3">
        <v>80000</v>
      </c>
      <c r="E417">
        <v>5</v>
      </c>
      <c r="F417" s="6" t="s">
        <v>31</v>
      </c>
      <c r="G417" s="6" t="s">
        <v>28</v>
      </c>
      <c r="H417" s="6" t="s">
        <v>15</v>
      </c>
      <c r="I417">
        <v>3</v>
      </c>
      <c r="J417" t="s">
        <v>16</v>
      </c>
      <c r="K4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17" s="6" t="s">
        <v>24</v>
      </c>
      <c r="M417" s="7">
        <v>40</v>
      </c>
      <c r="N417" t="s">
        <v>18</v>
      </c>
      <c r="O417" s="9" t="str">
        <f>IF(Table1_1[[#This Row],[Purchased Bike]]="yes","1","0")</f>
        <v>0</v>
      </c>
      <c r="P417" s="4" t="str">
        <f>IF(Table1_1[[#This Row],[Income]]&lt;=30000,"Low ",IF(Table1_1[[#This Row],[Income]]&lt;=70000,"Middle","High"))</f>
        <v>High</v>
      </c>
      <c r="Q417" s="6" t="str">
        <f>IF(Table1_1[[#This Row],[Age]]&lt;30,"Young",IF(Table1_1[[#This Row],[Age]]&lt;50,"Middle aged","Senior citizen"))</f>
        <v>Middle aged</v>
      </c>
      <c r="R417" s="7">
        <f>IF(Table1_1[[#This Row],[Marriedarital SingletatuSingle]]="M",Table1_1[[#This Row],[Children]]+2,Table1_1[[#This Row],[Children]]+1)</f>
        <v>6</v>
      </c>
      <c r="S417" s="4" t="str">
        <f>IF(Table1_1[[#This Row],[Cars]]=0,"No","Yes")</f>
        <v>Yes</v>
      </c>
      <c r="T417" s="6" t="str">
        <f>IF(AND(Table1_1[[#This Row],[Income]]&gt;50000,Table1_1[[#This Row],[Home Owner]]="Yes"),"High stability","Low stability")</f>
        <v>High stability</v>
      </c>
      <c r="U417" s="3">
        <f>Table1_1[[#This Row],[Income]]/Table1_1[[#This Row],[Family size]]</f>
        <v>13333.333333333334</v>
      </c>
      <c r="V417" s="6" t="str">
        <f>IF(Table1_1[[#This Row],[Occupation]]="Skilled manual","Blue collar",IF(Table1_1[[#This Row],[Occupation]]="Manual","Blue collar","White collar"))</f>
        <v>White collar</v>
      </c>
    </row>
    <row r="418" spans="1:22" x14ac:dyDescent="0.3">
      <c r="A418" t="s">
        <v>452</v>
      </c>
      <c r="B418" s="6" t="s">
        <v>1044</v>
      </c>
      <c r="C418" s="6" t="s">
        <v>1046</v>
      </c>
      <c r="D418" s="3">
        <v>60000</v>
      </c>
      <c r="E418">
        <v>2</v>
      </c>
      <c r="F418" s="6" t="s">
        <v>13</v>
      </c>
      <c r="G418" s="6" t="s">
        <v>21</v>
      </c>
      <c r="H418" s="6" t="s">
        <v>18</v>
      </c>
      <c r="I418">
        <v>1</v>
      </c>
      <c r="J418" t="s">
        <v>16</v>
      </c>
      <c r="K4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18" s="6" t="s">
        <v>24</v>
      </c>
      <c r="M418" s="7">
        <v>37</v>
      </c>
      <c r="N418" t="s">
        <v>15</v>
      </c>
      <c r="O418" s="9" t="str">
        <f>IF(Table1_1[[#This Row],[Purchased Bike]]="yes","1","0")</f>
        <v>1</v>
      </c>
      <c r="P418" s="4" t="str">
        <f>IF(Table1_1[[#This Row],[Income]]&lt;=30000,"Low ",IF(Table1_1[[#This Row],[Income]]&lt;=70000,"Middle","High"))</f>
        <v>Middle</v>
      </c>
      <c r="Q418" s="6" t="str">
        <f>IF(Table1_1[[#This Row],[Age]]&lt;30,"Young",IF(Table1_1[[#This Row],[Age]]&lt;50,"Middle aged","Senior citizen"))</f>
        <v>Middle aged</v>
      </c>
      <c r="R418" s="7">
        <f>IF(Table1_1[[#This Row],[Marriedarital SingletatuSingle]]="M",Table1_1[[#This Row],[Children]]+2,Table1_1[[#This Row],[Children]]+1)</f>
        <v>3</v>
      </c>
      <c r="S418" s="4" t="str">
        <f>IF(Table1_1[[#This Row],[Cars]]=0,"No","Yes")</f>
        <v>Yes</v>
      </c>
      <c r="T418" s="6" t="str">
        <f>IF(AND(Table1_1[[#This Row],[Income]]&gt;50000,Table1_1[[#This Row],[Home Owner]]="Yes"),"High stability","Low stability")</f>
        <v>Low stability</v>
      </c>
      <c r="U418" s="3">
        <f>Table1_1[[#This Row],[Income]]/Table1_1[[#This Row],[Family size]]</f>
        <v>20000</v>
      </c>
      <c r="V418" s="6" t="str">
        <f>IF(Table1_1[[#This Row],[Occupation]]="Skilled manual","Blue collar",IF(Table1_1[[#This Row],[Occupation]]="Manual","Blue collar","White collar"))</f>
        <v>White collar</v>
      </c>
    </row>
    <row r="419" spans="1:22" x14ac:dyDescent="0.3">
      <c r="A419" t="s">
        <v>453</v>
      </c>
      <c r="B419" s="6" t="s">
        <v>1044</v>
      </c>
      <c r="C419" s="6" t="s">
        <v>1045</v>
      </c>
      <c r="D419" s="3">
        <v>30000</v>
      </c>
      <c r="E419">
        <v>2</v>
      </c>
      <c r="F419" s="6" t="s">
        <v>19</v>
      </c>
      <c r="G419" s="6" t="s">
        <v>20</v>
      </c>
      <c r="H419" s="6" t="s">
        <v>18</v>
      </c>
      <c r="I419">
        <v>2</v>
      </c>
      <c r="J419" t="s">
        <v>23</v>
      </c>
      <c r="K4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19" s="6" t="s">
        <v>24</v>
      </c>
      <c r="M419" s="7">
        <v>67</v>
      </c>
      <c r="N419" t="s">
        <v>18</v>
      </c>
      <c r="O419" s="9" t="str">
        <f>IF(Table1_1[[#This Row],[Purchased Bike]]="yes","1","0")</f>
        <v>0</v>
      </c>
      <c r="P419" s="4" t="str">
        <f>IF(Table1_1[[#This Row],[Income]]&lt;=30000,"Low ",IF(Table1_1[[#This Row],[Income]]&lt;=70000,"Middle","High"))</f>
        <v xml:space="preserve">Low </v>
      </c>
      <c r="Q419" s="6" t="str">
        <f>IF(Table1_1[[#This Row],[Age]]&lt;30,"Young",IF(Table1_1[[#This Row],[Age]]&lt;50,"Middle aged","Senior citizen"))</f>
        <v>Senior citizen</v>
      </c>
      <c r="R419" s="7">
        <f>IF(Table1_1[[#This Row],[Marriedarital SingletatuSingle]]="M",Table1_1[[#This Row],[Children]]+2,Table1_1[[#This Row],[Children]]+1)</f>
        <v>3</v>
      </c>
      <c r="S419" s="4" t="str">
        <f>IF(Table1_1[[#This Row],[Cars]]=0,"No","Yes")</f>
        <v>Yes</v>
      </c>
      <c r="T419" s="6" t="str">
        <f>IF(AND(Table1_1[[#This Row],[Income]]&gt;50000,Table1_1[[#This Row],[Home Owner]]="Yes"),"High stability","Low stability")</f>
        <v>Low stability</v>
      </c>
      <c r="U419" s="3">
        <f>Table1_1[[#This Row],[Income]]/Table1_1[[#This Row],[Family size]]</f>
        <v>10000</v>
      </c>
      <c r="V419" s="6" t="str">
        <f>IF(Table1_1[[#This Row],[Occupation]]="Skilled manual","Blue collar",IF(Table1_1[[#This Row],[Occupation]]="Manual","Blue collar","White collar"))</f>
        <v>White collar</v>
      </c>
    </row>
    <row r="420" spans="1:22" x14ac:dyDescent="0.3">
      <c r="A420" t="s">
        <v>454</v>
      </c>
      <c r="B420" s="6" t="s">
        <v>1042</v>
      </c>
      <c r="C420" s="6" t="s">
        <v>1046</v>
      </c>
      <c r="D420" s="3">
        <v>30000</v>
      </c>
      <c r="E420">
        <v>1</v>
      </c>
      <c r="F420" s="6" t="s">
        <v>13</v>
      </c>
      <c r="G420" s="6" t="s">
        <v>14</v>
      </c>
      <c r="H420" s="6" t="s">
        <v>15</v>
      </c>
      <c r="I420">
        <v>2</v>
      </c>
      <c r="J420" t="s">
        <v>16</v>
      </c>
      <c r="K4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20" s="6" t="s">
        <v>17</v>
      </c>
      <c r="M420" s="7">
        <v>41</v>
      </c>
      <c r="N420" t="s">
        <v>15</v>
      </c>
      <c r="O420" s="9" t="str">
        <f>IF(Table1_1[[#This Row],[Purchased Bike]]="yes","1","0")</f>
        <v>1</v>
      </c>
      <c r="P420" s="4" t="str">
        <f>IF(Table1_1[[#This Row],[Income]]&lt;=30000,"Low ",IF(Table1_1[[#This Row],[Income]]&lt;=70000,"Middle","High"))</f>
        <v xml:space="preserve">Low </v>
      </c>
      <c r="Q420" s="6" t="str">
        <f>IF(Table1_1[[#This Row],[Age]]&lt;30,"Young",IF(Table1_1[[#This Row],[Age]]&lt;50,"Middle aged","Senior citizen"))</f>
        <v>Middle aged</v>
      </c>
      <c r="R420" s="7">
        <f>IF(Table1_1[[#This Row],[Marriedarital SingletatuSingle]]="M",Table1_1[[#This Row],[Children]]+2,Table1_1[[#This Row],[Children]]+1)</f>
        <v>2</v>
      </c>
      <c r="S420" s="4" t="str">
        <f>IF(Table1_1[[#This Row],[Cars]]=0,"No","Yes")</f>
        <v>Yes</v>
      </c>
      <c r="T420" s="6" t="str">
        <f>IF(AND(Table1_1[[#This Row],[Income]]&gt;50000,Table1_1[[#This Row],[Home Owner]]="Yes"),"High stability","Low stability")</f>
        <v>Low stability</v>
      </c>
      <c r="U420" s="3">
        <f>Table1_1[[#This Row],[Income]]/Table1_1[[#This Row],[Family size]]</f>
        <v>15000</v>
      </c>
      <c r="V420" s="6" t="str">
        <f>IF(Table1_1[[#This Row],[Occupation]]="Skilled manual","Blue collar",IF(Table1_1[[#This Row],[Occupation]]="Manual","Blue collar","White collar"))</f>
        <v>Blue collar</v>
      </c>
    </row>
    <row r="421" spans="1:22" x14ac:dyDescent="0.3">
      <c r="A421" t="s">
        <v>455</v>
      </c>
      <c r="B421" s="6" t="s">
        <v>1044</v>
      </c>
      <c r="C421" s="6" t="s">
        <v>1046</v>
      </c>
      <c r="D421" s="3">
        <v>10000</v>
      </c>
      <c r="E421">
        <v>2</v>
      </c>
      <c r="F421" s="6" t="s">
        <v>19</v>
      </c>
      <c r="G421" s="6" t="s">
        <v>25</v>
      </c>
      <c r="H421" s="6" t="s">
        <v>15</v>
      </c>
      <c r="I421">
        <v>1</v>
      </c>
      <c r="J421" t="s">
        <v>16</v>
      </c>
      <c r="K4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21" s="6" t="s">
        <v>17</v>
      </c>
      <c r="M421" s="7">
        <v>51</v>
      </c>
      <c r="N421" t="s">
        <v>15</v>
      </c>
      <c r="O421" s="9" t="str">
        <f>IF(Table1_1[[#This Row],[Purchased Bike]]="yes","1","0")</f>
        <v>1</v>
      </c>
      <c r="P421" s="4" t="str">
        <f>IF(Table1_1[[#This Row],[Income]]&lt;=30000,"Low ",IF(Table1_1[[#This Row],[Income]]&lt;=70000,"Middle","High"))</f>
        <v xml:space="preserve">Low </v>
      </c>
      <c r="Q421" s="6" t="str">
        <f>IF(Table1_1[[#This Row],[Age]]&lt;30,"Young",IF(Table1_1[[#This Row],[Age]]&lt;50,"Middle aged","Senior citizen"))</f>
        <v>Senior citizen</v>
      </c>
      <c r="R421" s="7">
        <f>IF(Table1_1[[#This Row],[Marriedarital SingletatuSingle]]="M",Table1_1[[#This Row],[Children]]+2,Table1_1[[#This Row],[Children]]+1)</f>
        <v>3</v>
      </c>
      <c r="S421" s="4" t="str">
        <f>IF(Table1_1[[#This Row],[Cars]]=0,"No","Yes")</f>
        <v>Yes</v>
      </c>
      <c r="T421" s="6" t="str">
        <f>IF(AND(Table1_1[[#This Row],[Income]]&gt;50000,Table1_1[[#This Row],[Home Owner]]="Yes"),"High stability","Low stability")</f>
        <v>Low stability</v>
      </c>
      <c r="U421" s="3">
        <f>Table1_1[[#This Row],[Income]]/Table1_1[[#This Row],[Family size]]</f>
        <v>3333.3333333333335</v>
      </c>
      <c r="V421" s="6" t="str">
        <f>IF(Table1_1[[#This Row],[Occupation]]="Skilled manual","Blue collar",IF(Table1_1[[#This Row],[Occupation]]="Manual","Blue collar","White collar"))</f>
        <v>Blue collar</v>
      </c>
    </row>
    <row r="422" spans="1:22" x14ac:dyDescent="0.3">
      <c r="A422" t="s">
        <v>456</v>
      </c>
      <c r="B422" s="6" t="s">
        <v>1042</v>
      </c>
      <c r="C422" s="6" t="s">
        <v>1045</v>
      </c>
      <c r="D422" s="3">
        <v>100000</v>
      </c>
      <c r="E422">
        <v>2</v>
      </c>
      <c r="F422" s="6" t="s">
        <v>13</v>
      </c>
      <c r="G422" s="6" t="s">
        <v>28</v>
      </c>
      <c r="H422" s="6" t="s">
        <v>15</v>
      </c>
      <c r="I422">
        <v>4</v>
      </c>
      <c r="J422" t="s">
        <v>30</v>
      </c>
      <c r="K4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22" s="6" t="s">
        <v>17</v>
      </c>
      <c r="M422" s="7">
        <v>59</v>
      </c>
      <c r="N422" t="s">
        <v>18</v>
      </c>
      <c r="O422" s="9" t="str">
        <f>IF(Table1_1[[#This Row],[Purchased Bike]]="yes","1","0")</f>
        <v>0</v>
      </c>
      <c r="P422" s="4" t="str">
        <f>IF(Table1_1[[#This Row],[Income]]&lt;=30000,"Low ",IF(Table1_1[[#This Row],[Income]]&lt;=70000,"Middle","High"))</f>
        <v>High</v>
      </c>
      <c r="Q422" s="6" t="str">
        <f>IF(Table1_1[[#This Row],[Age]]&lt;30,"Young",IF(Table1_1[[#This Row],[Age]]&lt;50,"Middle aged","Senior citizen"))</f>
        <v>Senior citizen</v>
      </c>
      <c r="R422" s="7">
        <f>IF(Table1_1[[#This Row],[Marriedarital SingletatuSingle]]="M",Table1_1[[#This Row],[Children]]+2,Table1_1[[#This Row],[Children]]+1)</f>
        <v>3</v>
      </c>
      <c r="S422" s="4" t="str">
        <f>IF(Table1_1[[#This Row],[Cars]]=0,"No","Yes")</f>
        <v>Yes</v>
      </c>
      <c r="T422" s="6" t="str">
        <f>IF(AND(Table1_1[[#This Row],[Income]]&gt;50000,Table1_1[[#This Row],[Home Owner]]="Yes"),"High stability","Low stability")</f>
        <v>High stability</v>
      </c>
      <c r="U422" s="3">
        <f>Table1_1[[#This Row],[Income]]/Table1_1[[#This Row],[Family size]]</f>
        <v>33333.333333333336</v>
      </c>
      <c r="V422" s="6" t="str">
        <f>IF(Table1_1[[#This Row],[Occupation]]="Skilled manual","Blue collar",IF(Table1_1[[#This Row],[Occupation]]="Manual","Blue collar","White collar"))</f>
        <v>White collar</v>
      </c>
    </row>
    <row r="423" spans="1:22" x14ac:dyDescent="0.3">
      <c r="A423" t="s">
        <v>457</v>
      </c>
      <c r="B423" s="6" t="s">
        <v>1042</v>
      </c>
      <c r="C423" s="6" t="s">
        <v>1046</v>
      </c>
      <c r="D423" s="3">
        <v>10000</v>
      </c>
      <c r="E423">
        <v>2</v>
      </c>
      <c r="F423" s="6" t="s">
        <v>19</v>
      </c>
      <c r="G423" s="6" t="s">
        <v>25</v>
      </c>
      <c r="H423" s="6" t="s">
        <v>15</v>
      </c>
      <c r="I423">
        <v>0</v>
      </c>
      <c r="J423" t="s">
        <v>26</v>
      </c>
      <c r="K4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23" s="6" t="s">
        <v>17</v>
      </c>
      <c r="M423" s="7">
        <v>51</v>
      </c>
      <c r="N423" t="s">
        <v>18</v>
      </c>
      <c r="O423" s="9" t="str">
        <f>IF(Table1_1[[#This Row],[Purchased Bike]]="yes","1","0")</f>
        <v>0</v>
      </c>
      <c r="P423" s="4" t="str">
        <f>IF(Table1_1[[#This Row],[Income]]&lt;=30000,"Low ",IF(Table1_1[[#This Row],[Income]]&lt;=70000,"Middle","High"))</f>
        <v xml:space="preserve">Low </v>
      </c>
      <c r="Q423" s="6" t="str">
        <f>IF(Table1_1[[#This Row],[Age]]&lt;30,"Young",IF(Table1_1[[#This Row],[Age]]&lt;50,"Middle aged","Senior citizen"))</f>
        <v>Senior citizen</v>
      </c>
      <c r="R423" s="7">
        <f>IF(Table1_1[[#This Row],[Marriedarital SingletatuSingle]]="M",Table1_1[[#This Row],[Children]]+2,Table1_1[[#This Row],[Children]]+1)</f>
        <v>3</v>
      </c>
      <c r="S423" s="4" t="str">
        <f>IF(Table1_1[[#This Row],[Cars]]=0,"No","Yes")</f>
        <v>No</v>
      </c>
      <c r="T423" s="6" t="str">
        <f>IF(AND(Table1_1[[#This Row],[Income]]&gt;50000,Table1_1[[#This Row],[Home Owner]]="Yes"),"High stability","Low stability")</f>
        <v>Low stability</v>
      </c>
      <c r="U423" s="3">
        <f>Table1_1[[#This Row],[Income]]/Table1_1[[#This Row],[Family size]]</f>
        <v>3333.3333333333335</v>
      </c>
      <c r="V423" s="6" t="str">
        <f>IF(Table1_1[[#This Row],[Occupation]]="Skilled manual","Blue collar",IF(Table1_1[[#This Row],[Occupation]]="Manual","Blue collar","White collar"))</f>
        <v>Blue collar</v>
      </c>
    </row>
    <row r="424" spans="1:22" x14ac:dyDescent="0.3">
      <c r="A424" t="s">
        <v>458</v>
      </c>
      <c r="B424" s="6" t="s">
        <v>1044</v>
      </c>
      <c r="C424" s="6" t="s">
        <v>1046</v>
      </c>
      <c r="D424" s="3">
        <v>110000</v>
      </c>
      <c r="E424">
        <v>0</v>
      </c>
      <c r="F424" s="6" t="s">
        <v>19</v>
      </c>
      <c r="G424" s="6" t="s">
        <v>28</v>
      </c>
      <c r="H424" s="6" t="s">
        <v>18</v>
      </c>
      <c r="I424">
        <v>3</v>
      </c>
      <c r="J424" t="s">
        <v>30</v>
      </c>
      <c r="K4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24" s="6" t="s">
        <v>24</v>
      </c>
      <c r="M424" s="7">
        <v>32</v>
      </c>
      <c r="N424" t="s">
        <v>15</v>
      </c>
      <c r="O424" s="9" t="str">
        <f>IF(Table1_1[[#This Row],[Purchased Bike]]="yes","1","0")</f>
        <v>1</v>
      </c>
      <c r="P424" s="4" t="str">
        <f>IF(Table1_1[[#This Row],[Income]]&lt;=30000,"Low ",IF(Table1_1[[#This Row],[Income]]&lt;=70000,"Middle","High"))</f>
        <v>High</v>
      </c>
      <c r="Q424" s="6" t="str">
        <f>IF(Table1_1[[#This Row],[Age]]&lt;30,"Young",IF(Table1_1[[#This Row],[Age]]&lt;50,"Middle aged","Senior citizen"))</f>
        <v>Middle aged</v>
      </c>
      <c r="R424" s="7">
        <f>IF(Table1_1[[#This Row],[Marriedarital SingletatuSingle]]="M",Table1_1[[#This Row],[Children]]+2,Table1_1[[#This Row],[Children]]+1)</f>
        <v>1</v>
      </c>
      <c r="S424" s="4" t="str">
        <f>IF(Table1_1[[#This Row],[Cars]]=0,"No","Yes")</f>
        <v>Yes</v>
      </c>
      <c r="T424" s="6" t="str">
        <f>IF(AND(Table1_1[[#This Row],[Income]]&gt;50000,Table1_1[[#This Row],[Home Owner]]="Yes"),"High stability","Low stability")</f>
        <v>Low stability</v>
      </c>
      <c r="U424" s="3">
        <f>Table1_1[[#This Row],[Income]]/Table1_1[[#This Row],[Family size]]</f>
        <v>110000</v>
      </c>
      <c r="V424" s="6" t="str">
        <f>IF(Table1_1[[#This Row],[Occupation]]="Skilled manual","Blue collar",IF(Table1_1[[#This Row],[Occupation]]="Manual","Blue collar","White collar"))</f>
        <v>White collar</v>
      </c>
    </row>
    <row r="425" spans="1:22" x14ac:dyDescent="0.3">
      <c r="A425" t="s">
        <v>459</v>
      </c>
      <c r="B425" s="6" t="s">
        <v>1044</v>
      </c>
      <c r="C425" s="6" t="s">
        <v>1046</v>
      </c>
      <c r="D425" s="3">
        <v>30000</v>
      </c>
      <c r="E425">
        <v>0</v>
      </c>
      <c r="F425" s="6" t="s">
        <v>27</v>
      </c>
      <c r="G425" s="6" t="s">
        <v>25</v>
      </c>
      <c r="H425" s="6" t="s">
        <v>15</v>
      </c>
      <c r="I425">
        <v>1</v>
      </c>
      <c r="J425" t="s">
        <v>22</v>
      </c>
      <c r="K4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25" s="6" t="s">
        <v>17</v>
      </c>
      <c r="M425" s="7">
        <v>34</v>
      </c>
      <c r="N425" t="s">
        <v>15</v>
      </c>
      <c r="O425" s="9" t="str">
        <f>IF(Table1_1[[#This Row],[Purchased Bike]]="yes","1","0")</f>
        <v>1</v>
      </c>
      <c r="P425" s="4" t="str">
        <f>IF(Table1_1[[#This Row],[Income]]&lt;=30000,"Low ",IF(Table1_1[[#This Row],[Income]]&lt;=70000,"Middle","High"))</f>
        <v xml:space="preserve">Low </v>
      </c>
      <c r="Q425" s="6" t="str">
        <f>IF(Table1_1[[#This Row],[Age]]&lt;30,"Young",IF(Table1_1[[#This Row],[Age]]&lt;50,"Middle aged","Senior citizen"))</f>
        <v>Middle aged</v>
      </c>
      <c r="R425" s="7">
        <f>IF(Table1_1[[#This Row],[Marriedarital SingletatuSingle]]="M",Table1_1[[#This Row],[Children]]+2,Table1_1[[#This Row],[Children]]+1)</f>
        <v>1</v>
      </c>
      <c r="S425" s="4" t="str">
        <f>IF(Table1_1[[#This Row],[Cars]]=0,"No","Yes")</f>
        <v>Yes</v>
      </c>
      <c r="T425" s="6" t="str">
        <f>IF(AND(Table1_1[[#This Row],[Income]]&gt;50000,Table1_1[[#This Row],[Home Owner]]="Yes"),"High stability","Low stability")</f>
        <v>Low stability</v>
      </c>
      <c r="U425" s="3">
        <f>Table1_1[[#This Row],[Income]]/Table1_1[[#This Row],[Family size]]</f>
        <v>30000</v>
      </c>
      <c r="V425" s="6" t="str">
        <f>IF(Table1_1[[#This Row],[Occupation]]="Skilled manual","Blue collar",IF(Table1_1[[#This Row],[Occupation]]="Manual","Blue collar","White collar"))</f>
        <v>Blue collar</v>
      </c>
    </row>
    <row r="426" spans="1:22" x14ac:dyDescent="0.3">
      <c r="A426" t="s">
        <v>460</v>
      </c>
      <c r="B426" s="6" t="s">
        <v>1044</v>
      </c>
      <c r="C426" s="6" t="s">
        <v>1045</v>
      </c>
      <c r="D426" s="3">
        <v>10000</v>
      </c>
      <c r="E426">
        <v>3</v>
      </c>
      <c r="F426" s="6" t="s">
        <v>29</v>
      </c>
      <c r="G426" s="6" t="s">
        <v>25</v>
      </c>
      <c r="H426" s="6" t="s">
        <v>15</v>
      </c>
      <c r="I426">
        <v>2</v>
      </c>
      <c r="J426" t="s">
        <v>16</v>
      </c>
      <c r="K4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26" s="6" t="s">
        <v>17</v>
      </c>
      <c r="M426" s="7">
        <v>43</v>
      </c>
      <c r="N426" t="s">
        <v>18</v>
      </c>
      <c r="O426" s="9" t="str">
        <f>IF(Table1_1[[#This Row],[Purchased Bike]]="yes","1","0")</f>
        <v>0</v>
      </c>
      <c r="P426" s="4" t="str">
        <f>IF(Table1_1[[#This Row],[Income]]&lt;=30000,"Low ",IF(Table1_1[[#This Row],[Income]]&lt;=70000,"Middle","High"))</f>
        <v xml:space="preserve">Low </v>
      </c>
      <c r="Q426" s="6" t="str">
        <f>IF(Table1_1[[#This Row],[Age]]&lt;30,"Young",IF(Table1_1[[#This Row],[Age]]&lt;50,"Middle aged","Senior citizen"))</f>
        <v>Middle aged</v>
      </c>
      <c r="R426" s="7">
        <f>IF(Table1_1[[#This Row],[Marriedarital SingletatuSingle]]="M",Table1_1[[#This Row],[Children]]+2,Table1_1[[#This Row],[Children]]+1)</f>
        <v>4</v>
      </c>
      <c r="S426" s="4" t="str">
        <f>IF(Table1_1[[#This Row],[Cars]]=0,"No","Yes")</f>
        <v>Yes</v>
      </c>
      <c r="T426" s="6" t="str">
        <f>IF(AND(Table1_1[[#This Row],[Income]]&gt;50000,Table1_1[[#This Row],[Home Owner]]="Yes"),"High stability","Low stability")</f>
        <v>Low stability</v>
      </c>
      <c r="U426" s="3">
        <f>Table1_1[[#This Row],[Income]]/Table1_1[[#This Row],[Family size]]</f>
        <v>2500</v>
      </c>
      <c r="V426" s="6" t="str">
        <f>IF(Table1_1[[#This Row],[Occupation]]="Skilled manual","Blue collar",IF(Table1_1[[#This Row],[Occupation]]="Manual","Blue collar","White collar"))</f>
        <v>Blue collar</v>
      </c>
    </row>
    <row r="427" spans="1:22" x14ac:dyDescent="0.3">
      <c r="A427" t="s">
        <v>461</v>
      </c>
      <c r="B427" s="6" t="s">
        <v>1042</v>
      </c>
      <c r="C427" s="6" t="s">
        <v>1046</v>
      </c>
      <c r="D427" s="3">
        <v>40000</v>
      </c>
      <c r="E427">
        <v>2</v>
      </c>
      <c r="F427" s="6" t="s">
        <v>13</v>
      </c>
      <c r="G427" s="6" t="s">
        <v>28</v>
      </c>
      <c r="H427" s="6" t="s">
        <v>15</v>
      </c>
      <c r="I427">
        <v>2</v>
      </c>
      <c r="J427" t="s">
        <v>16</v>
      </c>
      <c r="K4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27" s="6" t="s">
        <v>24</v>
      </c>
      <c r="M427" s="7">
        <v>67</v>
      </c>
      <c r="N427" t="s">
        <v>18</v>
      </c>
      <c r="O427" s="9" t="str">
        <f>IF(Table1_1[[#This Row],[Purchased Bike]]="yes","1","0")</f>
        <v>0</v>
      </c>
      <c r="P427" s="4" t="str">
        <f>IF(Table1_1[[#This Row],[Income]]&lt;=30000,"Low ",IF(Table1_1[[#This Row],[Income]]&lt;=70000,"Middle","High"))</f>
        <v>Middle</v>
      </c>
      <c r="Q427" s="6" t="str">
        <f>IF(Table1_1[[#This Row],[Age]]&lt;30,"Young",IF(Table1_1[[#This Row],[Age]]&lt;50,"Middle aged","Senior citizen"))</f>
        <v>Senior citizen</v>
      </c>
      <c r="R427" s="7">
        <f>IF(Table1_1[[#This Row],[Marriedarital SingletatuSingle]]="M",Table1_1[[#This Row],[Children]]+2,Table1_1[[#This Row],[Children]]+1)</f>
        <v>3</v>
      </c>
      <c r="S427" s="4" t="str">
        <f>IF(Table1_1[[#This Row],[Cars]]=0,"No","Yes")</f>
        <v>Yes</v>
      </c>
      <c r="T427" s="6" t="str">
        <f>IF(AND(Table1_1[[#This Row],[Income]]&gt;50000,Table1_1[[#This Row],[Home Owner]]="Yes"),"High stability","Low stability")</f>
        <v>Low stability</v>
      </c>
      <c r="U427" s="3">
        <f>Table1_1[[#This Row],[Income]]/Table1_1[[#This Row],[Family size]]</f>
        <v>13333.333333333334</v>
      </c>
      <c r="V427" s="6" t="str">
        <f>IF(Table1_1[[#This Row],[Occupation]]="Skilled manual","Blue collar",IF(Table1_1[[#This Row],[Occupation]]="Manual","Blue collar","White collar"))</f>
        <v>White collar</v>
      </c>
    </row>
    <row r="428" spans="1:22" x14ac:dyDescent="0.3">
      <c r="A428" t="s">
        <v>462</v>
      </c>
      <c r="B428" s="6" t="s">
        <v>1044</v>
      </c>
      <c r="C428" s="6" t="s">
        <v>1046</v>
      </c>
      <c r="D428" s="3">
        <v>30000</v>
      </c>
      <c r="E428">
        <v>0</v>
      </c>
      <c r="F428" s="6" t="s">
        <v>19</v>
      </c>
      <c r="G428" s="6" t="s">
        <v>20</v>
      </c>
      <c r="H428" s="6" t="s">
        <v>18</v>
      </c>
      <c r="I428">
        <v>1</v>
      </c>
      <c r="J428" t="s">
        <v>22</v>
      </c>
      <c r="K4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28" s="6" t="s">
        <v>17</v>
      </c>
      <c r="M428" s="7">
        <v>28</v>
      </c>
      <c r="N428" t="s">
        <v>18</v>
      </c>
      <c r="O428" s="9" t="str">
        <f>IF(Table1_1[[#This Row],[Purchased Bike]]="yes","1","0")</f>
        <v>0</v>
      </c>
      <c r="P428" s="4" t="str">
        <f>IF(Table1_1[[#This Row],[Income]]&lt;=30000,"Low ",IF(Table1_1[[#This Row],[Income]]&lt;=70000,"Middle","High"))</f>
        <v xml:space="preserve">Low </v>
      </c>
      <c r="Q428" s="6" t="str">
        <f>IF(Table1_1[[#This Row],[Age]]&lt;30,"Young",IF(Table1_1[[#This Row],[Age]]&lt;50,"Middle aged","Senior citizen"))</f>
        <v>Young</v>
      </c>
      <c r="R428" s="7">
        <f>IF(Table1_1[[#This Row],[Marriedarital SingletatuSingle]]="M",Table1_1[[#This Row],[Children]]+2,Table1_1[[#This Row],[Children]]+1)</f>
        <v>1</v>
      </c>
      <c r="S428" s="4" t="str">
        <f>IF(Table1_1[[#This Row],[Cars]]=0,"No","Yes")</f>
        <v>Yes</v>
      </c>
      <c r="T428" s="6" t="str">
        <f>IF(AND(Table1_1[[#This Row],[Income]]&gt;50000,Table1_1[[#This Row],[Home Owner]]="Yes"),"High stability","Low stability")</f>
        <v>Low stability</v>
      </c>
      <c r="U428" s="3">
        <f>Table1_1[[#This Row],[Income]]/Table1_1[[#This Row],[Family size]]</f>
        <v>30000</v>
      </c>
      <c r="V428" s="6" t="str">
        <f>IF(Table1_1[[#This Row],[Occupation]]="Skilled manual","Blue collar",IF(Table1_1[[#This Row],[Occupation]]="Manual","Blue collar","White collar"))</f>
        <v>White collar</v>
      </c>
    </row>
    <row r="429" spans="1:22" x14ac:dyDescent="0.3">
      <c r="A429" t="s">
        <v>463</v>
      </c>
      <c r="B429" s="6" t="s">
        <v>1044</v>
      </c>
      <c r="C429" s="6" t="s">
        <v>1045</v>
      </c>
      <c r="D429" s="3">
        <v>90000</v>
      </c>
      <c r="E429">
        <v>1</v>
      </c>
      <c r="F429" s="6" t="s">
        <v>31</v>
      </c>
      <c r="G429" s="6" t="s">
        <v>28</v>
      </c>
      <c r="H429" s="6" t="s">
        <v>15</v>
      </c>
      <c r="I429">
        <v>0</v>
      </c>
      <c r="J429" t="s">
        <v>16</v>
      </c>
      <c r="K4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29" s="6" t="s">
        <v>24</v>
      </c>
      <c r="M429" s="7">
        <v>36</v>
      </c>
      <c r="N429" t="s">
        <v>15</v>
      </c>
      <c r="O429" s="9" t="str">
        <f>IF(Table1_1[[#This Row],[Purchased Bike]]="yes","1","0")</f>
        <v>1</v>
      </c>
      <c r="P429" s="4" t="str">
        <f>IF(Table1_1[[#This Row],[Income]]&lt;=30000,"Low ",IF(Table1_1[[#This Row],[Income]]&lt;=70000,"Middle","High"))</f>
        <v>High</v>
      </c>
      <c r="Q429" s="6" t="str">
        <f>IF(Table1_1[[#This Row],[Age]]&lt;30,"Young",IF(Table1_1[[#This Row],[Age]]&lt;50,"Middle aged","Senior citizen"))</f>
        <v>Middle aged</v>
      </c>
      <c r="R429" s="7">
        <f>IF(Table1_1[[#This Row],[Marriedarital SingletatuSingle]]="M",Table1_1[[#This Row],[Children]]+2,Table1_1[[#This Row],[Children]]+1)</f>
        <v>2</v>
      </c>
      <c r="S429" s="4" t="str">
        <f>IF(Table1_1[[#This Row],[Cars]]=0,"No","Yes")</f>
        <v>No</v>
      </c>
      <c r="T429" s="6" t="str">
        <f>IF(AND(Table1_1[[#This Row],[Income]]&gt;50000,Table1_1[[#This Row],[Home Owner]]="Yes"),"High stability","Low stability")</f>
        <v>High stability</v>
      </c>
      <c r="U429" s="3">
        <f>Table1_1[[#This Row],[Income]]/Table1_1[[#This Row],[Family size]]</f>
        <v>45000</v>
      </c>
      <c r="V429" s="6" t="str">
        <f>IF(Table1_1[[#This Row],[Occupation]]="Skilled manual","Blue collar",IF(Table1_1[[#This Row],[Occupation]]="Manual","Blue collar","White collar"))</f>
        <v>White collar</v>
      </c>
    </row>
    <row r="430" spans="1:22" x14ac:dyDescent="0.3">
      <c r="A430" t="s">
        <v>464</v>
      </c>
      <c r="B430" s="6" t="s">
        <v>1042</v>
      </c>
      <c r="C430" s="6" t="s">
        <v>1046</v>
      </c>
      <c r="D430" s="3">
        <v>110000</v>
      </c>
      <c r="E430">
        <v>4</v>
      </c>
      <c r="F430" s="6" t="s">
        <v>13</v>
      </c>
      <c r="G430" s="6" t="s">
        <v>28</v>
      </c>
      <c r="H430" s="6" t="s">
        <v>15</v>
      </c>
      <c r="I430">
        <v>3</v>
      </c>
      <c r="J430" t="s">
        <v>22</v>
      </c>
      <c r="K4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30" s="6" t="s">
        <v>24</v>
      </c>
      <c r="M430" s="7">
        <v>48</v>
      </c>
      <c r="N430" t="s">
        <v>18</v>
      </c>
      <c r="O430" s="9" t="str">
        <f>IF(Table1_1[[#This Row],[Purchased Bike]]="yes","1","0")</f>
        <v>0</v>
      </c>
      <c r="P430" s="4" t="str">
        <f>IF(Table1_1[[#This Row],[Income]]&lt;=30000,"Low ",IF(Table1_1[[#This Row],[Income]]&lt;=70000,"Middle","High"))</f>
        <v>High</v>
      </c>
      <c r="Q430" s="6" t="str">
        <f>IF(Table1_1[[#This Row],[Age]]&lt;30,"Young",IF(Table1_1[[#This Row],[Age]]&lt;50,"Middle aged","Senior citizen"))</f>
        <v>Middle aged</v>
      </c>
      <c r="R430" s="7">
        <f>IF(Table1_1[[#This Row],[Marriedarital SingletatuSingle]]="M",Table1_1[[#This Row],[Children]]+2,Table1_1[[#This Row],[Children]]+1)</f>
        <v>5</v>
      </c>
      <c r="S430" s="4" t="str">
        <f>IF(Table1_1[[#This Row],[Cars]]=0,"No","Yes")</f>
        <v>Yes</v>
      </c>
      <c r="T430" s="6" t="str">
        <f>IF(AND(Table1_1[[#This Row],[Income]]&gt;50000,Table1_1[[#This Row],[Home Owner]]="Yes"),"High stability","Low stability")</f>
        <v>High stability</v>
      </c>
      <c r="U430" s="3">
        <f>Table1_1[[#This Row],[Income]]/Table1_1[[#This Row],[Family size]]</f>
        <v>22000</v>
      </c>
      <c r="V430" s="6" t="str">
        <f>IF(Table1_1[[#This Row],[Occupation]]="Skilled manual","Blue collar",IF(Table1_1[[#This Row],[Occupation]]="Manual","Blue collar","White collar"))</f>
        <v>White collar</v>
      </c>
    </row>
    <row r="431" spans="1:22" x14ac:dyDescent="0.3">
      <c r="A431" t="s">
        <v>465</v>
      </c>
      <c r="B431" s="6" t="s">
        <v>1044</v>
      </c>
      <c r="C431" s="6" t="s">
        <v>1045</v>
      </c>
      <c r="D431" s="3">
        <v>30000</v>
      </c>
      <c r="E431">
        <v>0</v>
      </c>
      <c r="F431" s="6" t="s">
        <v>19</v>
      </c>
      <c r="G431" s="6" t="s">
        <v>20</v>
      </c>
      <c r="H431" s="6" t="s">
        <v>15</v>
      </c>
      <c r="I431">
        <v>1</v>
      </c>
      <c r="J431" t="s">
        <v>22</v>
      </c>
      <c r="K4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31" s="6" t="s">
        <v>17</v>
      </c>
      <c r="M431" s="7">
        <v>31</v>
      </c>
      <c r="N431" t="s">
        <v>18</v>
      </c>
      <c r="O431" s="9" t="str">
        <f>IF(Table1_1[[#This Row],[Purchased Bike]]="yes","1","0")</f>
        <v>0</v>
      </c>
      <c r="P431" s="4" t="str">
        <f>IF(Table1_1[[#This Row],[Income]]&lt;=30000,"Low ",IF(Table1_1[[#This Row],[Income]]&lt;=70000,"Middle","High"))</f>
        <v xml:space="preserve">Low </v>
      </c>
      <c r="Q431" s="6" t="str">
        <f>IF(Table1_1[[#This Row],[Age]]&lt;30,"Young",IF(Table1_1[[#This Row],[Age]]&lt;50,"Middle aged","Senior citizen"))</f>
        <v>Middle aged</v>
      </c>
      <c r="R431" s="7">
        <f>IF(Table1_1[[#This Row],[Marriedarital SingletatuSingle]]="M",Table1_1[[#This Row],[Children]]+2,Table1_1[[#This Row],[Children]]+1)</f>
        <v>1</v>
      </c>
      <c r="S431" s="4" t="str">
        <f>IF(Table1_1[[#This Row],[Cars]]=0,"No","Yes")</f>
        <v>Yes</v>
      </c>
      <c r="T431" s="6" t="str">
        <f>IF(AND(Table1_1[[#This Row],[Income]]&gt;50000,Table1_1[[#This Row],[Home Owner]]="Yes"),"High stability","Low stability")</f>
        <v>Low stability</v>
      </c>
      <c r="U431" s="3">
        <f>Table1_1[[#This Row],[Income]]/Table1_1[[#This Row],[Family size]]</f>
        <v>30000</v>
      </c>
      <c r="V431" s="6" t="str">
        <f>IF(Table1_1[[#This Row],[Occupation]]="Skilled manual","Blue collar",IF(Table1_1[[#This Row],[Occupation]]="Manual","Blue collar","White collar"))</f>
        <v>White collar</v>
      </c>
    </row>
    <row r="432" spans="1:22" x14ac:dyDescent="0.3">
      <c r="A432" t="s">
        <v>466</v>
      </c>
      <c r="B432" s="6" t="s">
        <v>1044</v>
      </c>
      <c r="C432" s="6" t="s">
        <v>1045</v>
      </c>
      <c r="D432" s="3">
        <v>30000</v>
      </c>
      <c r="E432">
        <v>3</v>
      </c>
      <c r="F432" s="6" t="s">
        <v>27</v>
      </c>
      <c r="G432" s="6" t="s">
        <v>14</v>
      </c>
      <c r="H432" s="6" t="s">
        <v>15</v>
      </c>
      <c r="I432">
        <v>2</v>
      </c>
      <c r="J432" t="s">
        <v>23</v>
      </c>
      <c r="K4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32" s="6" t="s">
        <v>24</v>
      </c>
      <c r="M432" s="7">
        <v>55</v>
      </c>
      <c r="N432" t="s">
        <v>18</v>
      </c>
      <c r="O432" s="9" t="str">
        <f>IF(Table1_1[[#This Row],[Purchased Bike]]="yes","1","0")</f>
        <v>0</v>
      </c>
      <c r="P432" s="4" t="str">
        <f>IF(Table1_1[[#This Row],[Income]]&lt;=30000,"Low ",IF(Table1_1[[#This Row],[Income]]&lt;=70000,"Middle","High"))</f>
        <v xml:space="preserve">Low </v>
      </c>
      <c r="Q432" s="6" t="str">
        <f>IF(Table1_1[[#This Row],[Age]]&lt;30,"Young",IF(Table1_1[[#This Row],[Age]]&lt;50,"Middle aged","Senior citizen"))</f>
        <v>Senior citizen</v>
      </c>
      <c r="R432" s="7">
        <f>IF(Table1_1[[#This Row],[Marriedarital SingletatuSingle]]="M",Table1_1[[#This Row],[Children]]+2,Table1_1[[#This Row],[Children]]+1)</f>
        <v>4</v>
      </c>
      <c r="S432" s="4" t="str">
        <f>IF(Table1_1[[#This Row],[Cars]]=0,"No","Yes")</f>
        <v>Yes</v>
      </c>
      <c r="T432" s="6" t="str">
        <f>IF(AND(Table1_1[[#This Row],[Income]]&gt;50000,Table1_1[[#This Row],[Home Owner]]="Yes"),"High stability","Low stability")</f>
        <v>Low stability</v>
      </c>
      <c r="U432" s="3">
        <f>Table1_1[[#This Row],[Income]]/Table1_1[[#This Row],[Family size]]</f>
        <v>7500</v>
      </c>
      <c r="V432" s="6" t="str">
        <f>IF(Table1_1[[#This Row],[Occupation]]="Skilled manual","Blue collar",IF(Table1_1[[#This Row],[Occupation]]="Manual","Blue collar","White collar"))</f>
        <v>Blue collar</v>
      </c>
    </row>
    <row r="433" spans="1:22" x14ac:dyDescent="0.3">
      <c r="A433" t="s">
        <v>467</v>
      </c>
      <c r="B433" s="6" t="s">
        <v>1044</v>
      </c>
      <c r="C433" s="6" t="s">
        <v>1046</v>
      </c>
      <c r="D433" s="3">
        <v>20000</v>
      </c>
      <c r="E433">
        <v>0</v>
      </c>
      <c r="F433" s="6" t="s">
        <v>19</v>
      </c>
      <c r="G433" s="6" t="s">
        <v>25</v>
      </c>
      <c r="H433" s="6" t="s">
        <v>15</v>
      </c>
      <c r="I433">
        <v>0</v>
      </c>
      <c r="J433" t="s">
        <v>16</v>
      </c>
      <c r="K4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33" s="6" t="s">
        <v>24</v>
      </c>
      <c r="M433" s="7">
        <v>28</v>
      </c>
      <c r="N433" t="s">
        <v>15</v>
      </c>
      <c r="O433" s="9" t="str">
        <f>IF(Table1_1[[#This Row],[Purchased Bike]]="yes","1","0")</f>
        <v>1</v>
      </c>
      <c r="P433" s="4" t="str">
        <f>IF(Table1_1[[#This Row],[Income]]&lt;=30000,"Low ",IF(Table1_1[[#This Row],[Income]]&lt;=70000,"Middle","High"))</f>
        <v xml:space="preserve">Low </v>
      </c>
      <c r="Q433" s="6" t="str">
        <f>IF(Table1_1[[#This Row],[Age]]&lt;30,"Young",IF(Table1_1[[#This Row],[Age]]&lt;50,"Middle aged","Senior citizen"))</f>
        <v>Young</v>
      </c>
      <c r="R433" s="7">
        <f>IF(Table1_1[[#This Row],[Marriedarital SingletatuSingle]]="M",Table1_1[[#This Row],[Children]]+2,Table1_1[[#This Row],[Children]]+1)</f>
        <v>1</v>
      </c>
      <c r="S433" s="4" t="str">
        <f>IF(Table1_1[[#This Row],[Cars]]=0,"No","Yes")</f>
        <v>No</v>
      </c>
      <c r="T433" s="6" t="str">
        <f>IF(AND(Table1_1[[#This Row],[Income]]&gt;50000,Table1_1[[#This Row],[Home Owner]]="Yes"),"High stability","Low stability")</f>
        <v>Low stability</v>
      </c>
      <c r="U433" s="3">
        <f>Table1_1[[#This Row],[Income]]/Table1_1[[#This Row],[Family size]]</f>
        <v>20000</v>
      </c>
      <c r="V433" s="6" t="str">
        <f>IF(Table1_1[[#This Row],[Occupation]]="Skilled manual","Blue collar",IF(Table1_1[[#This Row],[Occupation]]="Manual","Blue collar","White collar"))</f>
        <v>Blue collar</v>
      </c>
    </row>
    <row r="434" spans="1:22" x14ac:dyDescent="0.3">
      <c r="A434" t="s">
        <v>468</v>
      </c>
      <c r="B434" s="6" t="s">
        <v>1042</v>
      </c>
      <c r="C434" s="6" t="s">
        <v>1045</v>
      </c>
      <c r="D434" s="3">
        <v>110000</v>
      </c>
      <c r="E434">
        <v>0</v>
      </c>
      <c r="F434" s="6" t="s">
        <v>27</v>
      </c>
      <c r="G434" s="6" t="s">
        <v>28</v>
      </c>
      <c r="H434" s="6" t="s">
        <v>15</v>
      </c>
      <c r="I434">
        <v>3</v>
      </c>
      <c r="J434" t="s">
        <v>30</v>
      </c>
      <c r="K4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34" s="6" t="s">
        <v>24</v>
      </c>
      <c r="M434" s="7">
        <v>34</v>
      </c>
      <c r="N434" t="s">
        <v>15</v>
      </c>
      <c r="O434" s="9" t="str">
        <f>IF(Table1_1[[#This Row],[Purchased Bike]]="yes","1","0")</f>
        <v>1</v>
      </c>
      <c r="P434" s="4" t="str">
        <f>IF(Table1_1[[#This Row],[Income]]&lt;=30000,"Low ",IF(Table1_1[[#This Row],[Income]]&lt;=70000,"Middle","High"))</f>
        <v>High</v>
      </c>
      <c r="Q434" s="6" t="str">
        <f>IF(Table1_1[[#This Row],[Age]]&lt;30,"Young",IF(Table1_1[[#This Row],[Age]]&lt;50,"Middle aged","Senior citizen"))</f>
        <v>Middle aged</v>
      </c>
      <c r="R434" s="7">
        <f>IF(Table1_1[[#This Row],[Marriedarital SingletatuSingle]]="M",Table1_1[[#This Row],[Children]]+2,Table1_1[[#This Row],[Children]]+1)</f>
        <v>1</v>
      </c>
      <c r="S434" s="4" t="str">
        <f>IF(Table1_1[[#This Row],[Cars]]=0,"No","Yes")</f>
        <v>Yes</v>
      </c>
      <c r="T434" s="6" t="str">
        <f>IF(AND(Table1_1[[#This Row],[Income]]&gt;50000,Table1_1[[#This Row],[Home Owner]]="Yes"),"High stability","Low stability")</f>
        <v>High stability</v>
      </c>
      <c r="U434" s="3">
        <f>Table1_1[[#This Row],[Income]]/Table1_1[[#This Row],[Family size]]</f>
        <v>110000</v>
      </c>
      <c r="V434" s="6" t="str">
        <f>IF(Table1_1[[#This Row],[Occupation]]="Skilled manual","Blue collar",IF(Table1_1[[#This Row],[Occupation]]="Manual","Blue collar","White collar"))</f>
        <v>White collar</v>
      </c>
    </row>
    <row r="435" spans="1:22" x14ac:dyDescent="0.3">
      <c r="A435" t="s">
        <v>469</v>
      </c>
      <c r="B435" s="6" t="s">
        <v>1044</v>
      </c>
      <c r="C435" s="6" t="s">
        <v>1045</v>
      </c>
      <c r="D435" s="3">
        <v>30000</v>
      </c>
      <c r="E435">
        <v>3</v>
      </c>
      <c r="F435" s="6" t="s">
        <v>19</v>
      </c>
      <c r="G435" s="6" t="s">
        <v>20</v>
      </c>
      <c r="H435" s="6" t="s">
        <v>18</v>
      </c>
      <c r="I435">
        <v>1</v>
      </c>
      <c r="J435" t="s">
        <v>16</v>
      </c>
      <c r="K4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35" s="6" t="s">
        <v>17</v>
      </c>
      <c r="M435" s="7">
        <v>26</v>
      </c>
      <c r="N435" t="s">
        <v>18</v>
      </c>
      <c r="O435" s="9" t="str">
        <f>IF(Table1_1[[#This Row],[Purchased Bike]]="yes","1","0")</f>
        <v>0</v>
      </c>
      <c r="P435" s="4" t="str">
        <f>IF(Table1_1[[#This Row],[Income]]&lt;=30000,"Low ",IF(Table1_1[[#This Row],[Income]]&lt;=70000,"Middle","High"))</f>
        <v xml:space="preserve">Low </v>
      </c>
      <c r="Q435" s="6" t="str">
        <f>IF(Table1_1[[#This Row],[Age]]&lt;30,"Young",IF(Table1_1[[#This Row],[Age]]&lt;50,"Middle aged","Senior citizen"))</f>
        <v>Young</v>
      </c>
      <c r="R435" s="7">
        <f>IF(Table1_1[[#This Row],[Marriedarital SingletatuSingle]]="M",Table1_1[[#This Row],[Children]]+2,Table1_1[[#This Row],[Children]]+1)</f>
        <v>4</v>
      </c>
      <c r="S435" s="4" t="str">
        <f>IF(Table1_1[[#This Row],[Cars]]=0,"No","Yes")</f>
        <v>Yes</v>
      </c>
      <c r="T435" s="6" t="str">
        <f>IF(AND(Table1_1[[#This Row],[Income]]&gt;50000,Table1_1[[#This Row],[Home Owner]]="Yes"),"High stability","Low stability")</f>
        <v>Low stability</v>
      </c>
      <c r="U435" s="3">
        <f>Table1_1[[#This Row],[Income]]/Table1_1[[#This Row],[Family size]]</f>
        <v>7500</v>
      </c>
      <c r="V435" s="6" t="str">
        <f>IF(Table1_1[[#This Row],[Occupation]]="Skilled manual","Blue collar",IF(Table1_1[[#This Row],[Occupation]]="Manual","Blue collar","White collar"))</f>
        <v>White collar</v>
      </c>
    </row>
    <row r="436" spans="1:22" x14ac:dyDescent="0.3">
      <c r="A436" t="s">
        <v>470</v>
      </c>
      <c r="B436" s="6" t="s">
        <v>1042</v>
      </c>
      <c r="C436" s="6" t="s">
        <v>1045</v>
      </c>
      <c r="D436" s="3">
        <v>30000</v>
      </c>
      <c r="E436">
        <v>3</v>
      </c>
      <c r="F436" s="6" t="s">
        <v>27</v>
      </c>
      <c r="G436" s="6" t="s">
        <v>14</v>
      </c>
      <c r="H436" s="6" t="s">
        <v>15</v>
      </c>
      <c r="I436">
        <v>2</v>
      </c>
      <c r="J436" t="s">
        <v>23</v>
      </c>
      <c r="K4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36" s="6" t="s">
        <v>24</v>
      </c>
      <c r="M436" s="7">
        <v>53</v>
      </c>
      <c r="N436" t="s">
        <v>15</v>
      </c>
      <c r="O436" s="9" t="str">
        <f>IF(Table1_1[[#This Row],[Purchased Bike]]="yes","1","0")</f>
        <v>1</v>
      </c>
      <c r="P436" s="4" t="str">
        <f>IF(Table1_1[[#This Row],[Income]]&lt;=30000,"Low ",IF(Table1_1[[#This Row],[Income]]&lt;=70000,"Middle","High"))</f>
        <v xml:space="preserve">Low </v>
      </c>
      <c r="Q436" s="6" t="str">
        <f>IF(Table1_1[[#This Row],[Age]]&lt;30,"Young",IF(Table1_1[[#This Row],[Age]]&lt;50,"Middle aged","Senior citizen"))</f>
        <v>Senior citizen</v>
      </c>
      <c r="R436" s="7">
        <f>IF(Table1_1[[#This Row],[Marriedarital SingletatuSingle]]="M",Table1_1[[#This Row],[Children]]+2,Table1_1[[#This Row],[Children]]+1)</f>
        <v>4</v>
      </c>
      <c r="S436" s="4" t="str">
        <f>IF(Table1_1[[#This Row],[Cars]]=0,"No","Yes")</f>
        <v>Yes</v>
      </c>
      <c r="T436" s="6" t="str">
        <f>IF(AND(Table1_1[[#This Row],[Income]]&gt;50000,Table1_1[[#This Row],[Home Owner]]="Yes"),"High stability","Low stability")</f>
        <v>Low stability</v>
      </c>
      <c r="U436" s="3">
        <f>Table1_1[[#This Row],[Income]]/Table1_1[[#This Row],[Family size]]</f>
        <v>7500</v>
      </c>
      <c r="V436" s="6" t="str">
        <f>IF(Table1_1[[#This Row],[Occupation]]="Skilled manual","Blue collar",IF(Table1_1[[#This Row],[Occupation]]="Manual","Blue collar","White collar"))</f>
        <v>Blue collar</v>
      </c>
    </row>
    <row r="437" spans="1:22" x14ac:dyDescent="0.3">
      <c r="A437" t="s">
        <v>471</v>
      </c>
      <c r="B437" s="6" t="s">
        <v>1044</v>
      </c>
      <c r="C437" s="6" t="s">
        <v>1045</v>
      </c>
      <c r="D437" s="3">
        <v>10000</v>
      </c>
      <c r="E437">
        <v>2</v>
      </c>
      <c r="F437" s="6" t="s">
        <v>13</v>
      </c>
      <c r="G437" s="6" t="s">
        <v>20</v>
      </c>
      <c r="H437" s="6" t="s">
        <v>18</v>
      </c>
      <c r="I437">
        <v>1</v>
      </c>
      <c r="J437" t="s">
        <v>22</v>
      </c>
      <c r="K4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37" s="6" t="s">
        <v>17</v>
      </c>
      <c r="M437" s="7">
        <v>68</v>
      </c>
      <c r="N437" t="s">
        <v>18</v>
      </c>
      <c r="O437" s="9" t="str">
        <f>IF(Table1_1[[#This Row],[Purchased Bike]]="yes","1","0")</f>
        <v>0</v>
      </c>
      <c r="P437" s="4" t="str">
        <f>IF(Table1_1[[#This Row],[Income]]&lt;=30000,"Low ",IF(Table1_1[[#This Row],[Income]]&lt;=70000,"Middle","High"))</f>
        <v xml:space="preserve">Low </v>
      </c>
      <c r="Q437" s="6" t="str">
        <f>IF(Table1_1[[#This Row],[Age]]&lt;30,"Young",IF(Table1_1[[#This Row],[Age]]&lt;50,"Middle aged","Senior citizen"))</f>
        <v>Senior citizen</v>
      </c>
      <c r="R437" s="7">
        <f>IF(Table1_1[[#This Row],[Marriedarital SingletatuSingle]]="M",Table1_1[[#This Row],[Children]]+2,Table1_1[[#This Row],[Children]]+1)</f>
        <v>3</v>
      </c>
      <c r="S437" s="4" t="str">
        <f>IF(Table1_1[[#This Row],[Cars]]=0,"No","Yes")</f>
        <v>Yes</v>
      </c>
      <c r="T437" s="6" t="str">
        <f>IF(AND(Table1_1[[#This Row],[Income]]&gt;50000,Table1_1[[#This Row],[Home Owner]]="Yes"),"High stability","Low stability")</f>
        <v>Low stability</v>
      </c>
      <c r="U437" s="3">
        <f>Table1_1[[#This Row],[Income]]/Table1_1[[#This Row],[Family size]]</f>
        <v>3333.3333333333335</v>
      </c>
      <c r="V437" s="6" t="str">
        <f>IF(Table1_1[[#This Row],[Occupation]]="Skilled manual","Blue collar",IF(Table1_1[[#This Row],[Occupation]]="Manual","Blue collar","White collar"))</f>
        <v>White collar</v>
      </c>
    </row>
    <row r="438" spans="1:22" x14ac:dyDescent="0.3">
      <c r="A438" t="s">
        <v>472</v>
      </c>
      <c r="B438" s="6" t="s">
        <v>1042</v>
      </c>
      <c r="C438" s="6" t="s">
        <v>1045</v>
      </c>
      <c r="D438" s="3">
        <v>80000</v>
      </c>
      <c r="E438">
        <v>2</v>
      </c>
      <c r="F438" s="6" t="s">
        <v>27</v>
      </c>
      <c r="G438" s="6" t="s">
        <v>14</v>
      </c>
      <c r="H438" s="6" t="s">
        <v>15</v>
      </c>
      <c r="I438">
        <v>2</v>
      </c>
      <c r="J438" t="s">
        <v>23</v>
      </c>
      <c r="K4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38" s="6" t="s">
        <v>24</v>
      </c>
      <c r="M438" s="7">
        <v>50</v>
      </c>
      <c r="N438" t="s">
        <v>15</v>
      </c>
      <c r="O438" s="9" t="str">
        <f>IF(Table1_1[[#This Row],[Purchased Bike]]="yes","1","0")</f>
        <v>1</v>
      </c>
      <c r="P438" s="4" t="str">
        <f>IF(Table1_1[[#This Row],[Income]]&lt;=30000,"Low ",IF(Table1_1[[#This Row],[Income]]&lt;=70000,"Middle","High"))</f>
        <v>High</v>
      </c>
      <c r="Q438" s="6" t="str">
        <f>IF(Table1_1[[#This Row],[Age]]&lt;30,"Young",IF(Table1_1[[#This Row],[Age]]&lt;50,"Middle aged","Senior citizen"))</f>
        <v>Senior citizen</v>
      </c>
      <c r="R438" s="7">
        <f>IF(Table1_1[[#This Row],[Marriedarital SingletatuSingle]]="M",Table1_1[[#This Row],[Children]]+2,Table1_1[[#This Row],[Children]]+1)</f>
        <v>3</v>
      </c>
      <c r="S438" s="4" t="str">
        <f>IF(Table1_1[[#This Row],[Cars]]=0,"No","Yes")</f>
        <v>Yes</v>
      </c>
      <c r="T438" s="6" t="str">
        <f>IF(AND(Table1_1[[#This Row],[Income]]&gt;50000,Table1_1[[#This Row],[Home Owner]]="Yes"),"High stability","Low stability")</f>
        <v>High stability</v>
      </c>
      <c r="U438" s="3">
        <f>Table1_1[[#This Row],[Income]]/Table1_1[[#This Row],[Family size]]</f>
        <v>26666.666666666668</v>
      </c>
      <c r="V438" s="6" t="str">
        <f>IF(Table1_1[[#This Row],[Occupation]]="Skilled manual","Blue collar",IF(Table1_1[[#This Row],[Occupation]]="Manual","Blue collar","White collar"))</f>
        <v>Blue collar</v>
      </c>
    </row>
    <row r="439" spans="1:22" x14ac:dyDescent="0.3">
      <c r="A439" t="s">
        <v>473</v>
      </c>
      <c r="B439" s="6" t="s">
        <v>1044</v>
      </c>
      <c r="C439" s="6" t="s">
        <v>1045</v>
      </c>
      <c r="D439" s="3">
        <v>30000</v>
      </c>
      <c r="E439">
        <v>3</v>
      </c>
      <c r="F439" s="6" t="s">
        <v>19</v>
      </c>
      <c r="G439" s="6" t="s">
        <v>20</v>
      </c>
      <c r="H439" s="6" t="s">
        <v>15</v>
      </c>
      <c r="I439">
        <v>2</v>
      </c>
      <c r="J439" t="s">
        <v>16</v>
      </c>
      <c r="K4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39" s="6" t="s">
        <v>17</v>
      </c>
      <c r="M439" s="7">
        <v>28</v>
      </c>
      <c r="N439" t="s">
        <v>15</v>
      </c>
      <c r="O439" s="9" t="str">
        <f>IF(Table1_1[[#This Row],[Purchased Bike]]="yes","1","0")</f>
        <v>1</v>
      </c>
      <c r="P439" s="4" t="str">
        <f>IF(Table1_1[[#This Row],[Income]]&lt;=30000,"Low ",IF(Table1_1[[#This Row],[Income]]&lt;=70000,"Middle","High"))</f>
        <v xml:space="preserve">Low </v>
      </c>
      <c r="Q439" s="6" t="str">
        <f>IF(Table1_1[[#This Row],[Age]]&lt;30,"Young",IF(Table1_1[[#This Row],[Age]]&lt;50,"Middle aged","Senior citizen"))</f>
        <v>Young</v>
      </c>
      <c r="R439" s="7">
        <f>IF(Table1_1[[#This Row],[Marriedarital SingletatuSingle]]="M",Table1_1[[#This Row],[Children]]+2,Table1_1[[#This Row],[Children]]+1)</f>
        <v>4</v>
      </c>
      <c r="S439" s="4" t="str">
        <f>IF(Table1_1[[#This Row],[Cars]]=0,"No","Yes")</f>
        <v>Yes</v>
      </c>
      <c r="T439" s="6" t="str">
        <f>IF(AND(Table1_1[[#This Row],[Income]]&gt;50000,Table1_1[[#This Row],[Home Owner]]="Yes"),"High stability","Low stability")</f>
        <v>Low stability</v>
      </c>
      <c r="U439" s="3">
        <f>Table1_1[[#This Row],[Income]]/Table1_1[[#This Row],[Family size]]</f>
        <v>7500</v>
      </c>
      <c r="V439" s="6" t="str">
        <f>IF(Table1_1[[#This Row],[Occupation]]="Skilled manual","Blue collar",IF(Table1_1[[#This Row],[Occupation]]="Manual","Blue collar","White collar"))</f>
        <v>White collar</v>
      </c>
    </row>
    <row r="440" spans="1:22" x14ac:dyDescent="0.3">
      <c r="A440" t="s">
        <v>474</v>
      </c>
      <c r="B440" s="6" t="s">
        <v>1044</v>
      </c>
      <c r="C440" s="6" t="s">
        <v>1045</v>
      </c>
      <c r="D440" s="3">
        <v>80000</v>
      </c>
      <c r="E440">
        <v>0</v>
      </c>
      <c r="F440" s="6" t="s">
        <v>31</v>
      </c>
      <c r="G440" s="6" t="s">
        <v>14</v>
      </c>
      <c r="H440" s="6" t="s">
        <v>18</v>
      </c>
      <c r="I440">
        <v>0</v>
      </c>
      <c r="J440" t="s">
        <v>16</v>
      </c>
      <c r="K4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40" s="6" t="s">
        <v>17</v>
      </c>
      <c r="M440" s="7">
        <v>40</v>
      </c>
      <c r="N440" t="s">
        <v>15</v>
      </c>
      <c r="O440" s="9" t="str">
        <f>IF(Table1_1[[#This Row],[Purchased Bike]]="yes","1","0")</f>
        <v>1</v>
      </c>
      <c r="P440" s="4" t="str">
        <f>IF(Table1_1[[#This Row],[Income]]&lt;=30000,"Low ",IF(Table1_1[[#This Row],[Income]]&lt;=70000,"Middle","High"))</f>
        <v>High</v>
      </c>
      <c r="Q440" s="6" t="str">
        <f>IF(Table1_1[[#This Row],[Age]]&lt;30,"Young",IF(Table1_1[[#This Row],[Age]]&lt;50,"Middle aged","Senior citizen"))</f>
        <v>Middle aged</v>
      </c>
      <c r="R440" s="7">
        <f>IF(Table1_1[[#This Row],[Marriedarital SingletatuSingle]]="M",Table1_1[[#This Row],[Children]]+2,Table1_1[[#This Row],[Children]]+1)</f>
        <v>1</v>
      </c>
      <c r="S440" s="4" t="str">
        <f>IF(Table1_1[[#This Row],[Cars]]=0,"No","Yes")</f>
        <v>No</v>
      </c>
      <c r="T440" s="6" t="str">
        <f>IF(AND(Table1_1[[#This Row],[Income]]&gt;50000,Table1_1[[#This Row],[Home Owner]]="Yes"),"High stability","Low stability")</f>
        <v>Low stability</v>
      </c>
      <c r="U440" s="3">
        <f>Table1_1[[#This Row],[Income]]/Table1_1[[#This Row],[Family size]]</f>
        <v>80000</v>
      </c>
      <c r="V440" s="6" t="str">
        <f>IF(Table1_1[[#This Row],[Occupation]]="Skilled manual","Blue collar",IF(Table1_1[[#This Row],[Occupation]]="Manual","Blue collar","White collar"))</f>
        <v>Blue collar</v>
      </c>
    </row>
    <row r="441" spans="1:22" x14ac:dyDescent="0.3">
      <c r="A441" t="s">
        <v>475</v>
      </c>
      <c r="B441" s="6" t="s">
        <v>1042</v>
      </c>
      <c r="C441" s="6" t="s">
        <v>1046</v>
      </c>
      <c r="D441" s="3">
        <v>70000</v>
      </c>
      <c r="E441">
        <v>5</v>
      </c>
      <c r="F441" s="6" t="s">
        <v>19</v>
      </c>
      <c r="G441" s="6" t="s">
        <v>14</v>
      </c>
      <c r="H441" s="6" t="s">
        <v>15</v>
      </c>
      <c r="I441">
        <v>2</v>
      </c>
      <c r="J441" t="s">
        <v>16</v>
      </c>
      <c r="K4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41" s="6" t="s">
        <v>24</v>
      </c>
      <c r="M441" s="7">
        <v>44</v>
      </c>
      <c r="N441" t="s">
        <v>18</v>
      </c>
      <c r="O441" s="9" t="str">
        <f>IF(Table1_1[[#This Row],[Purchased Bike]]="yes","1","0")</f>
        <v>0</v>
      </c>
      <c r="P441" s="4" t="str">
        <f>IF(Table1_1[[#This Row],[Income]]&lt;=30000,"Low ",IF(Table1_1[[#This Row],[Income]]&lt;=70000,"Middle","High"))</f>
        <v>Middle</v>
      </c>
      <c r="Q441" s="6" t="str">
        <f>IF(Table1_1[[#This Row],[Age]]&lt;30,"Young",IF(Table1_1[[#This Row],[Age]]&lt;50,"Middle aged","Senior citizen"))</f>
        <v>Middle aged</v>
      </c>
      <c r="R441" s="7">
        <f>IF(Table1_1[[#This Row],[Marriedarital SingletatuSingle]]="M",Table1_1[[#This Row],[Children]]+2,Table1_1[[#This Row],[Children]]+1)</f>
        <v>6</v>
      </c>
      <c r="S441" s="4" t="str">
        <f>IF(Table1_1[[#This Row],[Cars]]=0,"No","Yes")</f>
        <v>Yes</v>
      </c>
      <c r="T441" s="6" t="str">
        <f>IF(AND(Table1_1[[#This Row],[Income]]&gt;50000,Table1_1[[#This Row],[Home Owner]]="Yes"),"High stability","Low stability")</f>
        <v>High stability</v>
      </c>
      <c r="U441" s="3">
        <f>Table1_1[[#This Row],[Income]]/Table1_1[[#This Row],[Family size]]</f>
        <v>11666.666666666666</v>
      </c>
      <c r="V441" s="6" t="str">
        <f>IF(Table1_1[[#This Row],[Occupation]]="Skilled manual","Blue collar",IF(Table1_1[[#This Row],[Occupation]]="Manual","Blue collar","White collar"))</f>
        <v>Blue collar</v>
      </c>
    </row>
    <row r="442" spans="1:22" x14ac:dyDescent="0.3">
      <c r="A442" t="s">
        <v>476</v>
      </c>
      <c r="B442" s="6" t="s">
        <v>1044</v>
      </c>
      <c r="C442" s="6" t="s">
        <v>1046</v>
      </c>
      <c r="D442" s="3">
        <v>90000</v>
      </c>
      <c r="E442">
        <v>0</v>
      </c>
      <c r="F442" s="6" t="s">
        <v>13</v>
      </c>
      <c r="G442" s="6" t="s">
        <v>21</v>
      </c>
      <c r="H442" s="6" t="s">
        <v>18</v>
      </c>
      <c r="I442">
        <v>3</v>
      </c>
      <c r="J442" t="s">
        <v>30</v>
      </c>
      <c r="K4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42" s="6" t="s">
        <v>24</v>
      </c>
      <c r="M442" s="7">
        <v>34</v>
      </c>
      <c r="N442" t="s">
        <v>15</v>
      </c>
      <c r="O442" s="9" t="str">
        <f>IF(Table1_1[[#This Row],[Purchased Bike]]="yes","1","0")</f>
        <v>1</v>
      </c>
      <c r="P442" s="4" t="str">
        <f>IF(Table1_1[[#This Row],[Income]]&lt;=30000,"Low ",IF(Table1_1[[#This Row],[Income]]&lt;=70000,"Middle","High"))</f>
        <v>High</v>
      </c>
      <c r="Q442" s="6" t="str">
        <f>IF(Table1_1[[#This Row],[Age]]&lt;30,"Young",IF(Table1_1[[#This Row],[Age]]&lt;50,"Middle aged","Senior citizen"))</f>
        <v>Middle aged</v>
      </c>
      <c r="R442" s="7">
        <f>IF(Table1_1[[#This Row],[Marriedarital SingletatuSingle]]="M",Table1_1[[#This Row],[Children]]+2,Table1_1[[#This Row],[Children]]+1)</f>
        <v>1</v>
      </c>
      <c r="S442" s="4" t="str">
        <f>IF(Table1_1[[#This Row],[Cars]]=0,"No","Yes")</f>
        <v>Yes</v>
      </c>
      <c r="T442" s="6" t="str">
        <f>IF(AND(Table1_1[[#This Row],[Income]]&gt;50000,Table1_1[[#This Row],[Home Owner]]="Yes"),"High stability","Low stability")</f>
        <v>Low stability</v>
      </c>
      <c r="U442" s="3">
        <f>Table1_1[[#This Row],[Income]]/Table1_1[[#This Row],[Family size]]</f>
        <v>90000</v>
      </c>
      <c r="V442" s="6" t="str">
        <f>IF(Table1_1[[#This Row],[Occupation]]="Skilled manual","Blue collar",IF(Table1_1[[#This Row],[Occupation]]="Manual","Blue collar","White collar"))</f>
        <v>White collar</v>
      </c>
    </row>
    <row r="443" spans="1:22" x14ac:dyDescent="0.3">
      <c r="A443" t="s">
        <v>477</v>
      </c>
      <c r="B443" s="6" t="s">
        <v>1042</v>
      </c>
      <c r="C443" s="6" t="s">
        <v>1046</v>
      </c>
      <c r="D443" s="3">
        <v>70000</v>
      </c>
      <c r="E443">
        <v>2</v>
      </c>
      <c r="F443" s="6" t="s">
        <v>19</v>
      </c>
      <c r="G443" s="6" t="s">
        <v>14</v>
      </c>
      <c r="H443" s="6" t="s">
        <v>15</v>
      </c>
      <c r="I443">
        <v>2</v>
      </c>
      <c r="J443" t="s">
        <v>23</v>
      </c>
      <c r="K4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43" s="6" t="s">
        <v>24</v>
      </c>
      <c r="M443" s="7">
        <v>52</v>
      </c>
      <c r="N443" t="s">
        <v>15</v>
      </c>
      <c r="O443" s="9" t="str">
        <f>IF(Table1_1[[#This Row],[Purchased Bike]]="yes","1","0")</f>
        <v>1</v>
      </c>
      <c r="P443" s="4" t="str">
        <f>IF(Table1_1[[#This Row],[Income]]&lt;=30000,"Low ",IF(Table1_1[[#This Row],[Income]]&lt;=70000,"Middle","High"))</f>
        <v>Middle</v>
      </c>
      <c r="Q443" s="6" t="str">
        <f>IF(Table1_1[[#This Row],[Age]]&lt;30,"Young",IF(Table1_1[[#This Row],[Age]]&lt;50,"Middle aged","Senior citizen"))</f>
        <v>Senior citizen</v>
      </c>
      <c r="R443" s="7">
        <f>IF(Table1_1[[#This Row],[Marriedarital SingletatuSingle]]="M",Table1_1[[#This Row],[Children]]+2,Table1_1[[#This Row],[Children]]+1)</f>
        <v>3</v>
      </c>
      <c r="S443" s="4" t="str">
        <f>IF(Table1_1[[#This Row],[Cars]]=0,"No","Yes")</f>
        <v>Yes</v>
      </c>
      <c r="T443" s="6" t="str">
        <f>IF(AND(Table1_1[[#This Row],[Income]]&gt;50000,Table1_1[[#This Row],[Home Owner]]="Yes"),"High stability","Low stability")</f>
        <v>High stability</v>
      </c>
      <c r="U443" s="3">
        <f>Table1_1[[#This Row],[Income]]/Table1_1[[#This Row],[Family size]]</f>
        <v>23333.333333333332</v>
      </c>
      <c r="V443" s="6" t="str">
        <f>IF(Table1_1[[#This Row],[Occupation]]="Skilled manual","Blue collar",IF(Table1_1[[#This Row],[Occupation]]="Manual","Blue collar","White collar"))</f>
        <v>Blue collar</v>
      </c>
    </row>
    <row r="444" spans="1:22" x14ac:dyDescent="0.3">
      <c r="A444" t="s">
        <v>478</v>
      </c>
      <c r="B444" s="6" t="s">
        <v>1044</v>
      </c>
      <c r="C444" s="6" t="s">
        <v>1046</v>
      </c>
      <c r="D444" s="3">
        <v>80000</v>
      </c>
      <c r="E444">
        <v>4</v>
      </c>
      <c r="F444" s="6" t="s">
        <v>31</v>
      </c>
      <c r="G444" s="6" t="s">
        <v>28</v>
      </c>
      <c r="H444" s="6" t="s">
        <v>15</v>
      </c>
      <c r="I444">
        <v>0</v>
      </c>
      <c r="J444" t="s">
        <v>16</v>
      </c>
      <c r="K4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44" s="6" t="s">
        <v>24</v>
      </c>
      <c r="M444" s="7">
        <v>36</v>
      </c>
      <c r="N444" t="s">
        <v>15</v>
      </c>
      <c r="O444" s="9" t="str">
        <f>IF(Table1_1[[#This Row],[Purchased Bike]]="yes","1","0")</f>
        <v>1</v>
      </c>
      <c r="P444" s="4" t="str">
        <f>IF(Table1_1[[#This Row],[Income]]&lt;=30000,"Low ",IF(Table1_1[[#This Row],[Income]]&lt;=70000,"Middle","High"))</f>
        <v>High</v>
      </c>
      <c r="Q444" s="6" t="str">
        <f>IF(Table1_1[[#This Row],[Age]]&lt;30,"Young",IF(Table1_1[[#This Row],[Age]]&lt;50,"Middle aged","Senior citizen"))</f>
        <v>Middle aged</v>
      </c>
      <c r="R444" s="7">
        <f>IF(Table1_1[[#This Row],[Marriedarital SingletatuSingle]]="M",Table1_1[[#This Row],[Children]]+2,Table1_1[[#This Row],[Children]]+1)</f>
        <v>5</v>
      </c>
      <c r="S444" s="4" t="str">
        <f>IF(Table1_1[[#This Row],[Cars]]=0,"No","Yes")</f>
        <v>No</v>
      </c>
      <c r="T444" s="6" t="str">
        <f>IF(AND(Table1_1[[#This Row],[Income]]&gt;50000,Table1_1[[#This Row],[Home Owner]]="Yes"),"High stability","Low stability")</f>
        <v>High stability</v>
      </c>
      <c r="U444" s="3">
        <f>Table1_1[[#This Row],[Income]]/Table1_1[[#This Row],[Family size]]</f>
        <v>16000</v>
      </c>
      <c r="V444" s="6" t="str">
        <f>IF(Table1_1[[#This Row],[Occupation]]="Skilled manual","Blue collar",IF(Table1_1[[#This Row],[Occupation]]="Manual","Blue collar","White collar"))</f>
        <v>White collar</v>
      </c>
    </row>
    <row r="445" spans="1:22" x14ac:dyDescent="0.3">
      <c r="A445" t="s">
        <v>479</v>
      </c>
      <c r="B445" s="6" t="s">
        <v>1042</v>
      </c>
      <c r="C445" s="6" t="s">
        <v>1045</v>
      </c>
      <c r="D445" s="3">
        <v>40000</v>
      </c>
      <c r="E445">
        <v>1</v>
      </c>
      <c r="F445" s="6" t="s">
        <v>13</v>
      </c>
      <c r="G445" s="6" t="s">
        <v>14</v>
      </c>
      <c r="H445" s="6" t="s">
        <v>15</v>
      </c>
      <c r="I445">
        <v>1</v>
      </c>
      <c r="J445" t="s">
        <v>16</v>
      </c>
      <c r="K4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45" s="6" t="s">
        <v>17</v>
      </c>
      <c r="M445" s="7">
        <v>43</v>
      </c>
      <c r="N445" t="s">
        <v>15</v>
      </c>
      <c r="O445" s="9" t="str">
        <f>IF(Table1_1[[#This Row],[Purchased Bike]]="yes","1","0")</f>
        <v>1</v>
      </c>
      <c r="P445" s="4" t="str">
        <f>IF(Table1_1[[#This Row],[Income]]&lt;=30000,"Low ",IF(Table1_1[[#This Row],[Income]]&lt;=70000,"Middle","High"))</f>
        <v>Middle</v>
      </c>
      <c r="Q445" s="6" t="str">
        <f>IF(Table1_1[[#This Row],[Age]]&lt;30,"Young",IF(Table1_1[[#This Row],[Age]]&lt;50,"Middle aged","Senior citizen"))</f>
        <v>Middle aged</v>
      </c>
      <c r="R445" s="7">
        <f>IF(Table1_1[[#This Row],[Marriedarital SingletatuSingle]]="M",Table1_1[[#This Row],[Children]]+2,Table1_1[[#This Row],[Children]]+1)</f>
        <v>2</v>
      </c>
      <c r="S445" s="4" t="str">
        <f>IF(Table1_1[[#This Row],[Cars]]=0,"No","Yes")</f>
        <v>Yes</v>
      </c>
      <c r="T445" s="6" t="str">
        <f>IF(AND(Table1_1[[#This Row],[Income]]&gt;50000,Table1_1[[#This Row],[Home Owner]]="Yes"),"High stability","Low stability")</f>
        <v>Low stability</v>
      </c>
      <c r="U445" s="3">
        <f>Table1_1[[#This Row],[Income]]/Table1_1[[#This Row],[Family size]]</f>
        <v>20000</v>
      </c>
      <c r="V445" s="6" t="str">
        <f>IF(Table1_1[[#This Row],[Occupation]]="Skilled manual","Blue collar",IF(Table1_1[[#This Row],[Occupation]]="Manual","Blue collar","White collar"))</f>
        <v>Blue collar</v>
      </c>
    </row>
    <row r="446" spans="1:22" x14ac:dyDescent="0.3">
      <c r="A446" t="s">
        <v>480</v>
      </c>
      <c r="B446" s="6" t="s">
        <v>1044</v>
      </c>
      <c r="C446" s="6" t="s">
        <v>1046</v>
      </c>
      <c r="D446" s="3">
        <v>30000</v>
      </c>
      <c r="E446">
        <v>0</v>
      </c>
      <c r="F446" s="6" t="s">
        <v>27</v>
      </c>
      <c r="G446" s="6" t="s">
        <v>25</v>
      </c>
      <c r="H446" s="6" t="s">
        <v>18</v>
      </c>
      <c r="I446">
        <v>1</v>
      </c>
      <c r="J446" t="s">
        <v>26</v>
      </c>
      <c r="K4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46" s="6" t="s">
        <v>17</v>
      </c>
      <c r="M446" s="7">
        <v>32</v>
      </c>
      <c r="N446" t="s">
        <v>18</v>
      </c>
      <c r="O446" s="9" t="str">
        <f>IF(Table1_1[[#This Row],[Purchased Bike]]="yes","1","0")</f>
        <v>0</v>
      </c>
      <c r="P446" s="4" t="str">
        <f>IF(Table1_1[[#This Row],[Income]]&lt;=30000,"Low ",IF(Table1_1[[#This Row],[Income]]&lt;=70000,"Middle","High"))</f>
        <v xml:space="preserve">Low </v>
      </c>
      <c r="Q446" s="6" t="str">
        <f>IF(Table1_1[[#This Row],[Age]]&lt;30,"Young",IF(Table1_1[[#This Row],[Age]]&lt;50,"Middle aged","Senior citizen"))</f>
        <v>Middle aged</v>
      </c>
      <c r="R446" s="7">
        <f>IF(Table1_1[[#This Row],[Marriedarital SingletatuSingle]]="M",Table1_1[[#This Row],[Children]]+2,Table1_1[[#This Row],[Children]]+1)</f>
        <v>1</v>
      </c>
      <c r="S446" s="4" t="str">
        <f>IF(Table1_1[[#This Row],[Cars]]=0,"No","Yes")</f>
        <v>Yes</v>
      </c>
      <c r="T446" s="6" t="str">
        <f>IF(AND(Table1_1[[#This Row],[Income]]&gt;50000,Table1_1[[#This Row],[Home Owner]]="Yes"),"High stability","Low stability")</f>
        <v>Low stability</v>
      </c>
      <c r="U446" s="3">
        <f>Table1_1[[#This Row],[Income]]/Table1_1[[#This Row],[Family size]]</f>
        <v>30000</v>
      </c>
      <c r="V446" s="6" t="str">
        <f>IF(Table1_1[[#This Row],[Occupation]]="Skilled manual","Blue collar",IF(Table1_1[[#This Row],[Occupation]]="Manual","Blue collar","White collar"))</f>
        <v>Blue collar</v>
      </c>
    </row>
    <row r="447" spans="1:22" x14ac:dyDescent="0.3">
      <c r="A447" t="s">
        <v>481</v>
      </c>
      <c r="B447" s="6" t="s">
        <v>1042</v>
      </c>
      <c r="C447" s="6" t="s">
        <v>1045</v>
      </c>
      <c r="D447" s="3">
        <v>40000</v>
      </c>
      <c r="E447">
        <v>1</v>
      </c>
      <c r="F447" s="6" t="s">
        <v>13</v>
      </c>
      <c r="G447" s="6" t="s">
        <v>14</v>
      </c>
      <c r="H447" s="6" t="s">
        <v>15</v>
      </c>
      <c r="I447">
        <v>1</v>
      </c>
      <c r="J447" t="s">
        <v>26</v>
      </c>
      <c r="K4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47" s="6" t="s">
        <v>17</v>
      </c>
      <c r="M447" s="7">
        <v>32</v>
      </c>
      <c r="N447" t="s">
        <v>15</v>
      </c>
      <c r="O447" s="9" t="str">
        <f>IF(Table1_1[[#This Row],[Purchased Bike]]="yes","1","0")</f>
        <v>1</v>
      </c>
      <c r="P447" s="4" t="str">
        <f>IF(Table1_1[[#This Row],[Income]]&lt;=30000,"Low ",IF(Table1_1[[#This Row],[Income]]&lt;=70000,"Middle","High"))</f>
        <v>Middle</v>
      </c>
      <c r="Q447" s="6" t="str">
        <f>IF(Table1_1[[#This Row],[Age]]&lt;30,"Young",IF(Table1_1[[#This Row],[Age]]&lt;50,"Middle aged","Senior citizen"))</f>
        <v>Middle aged</v>
      </c>
      <c r="R447" s="7">
        <f>IF(Table1_1[[#This Row],[Marriedarital SingletatuSingle]]="M",Table1_1[[#This Row],[Children]]+2,Table1_1[[#This Row],[Children]]+1)</f>
        <v>2</v>
      </c>
      <c r="S447" s="4" t="str">
        <f>IF(Table1_1[[#This Row],[Cars]]=0,"No","Yes")</f>
        <v>Yes</v>
      </c>
      <c r="T447" s="6" t="str">
        <f>IF(AND(Table1_1[[#This Row],[Income]]&gt;50000,Table1_1[[#This Row],[Home Owner]]="Yes"),"High stability","Low stability")</f>
        <v>Low stability</v>
      </c>
      <c r="U447" s="3">
        <f>Table1_1[[#This Row],[Income]]/Table1_1[[#This Row],[Family size]]</f>
        <v>20000</v>
      </c>
      <c r="V447" s="6" t="str">
        <f>IF(Table1_1[[#This Row],[Occupation]]="Skilled manual","Blue collar",IF(Table1_1[[#This Row],[Occupation]]="Manual","Blue collar","White collar"))</f>
        <v>Blue collar</v>
      </c>
    </row>
    <row r="448" spans="1:22" x14ac:dyDescent="0.3">
      <c r="A448" t="s">
        <v>482</v>
      </c>
      <c r="B448" s="6" t="s">
        <v>1042</v>
      </c>
      <c r="C448" s="6" t="s">
        <v>1045</v>
      </c>
      <c r="D448" s="3">
        <v>130000</v>
      </c>
      <c r="E448">
        <v>0</v>
      </c>
      <c r="F448" s="6" t="s">
        <v>31</v>
      </c>
      <c r="G448" s="6" t="s">
        <v>28</v>
      </c>
      <c r="H448" s="6" t="s">
        <v>15</v>
      </c>
      <c r="I448">
        <v>1</v>
      </c>
      <c r="J448" t="s">
        <v>30</v>
      </c>
      <c r="K4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48" s="6" t="s">
        <v>24</v>
      </c>
      <c r="M448" s="7">
        <v>48</v>
      </c>
      <c r="N448" t="s">
        <v>18</v>
      </c>
      <c r="O448" s="9" t="str">
        <f>IF(Table1_1[[#This Row],[Purchased Bike]]="yes","1","0")</f>
        <v>0</v>
      </c>
      <c r="P448" s="4" t="str">
        <f>IF(Table1_1[[#This Row],[Income]]&lt;=30000,"Low ",IF(Table1_1[[#This Row],[Income]]&lt;=70000,"Middle","High"))</f>
        <v>High</v>
      </c>
      <c r="Q448" s="6" t="str">
        <f>IF(Table1_1[[#This Row],[Age]]&lt;30,"Young",IF(Table1_1[[#This Row],[Age]]&lt;50,"Middle aged","Senior citizen"))</f>
        <v>Middle aged</v>
      </c>
      <c r="R448" s="7">
        <f>IF(Table1_1[[#This Row],[Marriedarital SingletatuSingle]]="M",Table1_1[[#This Row],[Children]]+2,Table1_1[[#This Row],[Children]]+1)</f>
        <v>1</v>
      </c>
      <c r="S448" s="4" t="str">
        <f>IF(Table1_1[[#This Row],[Cars]]=0,"No","Yes")</f>
        <v>Yes</v>
      </c>
      <c r="T448" s="6" t="str">
        <f>IF(AND(Table1_1[[#This Row],[Income]]&gt;50000,Table1_1[[#This Row],[Home Owner]]="Yes"),"High stability","Low stability")</f>
        <v>High stability</v>
      </c>
      <c r="U448" s="3">
        <f>Table1_1[[#This Row],[Income]]/Table1_1[[#This Row],[Family size]]</f>
        <v>130000</v>
      </c>
      <c r="V448" s="6" t="str">
        <f>IF(Table1_1[[#This Row],[Occupation]]="Skilled manual","Blue collar",IF(Table1_1[[#This Row],[Occupation]]="Manual","Blue collar","White collar"))</f>
        <v>White collar</v>
      </c>
    </row>
    <row r="449" spans="1:22" x14ac:dyDescent="0.3">
      <c r="A449" t="s">
        <v>483</v>
      </c>
      <c r="B449" s="6" t="s">
        <v>1042</v>
      </c>
      <c r="C449" s="6" t="s">
        <v>1045</v>
      </c>
      <c r="D449" s="3">
        <v>40000</v>
      </c>
      <c r="E449">
        <v>1</v>
      </c>
      <c r="F449" s="6" t="s">
        <v>13</v>
      </c>
      <c r="G449" s="6" t="s">
        <v>14</v>
      </c>
      <c r="H449" s="6" t="s">
        <v>15</v>
      </c>
      <c r="I449">
        <v>0</v>
      </c>
      <c r="J449" t="s">
        <v>26</v>
      </c>
      <c r="K4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49" s="6" t="s">
        <v>17</v>
      </c>
      <c r="M449" s="7">
        <v>32</v>
      </c>
      <c r="N449" t="s">
        <v>15</v>
      </c>
      <c r="O449" s="9" t="str">
        <f>IF(Table1_1[[#This Row],[Purchased Bike]]="yes","1","0")</f>
        <v>1</v>
      </c>
      <c r="P449" s="4" t="str">
        <f>IF(Table1_1[[#This Row],[Income]]&lt;=30000,"Low ",IF(Table1_1[[#This Row],[Income]]&lt;=70000,"Middle","High"))</f>
        <v>Middle</v>
      </c>
      <c r="Q449" s="6" t="str">
        <f>IF(Table1_1[[#This Row],[Age]]&lt;30,"Young",IF(Table1_1[[#This Row],[Age]]&lt;50,"Middle aged","Senior citizen"))</f>
        <v>Middle aged</v>
      </c>
      <c r="R449" s="7">
        <f>IF(Table1_1[[#This Row],[Marriedarital SingletatuSingle]]="M",Table1_1[[#This Row],[Children]]+2,Table1_1[[#This Row],[Children]]+1)</f>
        <v>2</v>
      </c>
      <c r="S449" s="4" t="str">
        <f>IF(Table1_1[[#This Row],[Cars]]=0,"No","Yes")</f>
        <v>No</v>
      </c>
      <c r="T449" s="6" t="str">
        <f>IF(AND(Table1_1[[#This Row],[Income]]&gt;50000,Table1_1[[#This Row],[Home Owner]]="Yes"),"High stability","Low stability")</f>
        <v>Low stability</v>
      </c>
      <c r="U449" s="3">
        <f>Table1_1[[#This Row],[Income]]/Table1_1[[#This Row],[Family size]]</f>
        <v>20000</v>
      </c>
      <c r="V449" s="6" t="str">
        <f>IF(Table1_1[[#This Row],[Occupation]]="Skilled manual","Blue collar",IF(Table1_1[[#This Row],[Occupation]]="Manual","Blue collar","White collar"))</f>
        <v>Blue collar</v>
      </c>
    </row>
    <row r="450" spans="1:22" x14ac:dyDescent="0.3">
      <c r="A450" t="s">
        <v>484</v>
      </c>
      <c r="B450" s="6" t="s">
        <v>1042</v>
      </c>
      <c r="C450" s="6" t="s">
        <v>1045</v>
      </c>
      <c r="D450" s="3">
        <v>30000</v>
      </c>
      <c r="E450">
        <v>3</v>
      </c>
      <c r="F450" s="6" t="s">
        <v>31</v>
      </c>
      <c r="G450" s="6" t="s">
        <v>20</v>
      </c>
      <c r="H450" s="6" t="s">
        <v>15</v>
      </c>
      <c r="I450">
        <v>0</v>
      </c>
      <c r="J450" t="s">
        <v>16</v>
      </c>
      <c r="K4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50" s="6" t="s">
        <v>17</v>
      </c>
      <c r="M450" s="7">
        <v>46</v>
      </c>
      <c r="N450" t="s">
        <v>18</v>
      </c>
      <c r="O450" s="9" t="str">
        <f>IF(Table1_1[[#This Row],[Purchased Bike]]="yes","1","0")</f>
        <v>0</v>
      </c>
      <c r="P450" s="4" t="str">
        <f>IF(Table1_1[[#This Row],[Income]]&lt;=30000,"Low ",IF(Table1_1[[#This Row],[Income]]&lt;=70000,"Middle","High"))</f>
        <v xml:space="preserve">Low </v>
      </c>
      <c r="Q450" s="6" t="str">
        <f>IF(Table1_1[[#This Row],[Age]]&lt;30,"Young",IF(Table1_1[[#This Row],[Age]]&lt;50,"Middle aged","Senior citizen"))</f>
        <v>Middle aged</v>
      </c>
      <c r="R450" s="7">
        <f>IF(Table1_1[[#This Row],[Marriedarital SingletatuSingle]]="M",Table1_1[[#This Row],[Children]]+2,Table1_1[[#This Row],[Children]]+1)</f>
        <v>4</v>
      </c>
      <c r="S450" s="4" t="str">
        <f>IF(Table1_1[[#This Row],[Cars]]=0,"No","Yes")</f>
        <v>No</v>
      </c>
      <c r="T450" s="6" t="str">
        <f>IF(AND(Table1_1[[#This Row],[Income]]&gt;50000,Table1_1[[#This Row],[Home Owner]]="Yes"),"High stability","Low stability")</f>
        <v>Low stability</v>
      </c>
      <c r="U450" s="3">
        <f>Table1_1[[#This Row],[Income]]/Table1_1[[#This Row],[Family size]]</f>
        <v>7500</v>
      </c>
      <c r="V450" s="6" t="str">
        <f>IF(Table1_1[[#This Row],[Occupation]]="Skilled manual","Blue collar",IF(Table1_1[[#This Row],[Occupation]]="Manual","Blue collar","White collar"))</f>
        <v>White collar</v>
      </c>
    </row>
    <row r="451" spans="1:22" x14ac:dyDescent="0.3">
      <c r="A451" t="s">
        <v>485</v>
      </c>
      <c r="B451" s="6" t="s">
        <v>1042</v>
      </c>
      <c r="C451" s="6" t="s">
        <v>1045</v>
      </c>
      <c r="D451" s="3">
        <v>40000</v>
      </c>
      <c r="E451">
        <v>1</v>
      </c>
      <c r="F451" s="6" t="s">
        <v>13</v>
      </c>
      <c r="G451" s="6" t="s">
        <v>14</v>
      </c>
      <c r="H451" s="6" t="s">
        <v>15</v>
      </c>
      <c r="I451">
        <v>0</v>
      </c>
      <c r="J451" t="s">
        <v>16</v>
      </c>
      <c r="K4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51" s="6" t="s">
        <v>17</v>
      </c>
      <c r="M451" s="7">
        <v>42</v>
      </c>
      <c r="N451" t="s">
        <v>18</v>
      </c>
      <c r="O451" s="9" t="str">
        <f>IF(Table1_1[[#This Row],[Purchased Bike]]="yes","1","0")</f>
        <v>0</v>
      </c>
      <c r="P451" s="4" t="str">
        <f>IF(Table1_1[[#This Row],[Income]]&lt;=30000,"Low ",IF(Table1_1[[#This Row],[Income]]&lt;=70000,"Middle","High"))</f>
        <v>Middle</v>
      </c>
      <c r="Q451" s="6" t="str">
        <f>IF(Table1_1[[#This Row],[Age]]&lt;30,"Young",IF(Table1_1[[#This Row],[Age]]&lt;50,"Middle aged","Senior citizen"))</f>
        <v>Middle aged</v>
      </c>
      <c r="R451" s="7">
        <f>IF(Table1_1[[#This Row],[Marriedarital SingletatuSingle]]="M",Table1_1[[#This Row],[Children]]+2,Table1_1[[#This Row],[Children]]+1)</f>
        <v>2</v>
      </c>
      <c r="S451" s="4" t="str">
        <f>IF(Table1_1[[#This Row],[Cars]]=0,"No","Yes")</f>
        <v>No</v>
      </c>
      <c r="T451" s="6" t="str">
        <f>IF(AND(Table1_1[[#This Row],[Income]]&gt;50000,Table1_1[[#This Row],[Home Owner]]="Yes"),"High stability","Low stability")</f>
        <v>Low stability</v>
      </c>
      <c r="U451" s="3">
        <f>Table1_1[[#This Row],[Income]]/Table1_1[[#This Row],[Family size]]</f>
        <v>20000</v>
      </c>
      <c r="V451" s="6" t="str">
        <f>IF(Table1_1[[#This Row],[Occupation]]="Skilled manual","Blue collar",IF(Table1_1[[#This Row],[Occupation]]="Manual","Blue collar","White collar"))</f>
        <v>Blue collar</v>
      </c>
    </row>
    <row r="452" spans="1:22" x14ac:dyDescent="0.3">
      <c r="A452" t="s">
        <v>486</v>
      </c>
      <c r="B452" s="6" t="s">
        <v>1044</v>
      </c>
      <c r="C452" s="6" t="s">
        <v>1045</v>
      </c>
      <c r="D452" s="3">
        <v>10000</v>
      </c>
      <c r="E452">
        <v>2</v>
      </c>
      <c r="F452" s="6" t="s">
        <v>27</v>
      </c>
      <c r="G452" s="6" t="s">
        <v>25</v>
      </c>
      <c r="H452" s="6" t="s">
        <v>15</v>
      </c>
      <c r="I452">
        <v>0</v>
      </c>
      <c r="J452" t="s">
        <v>16</v>
      </c>
      <c r="K4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52" s="6" t="s">
        <v>17</v>
      </c>
      <c r="M452" s="7">
        <v>36</v>
      </c>
      <c r="N452" t="s">
        <v>15</v>
      </c>
      <c r="O452" s="9" t="str">
        <f>IF(Table1_1[[#This Row],[Purchased Bike]]="yes","1","0")</f>
        <v>1</v>
      </c>
      <c r="P452" s="4" t="str">
        <f>IF(Table1_1[[#This Row],[Income]]&lt;=30000,"Low ",IF(Table1_1[[#This Row],[Income]]&lt;=70000,"Middle","High"))</f>
        <v xml:space="preserve">Low </v>
      </c>
      <c r="Q452" s="6" t="str">
        <f>IF(Table1_1[[#This Row],[Age]]&lt;30,"Young",IF(Table1_1[[#This Row],[Age]]&lt;50,"Middle aged","Senior citizen"))</f>
        <v>Middle aged</v>
      </c>
      <c r="R452" s="7">
        <f>IF(Table1_1[[#This Row],[Marriedarital SingletatuSingle]]="M",Table1_1[[#This Row],[Children]]+2,Table1_1[[#This Row],[Children]]+1)</f>
        <v>3</v>
      </c>
      <c r="S452" s="4" t="str">
        <f>IF(Table1_1[[#This Row],[Cars]]=0,"No","Yes")</f>
        <v>No</v>
      </c>
      <c r="T452" s="6" t="str">
        <f>IF(AND(Table1_1[[#This Row],[Income]]&gt;50000,Table1_1[[#This Row],[Home Owner]]="Yes"),"High stability","Low stability")</f>
        <v>Low stability</v>
      </c>
      <c r="U452" s="3">
        <f>Table1_1[[#This Row],[Income]]/Table1_1[[#This Row],[Family size]]</f>
        <v>3333.3333333333335</v>
      </c>
      <c r="V452" s="6" t="str">
        <f>IF(Table1_1[[#This Row],[Occupation]]="Skilled manual","Blue collar",IF(Table1_1[[#This Row],[Occupation]]="Manual","Blue collar","White collar"))</f>
        <v>Blue collar</v>
      </c>
    </row>
    <row r="453" spans="1:22" x14ac:dyDescent="0.3">
      <c r="A453" t="s">
        <v>487</v>
      </c>
      <c r="B453" s="6" t="s">
        <v>1042</v>
      </c>
      <c r="C453" s="6" t="s">
        <v>1045</v>
      </c>
      <c r="D453" s="3">
        <v>40000</v>
      </c>
      <c r="E453">
        <v>1</v>
      </c>
      <c r="F453" s="6" t="s">
        <v>13</v>
      </c>
      <c r="G453" s="6" t="s">
        <v>14</v>
      </c>
      <c r="H453" s="6" t="s">
        <v>15</v>
      </c>
      <c r="I453">
        <v>0</v>
      </c>
      <c r="J453" t="s">
        <v>16</v>
      </c>
      <c r="K4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53" s="6" t="s">
        <v>17</v>
      </c>
      <c r="M453" s="7">
        <v>41</v>
      </c>
      <c r="N453" t="s">
        <v>18</v>
      </c>
      <c r="O453" s="9" t="str">
        <f>IF(Table1_1[[#This Row],[Purchased Bike]]="yes","1","0")</f>
        <v>0</v>
      </c>
      <c r="P453" s="4" t="str">
        <f>IF(Table1_1[[#This Row],[Income]]&lt;=30000,"Low ",IF(Table1_1[[#This Row],[Income]]&lt;=70000,"Middle","High"))</f>
        <v>Middle</v>
      </c>
      <c r="Q453" s="6" t="str">
        <f>IF(Table1_1[[#This Row],[Age]]&lt;30,"Young",IF(Table1_1[[#This Row],[Age]]&lt;50,"Middle aged","Senior citizen"))</f>
        <v>Middle aged</v>
      </c>
      <c r="R453" s="7">
        <f>IF(Table1_1[[#This Row],[Marriedarital SingletatuSingle]]="M",Table1_1[[#This Row],[Children]]+2,Table1_1[[#This Row],[Children]]+1)</f>
        <v>2</v>
      </c>
      <c r="S453" s="4" t="str">
        <f>IF(Table1_1[[#This Row],[Cars]]=0,"No","Yes")</f>
        <v>No</v>
      </c>
      <c r="T453" s="6" t="str">
        <f>IF(AND(Table1_1[[#This Row],[Income]]&gt;50000,Table1_1[[#This Row],[Home Owner]]="Yes"),"High stability","Low stability")</f>
        <v>Low stability</v>
      </c>
      <c r="U453" s="3">
        <f>Table1_1[[#This Row],[Income]]/Table1_1[[#This Row],[Family size]]</f>
        <v>20000</v>
      </c>
      <c r="V453" s="6" t="str">
        <f>IF(Table1_1[[#This Row],[Occupation]]="Skilled manual","Blue collar",IF(Table1_1[[#This Row],[Occupation]]="Manual","Blue collar","White collar"))</f>
        <v>Blue collar</v>
      </c>
    </row>
    <row r="454" spans="1:22" x14ac:dyDescent="0.3">
      <c r="A454" t="s">
        <v>488</v>
      </c>
      <c r="B454" s="6" t="s">
        <v>1042</v>
      </c>
      <c r="C454" s="6" t="s">
        <v>1045</v>
      </c>
      <c r="D454" s="3">
        <v>30000</v>
      </c>
      <c r="E454">
        <v>2</v>
      </c>
      <c r="F454" s="6" t="s">
        <v>19</v>
      </c>
      <c r="G454" s="6" t="s">
        <v>20</v>
      </c>
      <c r="H454" s="6" t="s">
        <v>18</v>
      </c>
      <c r="I454">
        <v>2</v>
      </c>
      <c r="J454" t="s">
        <v>16</v>
      </c>
      <c r="K4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54" s="6" t="s">
        <v>24</v>
      </c>
      <c r="M454" s="7">
        <v>69</v>
      </c>
      <c r="N454" t="s">
        <v>18</v>
      </c>
      <c r="O454" s="9" t="str">
        <f>IF(Table1_1[[#This Row],[Purchased Bike]]="yes","1","0")</f>
        <v>0</v>
      </c>
      <c r="P454" s="4" t="str">
        <f>IF(Table1_1[[#This Row],[Income]]&lt;=30000,"Low ",IF(Table1_1[[#This Row],[Income]]&lt;=70000,"Middle","High"))</f>
        <v xml:space="preserve">Low </v>
      </c>
      <c r="Q454" s="6" t="str">
        <f>IF(Table1_1[[#This Row],[Age]]&lt;30,"Young",IF(Table1_1[[#This Row],[Age]]&lt;50,"Middle aged","Senior citizen"))</f>
        <v>Senior citizen</v>
      </c>
      <c r="R454" s="7">
        <f>IF(Table1_1[[#This Row],[Marriedarital SingletatuSingle]]="M",Table1_1[[#This Row],[Children]]+2,Table1_1[[#This Row],[Children]]+1)</f>
        <v>3</v>
      </c>
      <c r="S454" s="4" t="str">
        <f>IF(Table1_1[[#This Row],[Cars]]=0,"No","Yes")</f>
        <v>Yes</v>
      </c>
      <c r="T454" s="6" t="str">
        <f>IF(AND(Table1_1[[#This Row],[Income]]&gt;50000,Table1_1[[#This Row],[Home Owner]]="Yes"),"High stability","Low stability")</f>
        <v>Low stability</v>
      </c>
      <c r="U454" s="3">
        <f>Table1_1[[#This Row],[Income]]/Table1_1[[#This Row],[Family size]]</f>
        <v>10000</v>
      </c>
      <c r="V454" s="6" t="str">
        <f>IF(Table1_1[[#This Row],[Occupation]]="Skilled manual","Blue collar",IF(Table1_1[[#This Row],[Occupation]]="Manual","Blue collar","White collar"))</f>
        <v>White collar</v>
      </c>
    </row>
    <row r="455" spans="1:22" x14ac:dyDescent="0.3">
      <c r="A455" t="s">
        <v>489</v>
      </c>
      <c r="B455" s="6" t="s">
        <v>1044</v>
      </c>
      <c r="C455" s="6" t="s">
        <v>1045</v>
      </c>
      <c r="D455" s="3">
        <v>70000</v>
      </c>
      <c r="E455">
        <v>5</v>
      </c>
      <c r="F455" s="6" t="s">
        <v>19</v>
      </c>
      <c r="G455" s="6" t="s">
        <v>14</v>
      </c>
      <c r="H455" s="6" t="s">
        <v>15</v>
      </c>
      <c r="I455">
        <v>2</v>
      </c>
      <c r="J455" t="s">
        <v>23</v>
      </c>
      <c r="K4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55" s="6" t="s">
        <v>24</v>
      </c>
      <c r="M455" s="7">
        <v>45</v>
      </c>
      <c r="N455" t="s">
        <v>18</v>
      </c>
      <c r="O455" s="9" t="str">
        <f>IF(Table1_1[[#This Row],[Purchased Bike]]="yes","1","0")</f>
        <v>0</v>
      </c>
      <c r="P455" s="4" t="str">
        <f>IF(Table1_1[[#This Row],[Income]]&lt;=30000,"Low ",IF(Table1_1[[#This Row],[Income]]&lt;=70000,"Middle","High"))</f>
        <v>Middle</v>
      </c>
      <c r="Q455" s="6" t="str">
        <f>IF(Table1_1[[#This Row],[Age]]&lt;30,"Young",IF(Table1_1[[#This Row],[Age]]&lt;50,"Middle aged","Senior citizen"))</f>
        <v>Middle aged</v>
      </c>
      <c r="R455" s="7">
        <f>IF(Table1_1[[#This Row],[Marriedarital SingletatuSingle]]="M",Table1_1[[#This Row],[Children]]+2,Table1_1[[#This Row],[Children]]+1)</f>
        <v>6</v>
      </c>
      <c r="S455" s="4" t="str">
        <f>IF(Table1_1[[#This Row],[Cars]]=0,"No","Yes")</f>
        <v>Yes</v>
      </c>
      <c r="T455" s="6" t="str">
        <f>IF(AND(Table1_1[[#This Row],[Income]]&gt;50000,Table1_1[[#This Row],[Home Owner]]="Yes"),"High stability","Low stability")</f>
        <v>High stability</v>
      </c>
      <c r="U455" s="3">
        <f>Table1_1[[#This Row],[Income]]/Table1_1[[#This Row],[Family size]]</f>
        <v>11666.666666666666</v>
      </c>
      <c r="V455" s="6" t="str">
        <f>IF(Table1_1[[#This Row],[Occupation]]="Skilled manual","Blue collar",IF(Table1_1[[#This Row],[Occupation]]="Manual","Blue collar","White collar"))</f>
        <v>Blue collar</v>
      </c>
    </row>
    <row r="456" spans="1:22" x14ac:dyDescent="0.3">
      <c r="A456" t="s">
        <v>490</v>
      </c>
      <c r="B456" s="6" t="s">
        <v>1044</v>
      </c>
      <c r="C456" s="6" t="s">
        <v>1046</v>
      </c>
      <c r="D456" s="3">
        <v>30000</v>
      </c>
      <c r="E456">
        <v>0</v>
      </c>
      <c r="F456" s="6" t="s">
        <v>27</v>
      </c>
      <c r="G456" s="6" t="s">
        <v>25</v>
      </c>
      <c r="H456" s="6" t="s">
        <v>18</v>
      </c>
      <c r="I456">
        <v>1</v>
      </c>
      <c r="J456" t="s">
        <v>22</v>
      </c>
      <c r="K4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56" s="6" t="s">
        <v>17</v>
      </c>
      <c r="M456" s="7">
        <v>34</v>
      </c>
      <c r="N456" t="s">
        <v>18</v>
      </c>
      <c r="O456" s="9" t="str">
        <f>IF(Table1_1[[#This Row],[Purchased Bike]]="yes","1","0")</f>
        <v>0</v>
      </c>
      <c r="P456" s="4" t="str">
        <f>IF(Table1_1[[#This Row],[Income]]&lt;=30000,"Low ",IF(Table1_1[[#This Row],[Income]]&lt;=70000,"Middle","High"))</f>
        <v xml:space="preserve">Low </v>
      </c>
      <c r="Q456" s="6" t="str">
        <f>IF(Table1_1[[#This Row],[Age]]&lt;30,"Young",IF(Table1_1[[#This Row],[Age]]&lt;50,"Middle aged","Senior citizen"))</f>
        <v>Middle aged</v>
      </c>
      <c r="R456" s="7">
        <f>IF(Table1_1[[#This Row],[Marriedarital SingletatuSingle]]="M",Table1_1[[#This Row],[Children]]+2,Table1_1[[#This Row],[Children]]+1)</f>
        <v>1</v>
      </c>
      <c r="S456" s="4" t="str">
        <f>IF(Table1_1[[#This Row],[Cars]]=0,"No","Yes")</f>
        <v>Yes</v>
      </c>
      <c r="T456" s="6" t="str">
        <f>IF(AND(Table1_1[[#This Row],[Income]]&gt;50000,Table1_1[[#This Row],[Home Owner]]="Yes"),"High stability","Low stability")</f>
        <v>Low stability</v>
      </c>
      <c r="U456" s="3">
        <f>Table1_1[[#This Row],[Income]]/Table1_1[[#This Row],[Family size]]</f>
        <v>30000</v>
      </c>
      <c r="V456" s="6" t="str">
        <f>IF(Table1_1[[#This Row],[Occupation]]="Skilled manual","Blue collar",IF(Table1_1[[#This Row],[Occupation]]="Manual","Blue collar","White collar"))</f>
        <v>Blue collar</v>
      </c>
    </row>
    <row r="457" spans="1:22" x14ac:dyDescent="0.3">
      <c r="A457" t="s">
        <v>491</v>
      </c>
      <c r="B457" s="6" t="s">
        <v>1042</v>
      </c>
      <c r="C457" s="6" t="s">
        <v>1045</v>
      </c>
      <c r="D457" s="3">
        <v>80000</v>
      </c>
      <c r="E457">
        <v>4</v>
      </c>
      <c r="F457" s="6" t="s">
        <v>19</v>
      </c>
      <c r="G457" s="6" t="s">
        <v>21</v>
      </c>
      <c r="H457" s="6" t="s">
        <v>18</v>
      </c>
      <c r="I457">
        <v>1</v>
      </c>
      <c r="J457" t="s">
        <v>22</v>
      </c>
      <c r="K4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57" s="6" t="s">
        <v>17</v>
      </c>
      <c r="M457" s="7">
        <v>53</v>
      </c>
      <c r="N457" t="s">
        <v>15</v>
      </c>
      <c r="O457" s="9" t="str">
        <f>IF(Table1_1[[#This Row],[Purchased Bike]]="yes","1","0")</f>
        <v>1</v>
      </c>
      <c r="P457" s="4" t="str">
        <f>IF(Table1_1[[#This Row],[Income]]&lt;=30000,"Low ",IF(Table1_1[[#This Row],[Income]]&lt;=70000,"Middle","High"))</f>
        <v>High</v>
      </c>
      <c r="Q457" s="6" t="str">
        <f>IF(Table1_1[[#This Row],[Age]]&lt;30,"Young",IF(Table1_1[[#This Row],[Age]]&lt;50,"Middle aged","Senior citizen"))</f>
        <v>Senior citizen</v>
      </c>
      <c r="R457" s="7">
        <f>IF(Table1_1[[#This Row],[Marriedarital SingletatuSingle]]="M",Table1_1[[#This Row],[Children]]+2,Table1_1[[#This Row],[Children]]+1)</f>
        <v>5</v>
      </c>
      <c r="S457" s="4" t="str">
        <f>IF(Table1_1[[#This Row],[Cars]]=0,"No","Yes")</f>
        <v>Yes</v>
      </c>
      <c r="T457" s="6" t="str">
        <f>IF(AND(Table1_1[[#This Row],[Income]]&gt;50000,Table1_1[[#This Row],[Home Owner]]="Yes"),"High stability","Low stability")</f>
        <v>Low stability</v>
      </c>
      <c r="U457" s="3">
        <f>Table1_1[[#This Row],[Income]]/Table1_1[[#This Row],[Family size]]</f>
        <v>16000</v>
      </c>
      <c r="V457" s="6" t="str">
        <f>IF(Table1_1[[#This Row],[Occupation]]="Skilled manual","Blue collar",IF(Table1_1[[#This Row],[Occupation]]="Manual","Blue collar","White collar"))</f>
        <v>White collar</v>
      </c>
    </row>
    <row r="458" spans="1:22" x14ac:dyDescent="0.3">
      <c r="A458" t="s">
        <v>492</v>
      </c>
      <c r="B458" s="6" t="s">
        <v>1044</v>
      </c>
      <c r="C458" s="6" t="s">
        <v>1046</v>
      </c>
      <c r="D458" s="3">
        <v>120000</v>
      </c>
      <c r="E458">
        <v>3</v>
      </c>
      <c r="F458" s="6" t="s">
        <v>27</v>
      </c>
      <c r="G458" s="6" t="s">
        <v>21</v>
      </c>
      <c r="H458" s="6" t="s">
        <v>18</v>
      </c>
      <c r="I458">
        <v>4</v>
      </c>
      <c r="J458" t="s">
        <v>23</v>
      </c>
      <c r="K4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58" s="6" t="s">
        <v>17</v>
      </c>
      <c r="M458" s="7">
        <v>50</v>
      </c>
      <c r="N458" t="s">
        <v>18</v>
      </c>
      <c r="O458" s="9" t="str">
        <f>IF(Table1_1[[#This Row],[Purchased Bike]]="yes","1","0")</f>
        <v>0</v>
      </c>
      <c r="P458" s="4" t="str">
        <f>IF(Table1_1[[#This Row],[Income]]&lt;=30000,"Low ",IF(Table1_1[[#This Row],[Income]]&lt;=70000,"Middle","High"))</f>
        <v>High</v>
      </c>
      <c r="Q458" s="6" t="str">
        <f>IF(Table1_1[[#This Row],[Age]]&lt;30,"Young",IF(Table1_1[[#This Row],[Age]]&lt;50,"Middle aged","Senior citizen"))</f>
        <v>Senior citizen</v>
      </c>
      <c r="R458" s="7">
        <f>IF(Table1_1[[#This Row],[Marriedarital SingletatuSingle]]="M",Table1_1[[#This Row],[Children]]+2,Table1_1[[#This Row],[Children]]+1)</f>
        <v>4</v>
      </c>
      <c r="S458" s="4" t="str">
        <f>IF(Table1_1[[#This Row],[Cars]]=0,"No","Yes")</f>
        <v>Yes</v>
      </c>
      <c r="T458" s="6" t="str">
        <f>IF(AND(Table1_1[[#This Row],[Income]]&gt;50000,Table1_1[[#This Row],[Home Owner]]="Yes"),"High stability","Low stability")</f>
        <v>Low stability</v>
      </c>
      <c r="U458" s="3">
        <f>Table1_1[[#This Row],[Income]]/Table1_1[[#This Row],[Family size]]</f>
        <v>30000</v>
      </c>
      <c r="V458" s="6" t="str">
        <f>IF(Table1_1[[#This Row],[Occupation]]="Skilled manual","Blue collar",IF(Table1_1[[#This Row],[Occupation]]="Manual","Blue collar","White collar"))</f>
        <v>White collar</v>
      </c>
    </row>
    <row r="459" spans="1:22" x14ac:dyDescent="0.3">
      <c r="A459" t="s">
        <v>493</v>
      </c>
      <c r="B459" s="6" t="s">
        <v>1042</v>
      </c>
      <c r="C459" s="6" t="s">
        <v>1045</v>
      </c>
      <c r="D459" s="3">
        <v>20000</v>
      </c>
      <c r="E459">
        <v>1</v>
      </c>
      <c r="F459" s="6" t="s">
        <v>19</v>
      </c>
      <c r="G459" s="6" t="s">
        <v>25</v>
      </c>
      <c r="H459" s="6" t="s">
        <v>15</v>
      </c>
      <c r="I459">
        <v>0</v>
      </c>
      <c r="J459" t="s">
        <v>16</v>
      </c>
      <c r="K4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59" s="6" t="s">
        <v>17</v>
      </c>
      <c r="M459" s="7">
        <v>65</v>
      </c>
      <c r="N459" t="s">
        <v>18</v>
      </c>
      <c r="O459" s="9" t="str">
        <f>IF(Table1_1[[#This Row],[Purchased Bike]]="yes","1","0")</f>
        <v>0</v>
      </c>
      <c r="P459" s="4" t="str">
        <f>IF(Table1_1[[#This Row],[Income]]&lt;=30000,"Low ",IF(Table1_1[[#This Row],[Income]]&lt;=70000,"Middle","High"))</f>
        <v xml:space="preserve">Low </v>
      </c>
      <c r="Q459" s="6" t="str">
        <f>IF(Table1_1[[#This Row],[Age]]&lt;30,"Young",IF(Table1_1[[#This Row],[Age]]&lt;50,"Middle aged","Senior citizen"))</f>
        <v>Senior citizen</v>
      </c>
      <c r="R459" s="7">
        <f>IF(Table1_1[[#This Row],[Marriedarital SingletatuSingle]]="M",Table1_1[[#This Row],[Children]]+2,Table1_1[[#This Row],[Children]]+1)</f>
        <v>2</v>
      </c>
      <c r="S459" s="4" t="str">
        <f>IF(Table1_1[[#This Row],[Cars]]=0,"No","Yes")</f>
        <v>No</v>
      </c>
      <c r="T459" s="6" t="str">
        <f>IF(AND(Table1_1[[#This Row],[Income]]&gt;50000,Table1_1[[#This Row],[Home Owner]]="Yes"),"High stability","Low stability")</f>
        <v>Low stability</v>
      </c>
      <c r="U459" s="3">
        <f>Table1_1[[#This Row],[Income]]/Table1_1[[#This Row],[Family size]]</f>
        <v>10000</v>
      </c>
      <c r="V459" s="6" t="str">
        <f>IF(Table1_1[[#This Row],[Occupation]]="Skilled manual","Blue collar",IF(Table1_1[[#This Row],[Occupation]]="Manual","Blue collar","White collar"))</f>
        <v>Blue collar</v>
      </c>
    </row>
    <row r="460" spans="1:22" x14ac:dyDescent="0.3">
      <c r="A460" t="s">
        <v>494</v>
      </c>
      <c r="B460" s="6" t="s">
        <v>1042</v>
      </c>
      <c r="C460" s="6" t="s">
        <v>1046</v>
      </c>
      <c r="D460" s="3">
        <v>120000</v>
      </c>
      <c r="E460">
        <v>0</v>
      </c>
      <c r="F460" s="6" t="s">
        <v>29</v>
      </c>
      <c r="G460" s="6" t="s">
        <v>21</v>
      </c>
      <c r="H460" s="6" t="s">
        <v>15</v>
      </c>
      <c r="I460">
        <v>4</v>
      </c>
      <c r="J460" t="s">
        <v>30</v>
      </c>
      <c r="K4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60" s="6" t="s">
        <v>24</v>
      </c>
      <c r="M460" s="7">
        <v>32</v>
      </c>
      <c r="N460" t="s">
        <v>15</v>
      </c>
      <c r="O460" s="9" t="str">
        <f>IF(Table1_1[[#This Row],[Purchased Bike]]="yes","1","0")</f>
        <v>1</v>
      </c>
      <c r="P460" s="4" t="str">
        <f>IF(Table1_1[[#This Row],[Income]]&lt;=30000,"Low ",IF(Table1_1[[#This Row],[Income]]&lt;=70000,"Middle","High"))</f>
        <v>High</v>
      </c>
      <c r="Q460" s="6" t="str">
        <f>IF(Table1_1[[#This Row],[Age]]&lt;30,"Young",IF(Table1_1[[#This Row],[Age]]&lt;50,"Middle aged","Senior citizen"))</f>
        <v>Middle aged</v>
      </c>
      <c r="R460" s="7">
        <f>IF(Table1_1[[#This Row],[Marriedarital SingletatuSingle]]="M",Table1_1[[#This Row],[Children]]+2,Table1_1[[#This Row],[Children]]+1)</f>
        <v>1</v>
      </c>
      <c r="S460" s="4" t="str">
        <f>IF(Table1_1[[#This Row],[Cars]]=0,"No","Yes")</f>
        <v>Yes</v>
      </c>
      <c r="T460" s="6" t="str">
        <f>IF(AND(Table1_1[[#This Row],[Income]]&gt;50000,Table1_1[[#This Row],[Home Owner]]="Yes"),"High stability","Low stability")</f>
        <v>High stability</v>
      </c>
      <c r="U460" s="3">
        <f>Table1_1[[#This Row],[Income]]/Table1_1[[#This Row],[Family size]]</f>
        <v>120000</v>
      </c>
      <c r="V460" s="6" t="str">
        <f>IF(Table1_1[[#This Row],[Occupation]]="Skilled manual","Blue collar",IF(Table1_1[[#This Row],[Occupation]]="Manual","Blue collar","White collar"))</f>
        <v>White collar</v>
      </c>
    </row>
    <row r="461" spans="1:22" x14ac:dyDescent="0.3">
      <c r="A461" t="s">
        <v>495</v>
      </c>
      <c r="B461" s="6" t="s">
        <v>1044</v>
      </c>
      <c r="C461" s="6" t="s">
        <v>1045</v>
      </c>
      <c r="D461" s="3">
        <v>80000</v>
      </c>
      <c r="E461">
        <v>0</v>
      </c>
      <c r="F461" s="6" t="s">
        <v>13</v>
      </c>
      <c r="G461" s="6" t="s">
        <v>21</v>
      </c>
      <c r="H461" s="6" t="s">
        <v>18</v>
      </c>
      <c r="I461">
        <v>3</v>
      </c>
      <c r="J461" t="s">
        <v>30</v>
      </c>
      <c r="K4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61" s="6" t="s">
        <v>24</v>
      </c>
      <c r="M461" s="7">
        <v>33</v>
      </c>
      <c r="N461" t="s">
        <v>18</v>
      </c>
      <c r="O461" s="9" t="str">
        <f>IF(Table1_1[[#This Row],[Purchased Bike]]="yes","1","0")</f>
        <v>0</v>
      </c>
      <c r="P461" s="4" t="str">
        <f>IF(Table1_1[[#This Row],[Income]]&lt;=30000,"Low ",IF(Table1_1[[#This Row],[Income]]&lt;=70000,"Middle","High"))</f>
        <v>High</v>
      </c>
      <c r="Q461" s="6" t="str">
        <f>IF(Table1_1[[#This Row],[Age]]&lt;30,"Young",IF(Table1_1[[#This Row],[Age]]&lt;50,"Middle aged","Senior citizen"))</f>
        <v>Middle aged</v>
      </c>
      <c r="R461" s="7">
        <f>IF(Table1_1[[#This Row],[Marriedarital SingletatuSingle]]="M",Table1_1[[#This Row],[Children]]+2,Table1_1[[#This Row],[Children]]+1)</f>
        <v>1</v>
      </c>
      <c r="S461" s="4" t="str">
        <f>IF(Table1_1[[#This Row],[Cars]]=0,"No","Yes")</f>
        <v>Yes</v>
      </c>
      <c r="T461" s="6" t="str">
        <f>IF(AND(Table1_1[[#This Row],[Income]]&gt;50000,Table1_1[[#This Row],[Home Owner]]="Yes"),"High stability","Low stability")</f>
        <v>Low stability</v>
      </c>
      <c r="U461" s="3">
        <f>Table1_1[[#This Row],[Income]]/Table1_1[[#This Row],[Family size]]</f>
        <v>80000</v>
      </c>
      <c r="V461" s="6" t="str">
        <f>IF(Table1_1[[#This Row],[Occupation]]="Skilled manual","Blue collar",IF(Table1_1[[#This Row],[Occupation]]="Manual","Blue collar","White collar"))</f>
        <v>White collar</v>
      </c>
    </row>
    <row r="462" spans="1:22" x14ac:dyDescent="0.3">
      <c r="A462" t="s">
        <v>496</v>
      </c>
      <c r="B462" s="6" t="s">
        <v>1044</v>
      </c>
      <c r="C462" s="6" t="s">
        <v>1046</v>
      </c>
      <c r="D462" s="3">
        <v>20000</v>
      </c>
      <c r="E462">
        <v>0</v>
      </c>
      <c r="F462" s="6" t="s">
        <v>29</v>
      </c>
      <c r="G462" s="6" t="s">
        <v>25</v>
      </c>
      <c r="H462" s="6" t="s">
        <v>15</v>
      </c>
      <c r="I462">
        <v>2</v>
      </c>
      <c r="J462" t="s">
        <v>26</v>
      </c>
      <c r="K4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62" s="6" t="s">
        <v>17</v>
      </c>
      <c r="M462" s="7">
        <v>31</v>
      </c>
      <c r="N462" t="s">
        <v>15</v>
      </c>
      <c r="O462" s="9" t="str">
        <f>IF(Table1_1[[#This Row],[Purchased Bike]]="yes","1","0")</f>
        <v>1</v>
      </c>
      <c r="P462" s="4" t="str">
        <f>IF(Table1_1[[#This Row],[Income]]&lt;=30000,"Low ",IF(Table1_1[[#This Row],[Income]]&lt;=70000,"Middle","High"))</f>
        <v xml:space="preserve">Low </v>
      </c>
      <c r="Q462" s="6" t="str">
        <f>IF(Table1_1[[#This Row],[Age]]&lt;30,"Young",IF(Table1_1[[#This Row],[Age]]&lt;50,"Middle aged","Senior citizen"))</f>
        <v>Middle aged</v>
      </c>
      <c r="R462" s="7">
        <f>IF(Table1_1[[#This Row],[Marriedarital SingletatuSingle]]="M",Table1_1[[#This Row],[Children]]+2,Table1_1[[#This Row],[Children]]+1)</f>
        <v>1</v>
      </c>
      <c r="S462" s="4" t="str">
        <f>IF(Table1_1[[#This Row],[Cars]]=0,"No","Yes")</f>
        <v>Yes</v>
      </c>
      <c r="T462" s="6" t="str">
        <f>IF(AND(Table1_1[[#This Row],[Income]]&gt;50000,Table1_1[[#This Row],[Home Owner]]="Yes"),"High stability","Low stability")</f>
        <v>Low stability</v>
      </c>
      <c r="U462" s="3">
        <f>Table1_1[[#This Row],[Income]]/Table1_1[[#This Row],[Family size]]</f>
        <v>20000</v>
      </c>
      <c r="V462" s="6" t="str">
        <f>IF(Table1_1[[#This Row],[Occupation]]="Skilled manual","Blue collar",IF(Table1_1[[#This Row],[Occupation]]="Manual","Blue collar","White collar"))</f>
        <v>Blue collar</v>
      </c>
    </row>
    <row r="463" spans="1:22" x14ac:dyDescent="0.3">
      <c r="A463" t="s">
        <v>497</v>
      </c>
      <c r="B463" s="6" t="s">
        <v>1042</v>
      </c>
      <c r="C463" s="6" t="s">
        <v>1045</v>
      </c>
      <c r="D463" s="3">
        <v>120000</v>
      </c>
      <c r="E463">
        <v>1</v>
      </c>
      <c r="F463" s="6" t="s">
        <v>13</v>
      </c>
      <c r="G463" s="6" t="s">
        <v>28</v>
      </c>
      <c r="H463" s="6" t="s">
        <v>15</v>
      </c>
      <c r="I463">
        <v>2</v>
      </c>
      <c r="J463" t="s">
        <v>16</v>
      </c>
      <c r="K4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63" s="6" t="s">
        <v>24</v>
      </c>
      <c r="M463" s="7">
        <v>46</v>
      </c>
      <c r="N463" t="s">
        <v>15</v>
      </c>
      <c r="O463" s="9" t="str">
        <f>IF(Table1_1[[#This Row],[Purchased Bike]]="yes","1","0")</f>
        <v>1</v>
      </c>
      <c r="P463" s="4" t="str">
        <f>IF(Table1_1[[#This Row],[Income]]&lt;=30000,"Low ",IF(Table1_1[[#This Row],[Income]]&lt;=70000,"Middle","High"))</f>
        <v>High</v>
      </c>
      <c r="Q463" s="6" t="str">
        <f>IF(Table1_1[[#This Row],[Age]]&lt;30,"Young",IF(Table1_1[[#This Row],[Age]]&lt;50,"Middle aged","Senior citizen"))</f>
        <v>Middle aged</v>
      </c>
      <c r="R463" s="7">
        <f>IF(Table1_1[[#This Row],[Marriedarital SingletatuSingle]]="M",Table1_1[[#This Row],[Children]]+2,Table1_1[[#This Row],[Children]]+1)</f>
        <v>2</v>
      </c>
      <c r="S463" s="4" t="str">
        <f>IF(Table1_1[[#This Row],[Cars]]=0,"No","Yes")</f>
        <v>Yes</v>
      </c>
      <c r="T463" s="6" t="str">
        <f>IF(AND(Table1_1[[#This Row],[Income]]&gt;50000,Table1_1[[#This Row],[Home Owner]]="Yes"),"High stability","Low stability")</f>
        <v>High stability</v>
      </c>
      <c r="U463" s="3">
        <f>Table1_1[[#This Row],[Income]]/Table1_1[[#This Row],[Family size]]</f>
        <v>60000</v>
      </c>
      <c r="V463" s="6" t="str">
        <f>IF(Table1_1[[#This Row],[Occupation]]="Skilled manual","Blue collar",IF(Table1_1[[#This Row],[Occupation]]="Manual","Blue collar","White collar"))</f>
        <v>White collar</v>
      </c>
    </row>
    <row r="464" spans="1:22" x14ac:dyDescent="0.3">
      <c r="A464" t="s">
        <v>498</v>
      </c>
      <c r="B464" s="6" t="s">
        <v>1042</v>
      </c>
      <c r="C464" s="6" t="s">
        <v>1045</v>
      </c>
      <c r="D464" s="3">
        <v>40000</v>
      </c>
      <c r="E464">
        <v>0</v>
      </c>
      <c r="F464" s="6" t="s">
        <v>13</v>
      </c>
      <c r="G464" s="6" t="s">
        <v>20</v>
      </c>
      <c r="H464" s="6" t="s">
        <v>15</v>
      </c>
      <c r="I464">
        <v>0</v>
      </c>
      <c r="J464" t="s">
        <v>16</v>
      </c>
      <c r="K4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64" s="6" t="s">
        <v>17</v>
      </c>
      <c r="M464" s="7">
        <v>39</v>
      </c>
      <c r="N464" t="s">
        <v>15</v>
      </c>
      <c r="O464" s="9" t="str">
        <f>IF(Table1_1[[#This Row],[Purchased Bike]]="yes","1","0")</f>
        <v>1</v>
      </c>
      <c r="P464" s="4" t="str">
        <f>IF(Table1_1[[#This Row],[Income]]&lt;=30000,"Low ",IF(Table1_1[[#This Row],[Income]]&lt;=70000,"Middle","High"))</f>
        <v>Middle</v>
      </c>
      <c r="Q464" s="6" t="str">
        <f>IF(Table1_1[[#This Row],[Age]]&lt;30,"Young",IF(Table1_1[[#This Row],[Age]]&lt;50,"Middle aged","Senior citizen"))</f>
        <v>Middle aged</v>
      </c>
      <c r="R464" s="7">
        <f>IF(Table1_1[[#This Row],[Marriedarital SingletatuSingle]]="M",Table1_1[[#This Row],[Children]]+2,Table1_1[[#This Row],[Children]]+1)</f>
        <v>1</v>
      </c>
      <c r="S464" s="4" t="str">
        <f>IF(Table1_1[[#This Row],[Cars]]=0,"No","Yes")</f>
        <v>No</v>
      </c>
      <c r="T464" s="6" t="str">
        <f>IF(AND(Table1_1[[#This Row],[Income]]&gt;50000,Table1_1[[#This Row],[Home Owner]]="Yes"),"High stability","Low stability")</f>
        <v>Low stability</v>
      </c>
      <c r="U464" s="3">
        <f>Table1_1[[#This Row],[Income]]/Table1_1[[#This Row],[Family size]]</f>
        <v>40000</v>
      </c>
      <c r="V464" s="6" t="str">
        <f>IF(Table1_1[[#This Row],[Occupation]]="Skilled manual","Blue collar",IF(Table1_1[[#This Row],[Occupation]]="Manual","Blue collar","White collar"))</f>
        <v>White collar</v>
      </c>
    </row>
    <row r="465" spans="1:22" x14ac:dyDescent="0.3">
      <c r="A465" t="s">
        <v>499</v>
      </c>
      <c r="B465" s="6" t="s">
        <v>1044</v>
      </c>
      <c r="C465" s="6" t="s">
        <v>1046</v>
      </c>
      <c r="D465" s="3">
        <v>20000</v>
      </c>
      <c r="E465">
        <v>2</v>
      </c>
      <c r="F465" s="6" t="s">
        <v>27</v>
      </c>
      <c r="G465" s="6" t="s">
        <v>25</v>
      </c>
      <c r="H465" s="6" t="s">
        <v>15</v>
      </c>
      <c r="I465">
        <v>1</v>
      </c>
      <c r="J465" t="s">
        <v>16</v>
      </c>
      <c r="K4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65" s="6" t="s">
        <v>17</v>
      </c>
      <c r="M465" s="7">
        <v>40</v>
      </c>
      <c r="N465" t="s">
        <v>18</v>
      </c>
      <c r="O465" s="9" t="str">
        <f>IF(Table1_1[[#This Row],[Purchased Bike]]="yes","1","0")</f>
        <v>0</v>
      </c>
      <c r="P465" s="4" t="str">
        <f>IF(Table1_1[[#This Row],[Income]]&lt;=30000,"Low ",IF(Table1_1[[#This Row],[Income]]&lt;=70000,"Middle","High"))</f>
        <v xml:space="preserve">Low </v>
      </c>
      <c r="Q465" s="6" t="str">
        <f>IF(Table1_1[[#This Row],[Age]]&lt;30,"Young",IF(Table1_1[[#This Row],[Age]]&lt;50,"Middle aged","Senior citizen"))</f>
        <v>Middle aged</v>
      </c>
      <c r="R465" s="7">
        <f>IF(Table1_1[[#This Row],[Marriedarital SingletatuSingle]]="M",Table1_1[[#This Row],[Children]]+2,Table1_1[[#This Row],[Children]]+1)</f>
        <v>3</v>
      </c>
      <c r="S465" s="4" t="str">
        <f>IF(Table1_1[[#This Row],[Cars]]=0,"No","Yes")</f>
        <v>Yes</v>
      </c>
      <c r="T465" s="6" t="str">
        <f>IF(AND(Table1_1[[#This Row],[Income]]&gt;50000,Table1_1[[#This Row],[Home Owner]]="Yes"),"High stability","Low stability")</f>
        <v>Low stability</v>
      </c>
      <c r="U465" s="3">
        <f>Table1_1[[#This Row],[Income]]/Table1_1[[#This Row],[Family size]]</f>
        <v>6666.666666666667</v>
      </c>
      <c r="V465" s="6" t="str">
        <f>IF(Table1_1[[#This Row],[Occupation]]="Skilled manual","Blue collar",IF(Table1_1[[#This Row],[Occupation]]="Manual","Blue collar","White collar"))</f>
        <v>Blue collar</v>
      </c>
    </row>
    <row r="466" spans="1:22" x14ac:dyDescent="0.3">
      <c r="A466" t="s">
        <v>500</v>
      </c>
      <c r="B466" s="6" t="s">
        <v>1044</v>
      </c>
      <c r="C466" s="6" t="s">
        <v>1045</v>
      </c>
      <c r="D466" s="3">
        <v>30000</v>
      </c>
      <c r="E466">
        <v>3</v>
      </c>
      <c r="F466" s="6" t="s">
        <v>13</v>
      </c>
      <c r="G466" s="6" t="s">
        <v>20</v>
      </c>
      <c r="H466" s="6" t="s">
        <v>15</v>
      </c>
      <c r="I466">
        <v>0</v>
      </c>
      <c r="J466" t="s">
        <v>16</v>
      </c>
      <c r="K4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66" s="6" t="s">
        <v>17</v>
      </c>
      <c r="M466" s="7">
        <v>46</v>
      </c>
      <c r="N466" t="s">
        <v>15</v>
      </c>
      <c r="O466" s="9" t="str">
        <f>IF(Table1_1[[#This Row],[Purchased Bike]]="yes","1","0")</f>
        <v>1</v>
      </c>
      <c r="P466" s="4" t="str">
        <f>IF(Table1_1[[#This Row],[Income]]&lt;=30000,"Low ",IF(Table1_1[[#This Row],[Income]]&lt;=70000,"Middle","High"))</f>
        <v xml:space="preserve">Low </v>
      </c>
      <c r="Q466" s="6" t="str">
        <f>IF(Table1_1[[#This Row],[Age]]&lt;30,"Young",IF(Table1_1[[#This Row],[Age]]&lt;50,"Middle aged","Senior citizen"))</f>
        <v>Middle aged</v>
      </c>
      <c r="R466" s="7">
        <f>IF(Table1_1[[#This Row],[Marriedarital SingletatuSingle]]="M",Table1_1[[#This Row],[Children]]+2,Table1_1[[#This Row],[Children]]+1)</f>
        <v>4</v>
      </c>
      <c r="S466" s="4" t="str">
        <f>IF(Table1_1[[#This Row],[Cars]]=0,"No","Yes")</f>
        <v>No</v>
      </c>
      <c r="T466" s="6" t="str">
        <f>IF(AND(Table1_1[[#This Row],[Income]]&gt;50000,Table1_1[[#This Row],[Home Owner]]="Yes"),"High stability","Low stability")</f>
        <v>Low stability</v>
      </c>
      <c r="U466" s="3">
        <f>Table1_1[[#This Row],[Income]]/Table1_1[[#This Row],[Family size]]</f>
        <v>7500</v>
      </c>
      <c r="V466" s="6" t="str">
        <f>IF(Table1_1[[#This Row],[Occupation]]="Skilled manual","Blue collar",IF(Table1_1[[#This Row],[Occupation]]="Manual","Blue collar","White collar"))</f>
        <v>White collar</v>
      </c>
    </row>
    <row r="467" spans="1:22" x14ac:dyDescent="0.3">
      <c r="A467" t="s">
        <v>501</v>
      </c>
      <c r="B467" s="6" t="s">
        <v>1042</v>
      </c>
      <c r="C467" s="6" t="s">
        <v>1046</v>
      </c>
      <c r="D467" s="3">
        <v>40000</v>
      </c>
      <c r="E467">
        <v>2</v>
      </c>
      <c r="F467" s="6" t="s">
        <v>13</v>
      </c>
      <c r="G467" s="6" t="s">
        <v>28</v>
      </c>
      <c r="H467" s="6" t="s">
        <v>15</v>
      </c>
      <c r="I467">
        <v>2</v>
      </c>
      <c r="J467" t="s">
        <v>16</v>
      </c>
      <c r="K4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67" s="6" t="s">
        <v>24</v>
      </c>
      <c r="M467" s="7">
        <v>65</v>
      </c>
      <c r="N467" t="s">
        <v>18</v>
      </c>
      <c r="O467" s="9" t="str">
        <f>IF(Table1_1[[#This Row],[Purchased Bike]]="yes","1","0")</f>
        <v>0</v>
      </c>
      <c r="P467" s="4" t="str">
        <f>IF(Table1_1[[#This Row],[Income]]&lt;=30000,"Low ",IF(Table1_1[[#This Row],[Income]]&lt;=70000,"Middle","High"))</f>
        <v>Middle</v>
      </c>
      <c r="Q467" s="6" t="str">
        <f>IF(Table1_1[[#This Row],[Age]]&lt;30,"Young",IF(Table1_1[[#This Row],[Age]]&lt;50,"Middle aged","Senior citizen"))</f>
        <v>Senior citizen</v>
      </c>
      <c r="R467" s="7">
        <f>IF(Table1_1[[#This Row],[Marriedarital SingletatuSingle]]="M",Table1_1[[#This Row],[Children]]+2,Table1_1[[#This Row],[Children]]+1)</f>
        <v>3</v>
      </c>
      <c r="S467" s="4" t="str">
        <f>IF(Table1_1[[#This Row],[Cars]]=0,"No","Yes")</f>
        <v>Yes</v>
      </c>
      <c r="T467" s="6" t="str">
        <f>IF(AND(Table1_1[[#This Row],[Income]]&gt;50000,Table1_1[[#This Row],[Home Owner]]="Yes"),"High stability","Low stability")</f>
        <v>Low stability</v>
      </c>
      <c r="U467" s="3">
        <f>Table1_1[[#This Row],[Income]]/Table1_1[[#This Row],[Family size]]</f>
        <v>13333.333333333334</v>
      </c>
      <c r="V467" s="6" t="str">
        <f>IF(Table1_1[[#This Row],[Occupation]]="Skilled manual","Blue collar",IF(Table1_1[[#This Row],[Occupation]]="Manual","Blue collar","White collar"))</f>
        <v>White collar</v>
      </c>
    </row>
    <row r="468" spans="1:22" x14ac:dyDescent="0.3">
      <c r="A468" t="s">
        <v>502</v>
      </c>
      <c r="B468" s="6" t="s">
        <v>1044</v>
      </c>
      <c r="C468" s="6" t="s">
        <v>1045</v>
      </c>
      <c r="D468" s="3">
        <v>30000</v>
      </c>
      <c r="E468">
        <v>3</v>
      </c>
      <c r="F468" s="6" t="s">
        <v>13</v>
      </c>
      <c r="G468" s="6" t="s">
        <v>20</v>
      </c>
      <c r="H468" s="6" t="s">
        <v>15</v>
      </c>
      <c r="I468">
        <v>0</v>
      </c>
      <c r="J468" t="s">
        <v>16</v>
      </c>
      <c r="K4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68" s="6" t="s">
        <v>17</v>
      </c>
      <c r="M468" s="7">
        <v>47</v>
      </c>
      <c r="N468" t="s">
        <v>15</v>
      </c>
      <c r="O468" s="9" t="str">
        <f>IF(Table1_1[[#This Row],[Purchased Bike]]="yes","1","0")</f>
        <v>1</v>
      </c>
      <c r="P468" s="4" t="str">
        <f>IF(Table1_1[[#This Row],[Income]]&lt;=30000,"Low ",IF(Table1_1[[#This Row],[Income]]&lt;=70000,"Middle","High"))</f>
        <v xml:space="preserve">Low </v>
      </c>
      <c r="Q468" s="6" t="str">
        <f>IF(Table1_1[[#This Row],[Age]]&lt;30,"Young",IF(Table1_1[[#This Row],[Age]]&lt;50,"Middle aged","Senior citizen"))</f>
        <v>Middle aged</v>
      </c>
      <c r="R468" s="7">
        <f>IF(Table1_1[[#This Row],[Marriedarital SingletatuSingle]]="M",Table1_1[[#This Row],[Children]]+2,Table1_1[[#This Row],[Children]]+1)</f>
        <v>4</v>
      </c>
      <c r="S468" s="4" t="str">
        <f>IF(Table1_1[[#This Row],[Cars]]=0,"No","Yes")</f>
        <v>No</v>
      </c>
      <c r="T468" s="6" t="str">
        <f>IF(AND(Table1_1[[#This Row],[Income]]&gt;50000,Table1_1[[#This Row],[Home Owner]]="Yes"),"High stability","Low stability")</f>
        <v>Low stability</v>
      </c>
      <c r="U468" s="3">
        <f>Table1_1[[#This Row],[Income]]/Table1_1[[#This Row],[Family size]]</f>
        <v>7500</v>
      </c>
      <c r="V468" s="6" t="str">
        <f>IF(Table1_1[[#This Row],[Occupation]]="Skilled manual","Blue collar",IF(Table1_1[[#This Row],[Occupation]]="Manual","Blue collar","White collar"))</f>
        <v>White collar</v>
      </c>
    </row>
    <row r="469" spans="1:22" x14ac:dyDescent="0.3">
      <c r="A469" t="s">
        <v>503</v>
      </c>
      <c r="B469" s="6" t="s">
        <v>1044</v>
      </c>
      <c r="C469" s="6" t="s">
        <v>1046</v>
      </c>
      <c r="D469" s="3">
        <v>100000</v>
      </c>
      <c r="E469">
        <v>1</v>
      </c>
      <c r="F469" s="6" t="s">
        <v>13</v>
      </c>
      <c r="G469" s="6" t="s">
        <v>28</v>
      </c>
      <c r="H469" s="6" t="s">
        <v>18</v>
      </c>
      <c r="I469">
        <v>3</v>
      </c>
      <c r="J469" t="s">
        <v>16</v>
      </c>
      <c r="K4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69" s="6" t="s">
        <v>24</v>
      </c>
      <c r="M469" s="7">
        <v>46</v>
      </c>
      <c r="N469" t="s">
        <v>15</v>
      </c>
      <c r="O469" s="9" t="str">
        <f>IF(Table1_1[[#This Row],[Purchased Bike]]="yes","1","0")</f>
        <v>1</v>
      </c>
      <c r="P469" s="4" t="str">
        <f>IF(Table1_1[[#This Row],[Income]]&lt;=30000,"Low ",IF(Table1_1[[#This Row],[Income]]&lt;=70000,"Middle","High"))</f>
        <v>High</v>
      </c>
      <c r="Q469" s="6" t="str">
        <f>IF(Table1_1[[#This Row],[Age]]&lt;30,"Young",IF(Table1_1[[#This Row],[Age]]&lt;50,"Middle aged","Senior citizen"))</f>
        <v>Middle aged</v>
      </c>
      <c r="R469" s="7">
        <f>IF(Table1_1[[#This Row],[Marriedarital SingletatuSingle]]="M",Table1_1[[#This Row],[Children]]+2,Table1_1[[#This Row],[Children]]+1)</f>
        <v>2</v>
      </c>
      <c r="S469" s="4" t="str">
        <f>IF(Table1_1[[#This Row],[Cars]]=0,"No","Yes")</f>
        <v>Yes</v>
      </c>
      <c r="T469" s="6" t="str">
        <f>IF(AND(Table1_1[[#This Row],[Income]]&gt;50000,Table1_1[[#This Row],[Home Owner]]="Yes"),"High stability","Low stability")</f>
        <v>Low stability</v>
      </c>
      <c r="U469" s="3">
        <f>Table1_1[[#This Row],[Income]]/Table1_1[[#This Row],[Family size]]</f>
        <v>50000</v>
      </c>
      <c r="V469" s="6" t="str">
        <f>IF(Table1_1[[#This Row],[Occupation]]="Skilled manual","Blue collar",IF(Table1_1[[#This Row],[Occupation]]="Manual","Blue collar","White collar"))</f>
        <v>White collar</v>
      </c>
    </row>
    <row r="470" spans="1:22" x14ac:dyDescent="0.3">
      <c r="A470" t="s">
        <v>504</v>
      </c>
      <c r="B470" s="6" t="s">
        <v>1042</v>
      </c>
      <c r="C470" s="6" t="s">
        <v>1045</v>
      </c>
      <c r="D470" s="3">
        <v>80000</v>
      </c>
      <c r="E470">
        <v>5</v>
      </c>
      <c r="F470" s="6" t="s">
        <v>31</v>
      </c>
      <c r="G470" s="6" t="s">
        <v>28</v>
      </c>
      <c r="H470" s="6" t="s">
        <v>15</v>
      </c>
      <c r="I470">
        <v>3</v>
      </c>
      <c r="J470" t="s">
        <v>16</v>
      </c>
      <c r="K4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70" s="6" t="s">
        <v>24</v>
      </c>
      <c r="M470" s="7">
        <v>40</v>
      </c>
      <c r="N470" t="s">
        <v>18</v>
      </c>
      <c r="O470" s="9" t="str">
        <f>IF(Table1_1[[#This Row],[Purchased Bike]]="yes","1","0")</f>
        <v>0</v>
      </c>
      <c r="P470" s="4" t="str">
        <f>IF(Table1_1[[#This Row],[Income]]&lt;=30000,"Low ",IF(Table1_1[[#This Row],[Income]]&lt;=70000,"Middle","High"))</f>
        <v>High</v>
      </c>
      <c r="Q470" s="6" t="str">
        <f>IF(Table1_1[[#This Row],[Age]]&lt;30,"Young",IF(Table1_1[[#This Row],[Age]]&lt;50,"Middle aged","Senior citizen"))</f>
        <v>Middle aged</v>
      </c>
      <c r="R470" s="7">
        <f>IF(Table1_1[[#This Row],[Marriedarital SingletatuSingle]]="M",Table1_1[[#This Row],[Children]]+2,Table1_1[[#This Row],[Children]]+1)</f>
        <v>6</v>
      </c>
      <c r="S470" s="4" t="str">
        <f>IF(Table1_1[[#This Row],[Cars]]=0,"No","Yes")</f>
        <v>Yes</v>
      </c>
      <c r="T470" s="6" t="str">
        <f>IF(AND(Table1_1[[#This Row],[Income]]&gt;50000,Table1_1[[#This Row],[Home Owner]]="Yes"),"High stability","Low stability")</f>
        <v>High stability</v>
      </c>
      <c r="U470" s="3">
        <f>Table1_1[[#This Row],[Income]]/Table1_1[[#This Row],[Family size]]</f>
        <v>13333.333333333334</v>
      </c>
      <c r="V470" s="6" t="str">
        <f>IF(Table1_1[[#This Row],[Occupation]]="Skilled manual","Blue collar",IF(Table1_1[[#This Row],[Occupation]]="Manual","Blue collar","White collar"))</f>
        <v>White collar</v>
      </c>
    </row>
    <row r="471" spans="1:22" x14ac:dyDescent="0.3">
      <c r="A471" t="s">
        <v>505</v>
      </c>
      <c r="B471" s="6" t="s">
        <v>1042</v>
      </c>
      <c r="C471" s="6" t="s">
        <v>1045</v>
      </c>
      <c r="D471" s="3">
        <v>30000</v>
      </c>
      <c r="E471">
        <v>1</v>
      </c>
      <c r="F471" s="6" t="s">
        <v>13</v>
      </c>
      <c r="G471" s="6" t="s">
        <v>20</v>
      </c>
      <c r="H471" s="6" t="s">
        <v>15</v>
      </c>
      <c r="I471">
        <v>0</v>
      </c>
      <c r="J471" t="s">
        <v>16</v>
      </c>
      <c r="K4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71" s="6" t="s">
        <v>17</v>
      </c>
      <c r="M471" s="7">
        <v>65</v>
      </c>
      <c r="N471" t="s">
        <v>18</v>
      </c>
      <c r="O471" s="9" t="str">
        <f>IF(Table1_1[[#This Row],[Purchased Bike]]="yes","1","0")</f>
        <v>0</v>
      </c>
      <c r="P471" s="4" t="str">
        <f>IF(Table1_1[[#This Row],[Income]]&lt;=30000,"Low ",IF(Table1_1[[#This Row],[Income]]&lt;=70000,"Middle","High"))</f>
        <v xml:space="preserve">Low </v>
      </c>
      <c r="Q471" s="6" t="str">
        <f>IF(Table1_1[[#This Row],[Age]]&lt;30,"Young",IF(Table1_1[[#This Row],[Age]]&lt;50,"Middle aged","Senior citizen"))</f>
        <v>Senior citizen</v>
      </c>
      <c r="R471" s="7">
        <f>IF(Table1_1[[#This Row],[Marriedarital SingletatuSingle]]="M",Table1_1[[#This Row],[Children]]+2,Table1_1[[#This Row],[Children]]+1)</f>
        <v>2</v>
      </c>
      <c r="S471" s="4" t="str">
        <f>IF(Table1_1[[#This Row],[Cars]]=0,"No","Yes")</f>
        <v>No</v>
      </c>
      <c r="T471" s="6" t="str">
        <f>IF(AND(Table1_1[[#This Row],[Income]]&gt;50000,Table1_1[[#This Row],[Home Owner]]="Yes"),"High stability","Low stability")</f>
        <v>Low stability</v>
      </c>
      <c r="U471" s="3">
        <f>Table1_1[[#This Row],[Income]]/Table1_1[[#This Row],[Family size]]</f>
        <v>15000</v>
      </c>
      <c r="V471" s="6" t="str">
        <f>IF(Table1_1[[#This Row],[Occupation]]="Skilled manual","Blue collar",IF(Table1_1[[#This Row],[Occupation]]="Manual","Blue collar","White collar"))</f>
        <v>White collar</v>
      </c>
    </row>
    <row r="472" spans="1:22" x14ac:dyDescent="0.3">
      <c r="A472" t="s">
        <v>506</v>
      </c>
      <c r="B472" s="6" t="s">
        <v>1044</v>
      </c>
      <c r="C472" s="6" t="s">
        <v>1046</v>
      </c>
      <c r="D472" s="3">
        <v>30000</v>
      </c>
      <c r="E472">
        <v>0</v>
      </c>
      <c r="F472" s="6" t="s">
        <v>27</v>
      </c>
      <c r="G472" s="6" t="s">
        <v>25</v>
      </c>
      <c r="H472" s="6" t="s">
        <v>18</v>
      </c>
      <c r="I472">
        <v>1</v>
      </c>
      <c r="J472" t="s">
        <v>26</v>
      </c>
      <c r="K4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72" s="6" t="s">
        <v>17</v>
      </c>
      <c r="M472" s="7">
        <v>28</v>
      </c>
      <c r="N472" t="s">
        <v>18</v>
      </c>
      <c r="O472" s="9" t="str">
        <f>IF(Table1_1[[#This Row],[Purchased Bike]]="yes","1","0")</f>
        <v>0</v>
      </c>
      <c r="P472" s="4" t="str">
        <f>IF(Table1_1[[#This Row],[Income]]&lt;=30000,"Low ",IF(Table1_1[[#This Row],[Income]]&lt;=70000,"Middle","High"))</f>
        <v xml:space="preserve">Low </v>
      </c>
      <c r="Q472" s="6" t="str">
        <f>IF(Table1_1[[#This Row],[Age]]&lt;30,"Young",IF(Table1_1[[#This Row],[Age]]&lt;50,"Middle aged","Senior citizen"))</f>
        <v>Young</v>
      </c>
      <c r="R472" s="7">
        <f>IF(Table1_1[[#This Row],[Marriedarital SingletatuSingle]]="M",Table1_1[[#This Row],[Children]]+2,Table1_1[[#This Row],[Children]]+1)</f>
        <v>1</v>
      </c>
      <c r="S472" s="4" t="str">
        <f>IF(Table1_1[[#This Row],[Cars]]=0,"No","Yes")</f>
        <v>Yes</v>
      </c>
      <c r="T472" s="6" t="str">
        <f>IF(AND(Table1_1[[#This Row],[Income]]&gt;50000,Table1_1[[#This Row],[Home Owner]]="Yes"),"High stability","Low stability")</f>
        <v>Low stability</v>
      </c>
      <c r="U472" s="3">
        <f>Table1_1[[#This Row],[Income]]/Table1_1[[#This Row],[Family size]]</f>
        <v>30000</v>
      </c>
      <c r="V472" s="6" t="str">
        <f>IF(Table1_1[[#This Row],[Occupation]]="Skilled manual","Blue collar",IF(Table1_1[[#This Row],[Occupation]]="Manual","Blue collar","White collar"))</f>
        <v>Blue collar</v>
      </c>
    </row>
    <row r="473" spans="1:22" x14ac:dyDescent="0.3">
      <c r="A473" t="s">
        <v>507</v>
      </c>
      <c r="B473" s="6" t="s">
        <v>1044</v>
      </c>
      <c r="C473" s="6" t="s">
        <v>1046</v>
      </c>
      <c r="D473" s="3">
        <v>70000</v>
      </c>
      <c r="E473">
        <v>0</v>
      </c>
      <c r="F473" s="6" t="s">
        <v>13</v>
      </c>
      <c r="G473" s="6" t="s">
        <v>21</v>
      </c>
      <c r="H473" s="6" t="s">
        <v>18</v>
      </c>
      <c r="I473">
        <v>2</v>
      </c>
      <c r="J473" t="s">
        <v>23</v>
      </c>
      <c r="K4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73" s="6" t="s">
        <v>24</v>
      </c>
      <c r="M473" s="7">
        <v>43</v>
      </c>
      <c r="N473" t="s">
        <v>15</v>
      </c>
      <c r="O473" s="9" t="str">
        <f>IF(Table1_1[[#This Row],[Purchased Bike]]="yes","1","0")</f>
        <v>1</v>
      </c>
      <c r="P473" s="4" t="str">
        <f>IF(Table1_1[[#This Row],[Income]]&lt;=30000,"Low ",IF(Table1_1[[#This Row],[Income]]&lt;=70000,"Middle","High"))</f>
        <v>Middle</v>
      </c>
      <c r="Q473" s="6" t="str">
        <f>IF(Table1_1[[#This Row],[Age]]&lt;30,"Young",IF(Table1_1[[#This Row],[Age]]&lt;50,"Middle aged","Senior citizen"))</f>
        <v>Middle aged</v>
      </c>
      <c r="R473" s="7">
        <f>IF(Table1_1[[#This Row],[Marriedarital SingletatuSingle]]="M",Table1_1[[#This Row],[Children]]+2,Table1_1[[#This Row],[Children]]+1)</f>
        <v>1</v>
      </c>
      <c r="S473" s="4" t="str">
        <f>IF(Table1_1[[#This Row],[Cars]]=0,"No","Yes")</f>
        <v>Yes</v>
      </c>
      <c r="T473" s="6" t="str">
        <f>IF(AND(Table1_1[[#This Row],[Income]]&gt;50000,Table1_1[[#This Row],[Home Owner]]="Yes"),"High stability","Low stability")</f>
        <v>Low stability</v>
      </c>
      <c r="U473" s="3">
        <f>Table1_1[[#This Row],[Income]]/Table1_1[[#This Row],[Family size]]</f>
        <v>70000</v>
      </c>
      <c r="V473" s="6" t="str">
        <f>IF(Table1_1[[#This Row],[Occupation]]="Skilled manual","Blue collar",IF(Table1_1[[#This Row],[Occupation]]="Manual","Blue collar","White collar"))</f>
        <v>White collar</v>
      </c>
    </row>
    <row r="474" spans="1:22" x14ac:dyDescent="0.3">
      <c r="A474" t="s">
        <v>508</v>
      </c>
      <c r="B474" s="6" t="s">
        <v>1044</v>
      </c>
      <c r="C474" s="6" t="s">
        <v>1045</v>
      </c>
      <c r="D474" s="3">
        <v>40000</v>
      </c>
      <c r="E474">
        <v>0</v>
      </c>
      <c r="F474" s="6" t="s">
        <v>31</v>
      </c>
      <c r="G474" s="6" t="s">
        <v>20</v>
      </c>
      <c r="H474" s="6" t="s">
        <v>15</v>
      </c>
      <c r="I474">
        <v>0</v>
      </c>
      <c r="J474" t="s">
        <v>16</v>
      </c>
      <c r="K4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74" s="6" t="s">
        <v>17</v>
      </c>
      <c r="M474" s="7">
        <v>38</v>
      </c>
      <c r="N474" t="s">
        <v>15</v>
      </c>
      <c r="O474" s="9" t="str">
        <f>IF(Table1_1[[#This Row],[Purchased Bike]]="yes","1","0")</f>
        <v>1</v>
      </c>
      <c r="P474" s="4" t="str">
        <f>IF(Table1_1[[#This Row],[Income]]&lt;=30000,"Low ",IF(Table1_1[[#This Row],[Income]]&lt;=70000,"Middle","High"))</f>
        <v>Middle</v>
      </c>
      <c r="Q474" s="6" t="str">
        <f>IF(Table1_1[[#This Row],[Age]]&lt;30,"Young",IF(Table1_1[[#This Row],[Age]]&lt;50,"Middle aged","Senior citizen"))</f>
        <v>Middle aged</v>
      </c>
      <c r="R474" s="7">
        <f>IF(Table1_1[[#This Row],[Marriedarital SingletatuSingle]]="M",Table1_1[[#This Row],[Children]]+2,Table1_1[[#This Row],[Children]]+1)</f>
        <v>1</v>
      </c>
      <c r="S474" s="4" t="str">
        <f>IF(Table1_1[[#This Row],[Cars]]=0,"No","Yes")</f>
        <v>No</v>
      </c>
      <c r="T474" s="6" t="str">
        <f>IF(AND(Table1_1[[#This Row],[Income]]&gt;50000,Table1_1[[#This Row],[Home Owner]]="Yes"),"High stability","Low stability")</f>
        <v>Low stability</v>
      </c>
      <c r="U474" s="3">
        <f>Table1_1[[#This Row],[Income]]/Table1_1[[#This Row],[Family size]]</f>
        <v>40000</v>
      </c>
      <c r="V474" s="6" t="str">
        <f>IF(Table1_1[[#This Row],[Occupation]]="Skilled manual","Blue collar",IF(Table1_1[[#This Row],[Occupation]]="Manual","Blue collar","White collar"))</f>
        <v>White collar</v>
      </c>
    </row>
    <row r="475" spans="1:22" x14ac:dyDescent="0.3">
      <c r="A475" t="s">
        <v>509</v>
      </c>
      <c r="B475" s="6" t="s">
        <v>1042</v>
      </c>
      <c r="C475" s="6" t="s">
        <v>1045</v>
      </c>
      <c r="D475" s="3">
        <v>30000</v>
      </c>
      <c r="E475">
        <v>0</v>
      </c>
      <c r="F475" s="6" t="s">
        <v>13</v>
      </c>
      <c r="G475" s="6" t="s">
        <v>20</v>
      </c>
      <c r="H475" s="6" t="s">
        <v>15</v>
      </c>
      <c r="I475">
        <v>0</v>
      </c>
      <c r="J475" t="s">
        <v>16</v>
      </c>
      <c r="K4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75" s="6" t="s">
        <v>17</v>
      </c>
      <c r="M475" s="7">
        <v>47</v>
      </c>
      <c r="N475" t="s">
        <v>15</v>
      </c>
      <c r="O475" s="9" t="str">
        <f>IF(Table1_1[[#This Row],[Purchased Bike]]="yes","1","0")</f>
        <v>1</v>
      </c>
      <c r="P475" s="4" t="str">
        <f>IF(Table1_1[[#This Row],[Income]]&lt;=30000,"Low ",IF(Table1_1[[#This Row],[Income]]&lt;=70000,"Middle","High"))</f>
        <v xml:space="preserve">Low </v>
      </c>
      <c r="Q475" s="6" t="str">
        <f>IF(Table1_1[[#This Row],[Age]]&lt;30,"Young",IF(Table1_1[[#This Row],[Age]]&lt;50,"Middle aged","Senior citizen"))</f>
        <v>Middle aged</v>
      </c>
      <c r="R475" s="7">
        <f>IF(Table1_1[[#This Row],[Marriedarital SingletatuSingle]]="M",Table1_1[[#This Row],[Children]]+2,Table1_1[[#This Row],[Children]]+1)</f>
        <v>1</v>
      </c>
      <c r="S475" s="4" t="str">
        <f>IF(Table1_1[[#This Row],[Cars]]=0,"No","Yes")</f>
        <v>No</v>
      </c>
      <c r="T475" s="6" t="str">
        <f>IF(AND(Table1_1[[#This Row],[Income]]&gt;50000,Table1_1[[#This Row],[Home Owner]]="Yes"),"High stability","Low stability")</f>
        <v>Low stability</v>
      </c>
      <c r="U475" s="3">
        <f>Table1_1[[#This Row],[Income]]/Table1_1[[#This Row],[Family size]]</f>
        <v>30000</v>
      </c>
      <c r="V475" s="6" t="str">
        <f>IF(Table1_1[[#This Row],[Occupation]]="Skilled manual","Blue collar",IF(Table1_1[[#This Row],[Occupation]]="Manual","Blue collar","White collar"))</f>
        <v>White collar</v>
      </c>
    </row>
    <row r="476" spans="1:22" x14ac:dyDescent="0.3">
      <c r="A476" t="s">
        <v>510</v>
      </c>
      <c r="B476" s="6" t="s">
        <v>1042</v>
      </c>
      <c r="C476" s="6" t="s">
        <v>1045</v>
      </c>
      <c r="D476" s="3">
        <v>90000</v>
      </c>
      <c r="E476">
        <v>2</v>
      </c>
      <c r="F476" s="6" t="s">
        <v>13</v>
      </c>
      <c r="G476" s="6" t="s">
        <v>21</v>
      </c>
      <c r="H476" s="6" t="s">
        <v>18</v>
      </c>
      <c r="I476">
        <v>0</v>
      </c>
      <c r="J476" t="s">
        <v>16</v>
      </c>
      <c r="K4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76" s="6" t="s">
        <v>24</v>
      </c>
      <c r="M476" s="7">
        <v>36</v>
      </c>
      <c r="N476" t="s">
        <v>15</v>
      </c>
      <c r="O476" s="9" t="str">
        <f>IF(Table1_1[[#This Row],[Purchased Bike]]="yes","1","0")</f>
        <v>1</v>
      </c>
      <c r="P476" s="4" t="str">
        <f>IF(Table1_1[[#This Row],[Income]]&lt;=30000,"Low ",IF(Table1_1[[#This Row],[Income]]&lt;=70000,"Middle","High"))</f>
        <v>High</v>
      </c>
      <c r="Q476" s="6" t="str">
        <f>IF(Table1_1[[#This Row],[Age]]&lt;30,"Young",IF(Table1_1[[#This Row],[Age]]&lt;50,"Middle aged","Senior citizen"))</f>
        <v>Middle aged</v>
      </c>
      <c r="R476" s="7">
        <f>IF(Table1_1[[#This Row],[Marriedarital SingletatuSingle]]="M",Table1_1[[#This Row],[Children]]+2,Table1_1[[#This Row],[Children]]+1)</f>
        <v>3</v>
      </c>
      <c r="S476" s="4" t="str">
        <f>IF(Table1_1[[#This Row],[Cars]]=0,"No","Yes")</f>
        <v>No</v>
      </c>
      <c r="T476" s="6" t="str">
        <f>IF(AND(Table1_1[[#This Row],[Income]]&gt;50000,Table1_1[[#This Row],[Home Owner]]="Yes"),"High stability","Low stability")</f>
        <v>Low stability</v>
      </c>
      <c r="U476" s="3">
        <f>Table1_1[[#This Row],[Income]]/Table1_1[[#This Row],[Family size]]</f>
        <v>30000</v>
      </c>
      <c r="V476" s="6" t="str">
        <f>IF(Table1_1[[#This Row],[Occupation]]="Skilled manual","Blue collar",IF(Table1_1[[#This Row],[Occupation]]="Manual","Blue collar","White collar"))</f>
        <v>White collar</v>
      </c>
    </row>
    <row r="477" spans="1:22" x14ac:dyDescent="0.3">
      <c r="A477" t="s">
        <v>511</v>
      </c>
      <c r="B477" s="6" t="s">
        <v>1042</v>
      </c>
      <c r="C477" s="6" t="s">
        <v>1046</v>
      </c>
      <c r="D477" s="3">
        <v>20000</v>
      </c>
      <c r="E477">
        <v>4</v>
      </c>
      <c r="F477" s="6" t="s">
        <v>27</v>
      </c>
      <c r="G477" s="6" t="s">
        <v>14</v>
      </c>
      <c r="H477" s="6" t="s">
        <v>18</v>
      </c>
      <c r="I477">
        <v>2</v>
      </c>
      <c r="J477" t="s">
        <v>26</v>
      </c>
      <c r="K4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77" s="6" t="s">
        <v>24</v>
      </c>
      <c r="M477" s="7">
        <v>60</v>
      </c>
      <c r="N477" t="s">
        <v>18</v>
      </c>
      <c r="O477" s="9" t="str">
        <f>IF(Table1_1[[#This Row],[Purchased Bike]]="yes","1","0")</f>
        <v>0</v>
      </c>
      <c r="P477" s="4" t="str">
        <f>IF(Table1_1[[#This Row],[Income]]&lt;=30000,"Low ",IF(Table1_1[[#This Row],[Income]]&lt;=70000,"Middle","High"))</f>
        <v xml:space="preserve">Low </v>
      </c>
      <c r="Q477" s="6" t="str">
        <f>IF(Table1_1[[#This Row],[Age]]&lt;30,"Young",IF(Table1_1[[#This Row],[Age]]&lt;50,"Middle aged","Senior citizen"))</f>
        <v>Senior citizen</v>
      </c>
      <c r="R477" s="7">
        <f>IF(Table1_1[[#This Row],[Marriedarital SingletatuSingle]]="M",Table1_1[[#This Row],[Children]]+2,Table1_1[[#This Row],[Children]]+1)</f>
        <v>5</v>
      </c>
      <c r="S477" s="4" t="str">
        <f>IF(Table1_1[[#This Row],[Cars]]=0,"No","Yes")</f>
        <v>Yes</v>
      </c>
      <c r="T477" s="6" t="str">
        <f>IF(AND(Table1_1[[#This Row],[Income]]&gt;50000,Table1_1[[#This Row],[Home Owner]]="Yes"),"High stability","Low stability")</f>
        <v>Low stability</v>
      </c>
      <c r="U477" s="3">
        <f>Table1_1[[#This Row],[Income]]/Table1_1[[#This Row],[Family size]]</f>
        <v>4000</v>
      </c>
      <c r="V477" s="6" t="str">
        <f>IF(Table1_1[[#This Row],[Occupation]]="Skilled manual","Blue collar",IF(Table1_1[[#This Row],[Occupation]]="Manual","Blue collar","White collar"))</f>
        <v>Blue collar</v>
      </c>
    </row>
    <row r="478" spans="1:22" x14ac:dyDescent="0.3">
      <c r="A478" t="s">
        <v>512</v>
      </c>
      <c r="B478" s="6" t="s">
        <v>1044</v>
      </c>
      <c r="C478" s="6" t="s">
        <v>1045</v>
      </c>
      <c r="D478" s="3">
        <v>70000</v>
      </c>
      <c r="E478">
        <v>0</v>
      </c>
      <c r="F478" s="6" t="s">
        <v>13</v>
      </c>
      <c r="G478" s="6" t="s">
        <v>21</v>
      </c>
      <c r="H478" s="6" t="s">
        <v>15</v>
      </c>
      <c r="I478">
        <v>1</v>
      </c>
      <c r="J478" t="s">
        <v>23</v>
      </c>
      <c r="K4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78" s="6" t="s">
        <v>24</v>
      </c>
      <c r="M478" s="7">
        <v>42</v>
      </c>
      <c r="N478" t="s">
        <v>15</v>
      </c>
      <c r="O478" s="9" t="str">
        <f>IF(Table1_1[[#This Row],[Purchased Bike]]="yes","1","0")</f>
        <v>1</v>
      </c>
      <c r="P478" s="4" t="str">
        <f>IF(Table1_1[[#This Row],[Income]]&lt;=30000,"Low ",IF(Table1_1[[#This Row],[Income]]&lt;=70000,"Middle","High"))</f>
        <v>Middle</v>
      </c>
      <c r="Q478" s="6" t="str">
        <f>IF(Table1_1[[#This Row],[Age]]&lt;30,"Young",IF(Table1_1[[#This Row],[Age]]&lt;50,"Middle aged","Senior citizen"))</f>
        <v>Middle aged</v>
      </c>
      <c r="R478" s="7">
        <f>IF(Table1_1[[#This Row],[Marriedarital SingletatuSingle]]="M",Table1_1[[#This Row],[Children]]+2,Table1_1[[#This Row],[Children]]+1)</f>
        <v>1</v>
      </c>
      <c r="S478" s="4" t="str">
        <f>IF(Table1_1[[#This Row],[Cars]]=0,"No","Yes")</f>
        <v>Yes</v>
      </c>
      <c r="T478" s="6" t="str">
        <f>IF(AND(Table1_1[[#This Row],[Income]]&gt;50000,Table1_1[[#This Row],[Home Owner]]="Yes"),"High stability","Low stability")</f>
        <v>High stability</v>
      </c>
      <c r="U478" s="3">
        <f>Table1_1[[#This Row],[Income]]/Table1_1[[#This Row],[Family size]]</f>
        <v>70000</v>
      </c>
      <c r="V478" s="6" t="str">
        <f>IF(Table1_1[[#This Row],[Occupation]]="Skilled manual","Blue collar",IF(Table1_1[[#This Row],[Occupation]]="Manual","Blue collar","White collar"))</f>
        <v>White collar</v>
      </c>
    </row>
    <row r="479" spans="1:22" x14ac:dyDescent="0.3">
      <c r="A479" t="s">
        <v>513</v>
      </c>
      <c r="B479" s="6" t="s">
        <v>1042</v>
      </c>
      <c r="C479" s="6" t="s">
        <v>1046</v>
      </c>
      <c r="D479" s="3">
        <v>70000</v>
      </c>
      <c r="E479">
        <v>2</v>
      </c>
      <c r="F479" s="6" t="s">
        <v>27</v>
      </c>
      <c r="G479" s="6" t="s">
        <v>14</v>
      </c>
      <c r="H479" s="6" t="s">
        <v>18</v>
      </c>
      <c r="I479">
        <v>2</v>
      </c>
      <c r="J479" t="s">
        <v>26</v>
      </c>
      <c r="K4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79" s="6" t="s">
        <v>24</v>
      </c>
      <c r="M479" s="7">
        <v>50</v>
      </c>
      <c r="N479" t="s">
        <v>15</v>
      </c>
      <c r="O479" s="9" t="str">
        <f>IF(Table1_1[[#This Row],[Purchased Bike]]="yes","1","0")</f>
        <v>1</v>
      </c>
      <c r="P479" s="4" t="str">
        <f>IF(Table1_1[[#This Row],[Income]]&lt;=30000,"Low ",IF(Table1_1[[#This Row],[Income]]&lt;=70000,"Middle","High"))</f>
        <v>Middle</v>
      </c>
      <c r="Q479" s="6" t="str">
        <f>IF(Table1_1[[#This Row],[Age]]&lt;30,"Young",IF(Table1_1[[#This Row],[Age]]&lt;50,"Middle aged","Senior citizen"))</f>
        <v>Senior citizen</v>
      </c>
      <c r="R479" s="7">
        <f>IF(Table1_1[[#This Row],[Marriedarital SingletatuSingle]]="M",Table1_1[[#This Row],[Children]]+2,Table1_1[[#This Row],[Children]]+1)</f>
        <v>3</v>
      </c>
      <c r="S479" s="4" t="str">
        <f>IF(Table1_1[[#This Row],[Cars]]=0,"No","Yes")</f>
        <v>Yes</v>
      </c>
      <c r="T479" s="6" t="str">
        <f>IF(AND(Table1_1[[#This Row],[Income]]&gt;50000,Table1_1[[#This Row],[Home Owner]]="Yes"),"High stability","Low stability")</f>
        <v>Low stability</v>
      </c>
      <c r="U479" s="3">
        <f>Table1_1[[#This Row],[Income]]/Table1_1[[#This Row],[Family size]]</f>
        <v>23333.333333333332</v>
      </c>
      <c r="V479" s="6" t="str">
        <f>IF(Table1_1[[#This Row],[Occupation]]="Skilled manual","Blue collar",IF(Table1_1[[#This Row],[Occupation]]="Manual","Blue collar","White collar"))</f>
        <v>Blue collar</v>
      </c>
    </row>
    <row r="480" spans="1:22" x14ac:dyDescent="0.3">
      <c r="A480" t="s">
        <v>514</v>
      </c>
      <c r="B480" s="6" t="s">
        <v>1042</v>
      </c>
      <c r="C480" s="6" t="s">
        <v>1046</v>
      </c>
      <c r="D480" s="3">
        <v>30000</v>
      </c>
      <c r="E480">
        <v>0</v>
      </c>
      <c r="F480" s="6" t="s">
        <v>13</v>
      </c>
      <c r="G480" s="6" t="s">
        <v>20</v>
      </c>
      <c r="H480" s="6" t="s">
        <v>15</v>
      </c>
      <c r="I480">
        <v>0</v>
      </c>
      <c r="J480" t="s">
        <v>16</v>
      </c>
      <c r="K4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80" s="6" t="s">
        <v>17</v>
      </c>
      <c r="M480" s="7">
        <v>35</v>
      </c>
      <c r="N480" t="s">
        <v>15</v>
      </c>
      <c r="O480" s="9" t="str">
        <f>IF(Table1_1[[#This Row],[Purchased Bike]]="yes","1","0")</f>
        <v>1</v>
      </c>
      <c r="P480" s="4" t="str">
        <f>IF(Table1_1[[#This Row],[Income]]&lt;=30000,"Low ",IF(Table1_1[[#This Row],[Income]]&lt;=70000,"Middle","High"))</f>
        <v xml:space="preserve">Low </v>
      </c>
      <c r="Q480" s="6" t="str">
        <f>IF(Table1_1[[#This Row],[Age]]&lt;30,"Young",IF(Table1_1[[#This Row],[Age]]&lt;50,"Middle aged","Senior citizen"))</f>
        <v>Middle aged</v>
      </c>
      <c r="R480" s="7">
        <f>IF(Table1_1[[#This Row],[Marriedarital SingletatuSingle]]="M",Table1_1[[#This Row],[Children]]+2,Table1_1[[#This Row],[Children]]+1)</f>
        <v>1</v>
      </c>
      <c r="S480" s="4" t="str">
        <f>IF(Table1_1[[#This Row],[Cars]]=0,"No","Yes")</f>
        <v>No</v>
      </c>
      <c r="T480" s="6" t="str">
        <f>IF(AND(Table1_1[[#This Row],[Income]]&gt;50000,Table1_1[[#This Row],[Home Owner]]="Yes"),"High stability","Low stability")</f>
        <v>Low stability</v>
      </c>
      <c r="U480" s="3">
        <f>Table1_1[[#This Row],[Income]]/Table1_1[[#This Row],[Family size]]</f>
        <v>30000</v>
      </c>
      <c r="V480" s="6" t="str">
        <f>IF(Table1_1[[#This Row],[Occupation]]="Skilled manual","Blue collar",IF(Table1_1[[#This Row],[Occupation]]="Manual","Blue collar","White collar"))</f>
        <v>White collar</v>
      </c>
    </row>
    <row r="481" spans="1:22" x14ac:dyDescent="0.3">
      <c r="A481" t="s">
        <v>515</v>
      </c>
      <c r="B481" s="6" t="s">
        <v>1042</v>
      </c>
      <c r="C481" s="6" t="s">
        <v>1046</v>
      </c>
      <c r="D481" s="3">
        <v>40000</v>
      </c>
      <c r="E481">
        <v>1</v>
      </c>
      <c r="F481" s="6" t="s">
        <v>13</v>
      </c>
      <c r="G481" s="6" t="s">
        <v>14</v>
      </c>
      <c r="H481" s="6" t="s">
        <v>15</v>
      </c>
      <c r="I481">
        <v>1</v>
      </c>
      <c r="J481" t="s">
        <v>16</v>
      </c>
      <c r="K4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81" s="6" t="s">
        <v>17</v>
      </c>
      <c r="M481" s="7">
        <v>32</v>
      </c>
      <c r="N481" t="s">
        <v>15</v>
      </c>
      <c r="O481" s="9" t="str">
        <f>IF(Table1_1[[#This Row],[Purchased Bike]]="yes","1","0")</f>
        <v>1</v>
      </c>
      <c r="P481" s="4" t="str">
        <f>IF(Table1_1[[#This Row],[Income]]&lt;=30000,"Low ",IF(Table1_1[[#This Row],[Income]]&lt;=70000,"Middle","High"))</f>
        <v>Middle</v>
      </c>
      <c r="Q481" s="6" t="str">
        <f>IF(Table1_1[[#This Row],[Age]]&lt;30,"Young",IF(Table1_1[[#This Row],[Age]]&lt;50,"Middle aged","Senior citizen"))</f>
        <v>Middle aged</v>
      </c>
      <c r="R481" s="7">
        <f>IF(Table1_1[[#This Row],[Marriedarital SingletatuSingle]]="M",Table1_1[[#This Row],[Children]]+2,Table1_1[[#This Row],[Children]]+1)</f>
        <v>2</v>
      </c>
      <c r="S481" s="4" t="str">
        <f>IF(Table1_1[[#This Row],[Cars]]=0,"No","Yes")</f>
        <v>Yes</v>
      </c>
      <c r="T481" s="6" t="str">
        <f>IF(AND(Table1_1[[#This Row],[Income]]&gt;50000,Table1_1[[#This Row],[Home Owner]]="Yes"),"High stability","Low stability")</f>
        <v>Low stability</v>
      </c>
      <c r="U481" s="3">
        <f>Table1_1[[#This Row],[Income]]/Table1_1[[#This Row],[Family size]]</f>
        <v>20000</v>
      </c>
      <c r="V481" s="6" t="str">
        <f>IF(Table1_1[[#This Row],[Occupation]]="Skilled manual","Blue collar",IF(Table1_1[[#This Row],[Occupation]]="Manual","Blue collar","White collar"))</f>
        <v>Blue collar</v>
      </c>
    </row>
    <row r="482" spans="1:22" x14ac:dyDescent="0.3">
      <c r="A482" t="s">
        <v>516</v>
      </c>
      <c r="B482" s="6" t="s">
        <v>1042</v>
      </c>
      <c r="C482" s="6" t="s">
        <v>1045</v>
      </c>
      <c r="D482" s="3">
        <v>90000</v>
      </c>
      <c r="E482">
        <v>1</v>
      </c>
      <c r="F482" s="6" t="s">
        <v>13</v>
      </c>
      <c r="G482" s="6" t="s">
        <v>21</v>
      </c>
      <c r="H482" s="6" t="s">
        <v>15</v>
      </c>
      <c r="I482">
        <v>1</v>
      </c>
      <c r="J482" t="s">
        <v>23</v>
      </c>
      <c r="K4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82" s="6" t="s">
        <v>24</v>
      </c>
      <c r="M482" s="7">
        <v>46</v>
      </c>
      <c r="N482" t="s">
        <v>18</v>
      </c>
      <c r="O482" s="9" t="str">
        <f>IF(Table1_1[[#This Row],[Purchased Bike]]="yes","1","0")</f>
        <v>0</v>
      </c>
      <c r="P482" s="4" t="str">
        <f>IF(Table1_1[[#This Row],[Income]]&lt;=30000,"Low ",IF(Table1_1[[#This Row],[Income]]&lt;=70000,"Middle","High"))</f>
        <v>High</v>
      </c>
      <c r="Q482" s="6" t="str">
        <f>IF(Table1_1[[#This Row],[Age]]&lt;30,"Young",IF(Table1_1[[#This Row],[Age]]&lt;50,"Middle aged","Senior citizen"))</f>
        <v>Middle aged</v>
      </c>
      <c r="R482" s="7">
        <f>IF(Table1_1[[#This Row],[Marriedarital SingletatuSingle]]="M",Table1_1[[#This Row],[Children]]+2,Table1_1[[#This Row],[Children]]+1)</f>
        <v>2</v>
      </c>
      <c r="S482" s="4" t="str">
        <f>IF(Table1_1[[#This Row],[Cars]]=0,"No","Yes")</f>
        <v>Yes</v>
      </c>
      <c r="T482" s="6" t="str">
        <f>IF(AND(Table1_1[[#This Row],[Income]]&gt;50000,Table1_1[[#This Row],[Home Owner]]="Yes"),"High stability","Low stability")</f>
        <v>High stability</v>
      </c>
      <c r="U482" s="3">
        <f>Table1_1[[#This Row],[Income]]/Table1_1[[#This Row],[Family size]]</f>
        <v>45000</v>
      </c>
      <c r="V482" s="6" t="str">
        <f>IF(Table1_1[[#This Row],[Occupation]]="Skilled manual","Blue collar",IF(Table1_1[[#This Row],[Occupation]]="Manual","Blue collar","White collar"))</f>
        <v>White collar</v>
      </c>
    </row>
    <row r="483" spans="1:22" x14ac:dyDescent="0.3">
      <c r="A483" t="s">
        <v>517</v>
      </c>
      <c r="B483" s="6" t="s">
        <v>1044</v>
      </c>
      <c r="C483" s="6" t="s">
        <v>1045</v>
      </c>
      <c r="D483" s="3">
        <v>40000</v>
      </c>
      <c r="E483">
        <v>2</v>
      </c>
      <c r="F483" s="6" t="s">
        <v>19</v>
      </c>
      <c r="G483" s="6" t="s">
        <v>20</v>
      </c>
      <c r="H483" s="6" t="s">
        <v>15</v>
      </c>
      <c r="I483">
        <v>0</v>
      </c>
      <c r="J483" t="s">
        <v>26</v>
      </c>
      <c r="K4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83" s="6" t="s">
        <v>17</v>
      </c>
      <c r="M483" s="7">
        <v>33</v>
      </c>
      <c r="N483" t="s">
        <v>15</v>
      </c>
      <c r="O483" s="9" t="str">
        <f>IF(Table1_1[[#This Row],[Purchased Bike]]="yes","1","0")</f>
        <v>1</v>
      </c>
      <c r="P483" s="4" t="str">
        <f>IF(Table1_1[[#This Row],[Income]]&lt;=30000,"Low ",IF(Table1_1[[#This Row],[Income]]&lt;=70000,"Middle","High"))</f>
        <v>Middle</v>
      </c>
      <c r="Q483" s="6" t="str">
        <f>IF(Table1_1[[#This Row],[Age]]&lt;30,"Young",IF(Table1_1[[#This Row],[Age]]&lt;50,"Middle aged","Senior citizen"))</f>
        <v>Middle aged</v>
      </c>
      <c r="R483" s="7">
        <f>IF(Table1_1[[#This Row],[Marriedarital SingletatuSingle]]="M",Table1_1[[#This Row],[Children]]+2,Table1_1[[#This Row],[Children]]+1)</f>
        <v>3</v>
      </c>
      <c r="S483" s="4" t="str">
        <f>IF(Table1_1[[#This Row],[Cars]]=0,"No","Yes")</f>
        <v>No</v>
      </c>
      <c r="T483" s="6" t="str">
        <f>IF(AND(Table1_1[[#This Row],[Income]]&gt;50000,Table1_1[[#This Row],[Home Owner]]="Yes"),"High stability","Low stability")</f>
        <v>Low stability</v>
      </c>
      <c r="U483" s="3">
        <f>Table1_1[[#This Row],[Income]]/Table1_1[[#This Row],[Family size]]</f>
        <v>13333.333333333334</v>
      </c>
      <c r="V483" s="6" t="str">
        <f>IF(Table1_1[[#This Row],[Occupation]]="Skilled manual","Blue collar",IF(Table1_1[[#This Row],[Occupation]]="Manual","Blue collar","White collar"))</f>
        <v>White collar</v>
      </c>
    </row>
    <row r="484" spans="1:22" x14ac:dyDescent="0.3">
      <c r="A484" t="s">
        <v>518</v>
      </c>
      <c r="B484" s="6" t="s">
        <v>1044</v>
      </c>
      <c r="C484" s="6" t="s">
        <v>1046</v>
      </c>
      <c r="D484" s="3">
        <v>40000</v>
      </c>
      <c r="E484">
        <v>0</v>
      </c>
      <c r="F484" s="6" t="s">
        <v>31</v>
      </c>
      <c r="G484" s="6" t="s">
        <v>20</v>
      </c>
      <c r="H484" s="6" t="s">
        <v>18</v>
      </c>
      <c r="I484">
        <v>0</v>
      </c>
      <c r="J484" t="s">
        <v>16</v>
      </c>
      <c r="K4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84" s="6" t="s">
        <v>17</v>
      </c>
      <c r="M484" s="7">
        <v>36</v>
      </c>
      <c r="N484" t="s">
        <v>15</v>
      </c>
      <c r="O484" s="9" t="str">
        <f>IF(Table1_1[[#This Row],[Purchased Bike]]="yes","1","0")</f>
        <v>1</v>
      </c>
      <c r="P484" s="4" t="str">
        <f>IF(Table1_1[[#This Row],[Income]]&lt;=30000,"Low ",IF(Table1_1[[#This Row],[Income]]&lt;=70000,"Middle","High"))</f>
        <v>Middle</v>
      </c>
      <c r="Q484" s="6" t="str">
        <f>IF(Table1_1[[#This Row],[Age]]&lt;30,"Young",IF(Table1_1[[#This Row],[Age]]&lt;50,"Middle aged","Senior citizen"))</f>
        <v>Middle aged</v>
      </c>
      <c r="R484" s="7">
        <f>IF(Table1_1[[#This Row],[Marriedarital SingletatuSingle]]="M",Table1_1[[#This Row],[Children]]+2,Table1_1[[#This Row],[Children]]+1)</f>
        <v>1</v>
      </c>
      <c r="S484" s="4" t="str">
        <f>IF(Table1_1[[#This Row],[Cars]]=0,"No","Yes")</f>
        <v>No</v>
      </c>
      <c r="T484" s="6" t="str">
        <f>IF(AND(Table1_1[[#This Row],[Income]]&gt;50000,Table1_1[[#This Row],[Home Owner]]="Yes"),"High stability","Low stability")</f>
        <v>Low stability</v>
      </c>
      <c r="U484" s="3">
        <f>Table1_1[[#This Row],[Income]]/Table1_1[[#This Row],[Family size]]</f>
        <v>40000</v>
      </c>
      <c r="V484" s="6" t="str">
        <f>IF(Table1_1[[#This Row],[Occupation]]="Skilled manual","Blue collar",IF(Table1_1[[#This Row],[Occupation]]="Manual","Blue collar","White collar"))</f>
        <v>White collar</v>
      </c>
    </row>
    <row r="485" spans="1:22" x14ac:dyDescent="0.3">
      <c r="A485" t="s">
        <v>519</v>
      </c>
      <c r="B485" s="6" t="s">
        <v>1042</v>
      </c>
      <c r="C485" s="6" t="s">
        <v>1046</v>
      </c>
      <c r="D485" s="3">
        <v>10000</v>
      </c>
      <c r="E485">
        <v>1</v>
      </c>
      <c r="F485" s="6" t="s">
        <v>31</v>
      </c>
      <c r="G485" s="6" t="s">
        <v>20</v>
      </c>
      <c r="H485" s="6" t="s">
        <v>15</v>
      </c>
      <c r="I485">
        <v>0</v>
      </c>
      <c r="J485" t="s">
        <v>16</v>
      </c>
      <c r="K4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85" s="6" t="s">
        <v>17</v>
      </c>
      <c r="M485" s="7">
        <v>70</v>
      </c>
      <c r="N485" t="s">
        <v>18</v>
      </c>
      <c r="O485" s="9" t="str">
        <f>IF(Table1_1[[#This Row],[Purchased Bike]]="yes","1","0")</f>
        <v>0</v>
      </c>
      <c r="P485" s="4" t="str">
        <f>IF(Table1_1[[#This Row],[Income]]&lt;=30000,"Low ",IF(Table1_1[[#This Row],[Income]]&lt;=70000,"Middle","High"))</f>
        <v xml:space="preserve">Low </v>
      </c>
      <c r="Q485" s="6" t="str">
        <f>IF(Table1_1[[#This Row],[Age]]&lt;30,"Young",IF(Table1_1[[#This Row],[Age]]&lt;50,"Middle aged","Senior citizen"))</f>
        <v>Senior citizen</v>
      </c>
      <c r="R485" s="7">
        <f>IF(Table1_1[[#This Row],[Marriedarital SingletatuSingle]]="M",Table1_1[[#This Row],[Children]]+2,Table1_1[[#This Row],[Children]]+1)</f>
        <v>2</v>
      </c>
      <c r="S485" s="4" t="str">
        <f>IF(Table1_1[[#This Row],[Cars]]=0,"No","Yes")</f>
        <v>No</v>
      </c>
      <c r="T485" s="6" t="str">
        <f>IF(AND(Table1_1[[#This Row],[Income]]&gt;50000,Table1_1[[#This Row],[Home Owner]]="Yes"),"High stability","Low stability")</f>
        <v>Low stability</v>
      </c>
      <c r="U485" s="3">
        <f>Table1_1[[#This Row],[Income]]/Table1_1[[#This Row],[Family size]]</f>
        <v>5000</v>
      </c>
      <c r="V485" s="6" t="str">
        <f>IF(Table1_1[[#This Row],[Occupation]]="Skilled manual","Blue collar",IF(Table1_1[[#This Row],[Occupation]]="Manual","Blue collar","White collar"))</f>
        <v>White collar</v>
      </c>
    </row>
    <row r="486" spans="1:22" x14ac:dyDescent="0.3">
      <c r="A486" t="s">
        <v>520</v>
      </c>
      <c r="B486" s="6" t="s">
        <v>1044</v>
      </c>
      <c r="C486" s="6" t="s">
        <v>1045</v>
      </c>
      <c r="D486" s="3">
        <v>30000</v>
      </c>
      <c r="E486">
        <v>0</v>
      </c>
      <c r="F486" s="6" t="s">
        <v>19</v>
      </c>
      <c r="G486" s="6" t="s">
        <v>20</v>
      </c>
      <c r="H486" s="6" t="s">
        <v>18</v>
      </c>
      <c r="I486">
        <v>1</v>
      </c>
      <c r="J486" t="s">
        <v>22</v>
      </c>
      <c r="K4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86" s="6" t="s">
        <v>17</v>
      </c>
      <c r="M486" s="7">
        <v>31</v>
      </c>
      <c r="N486" t="s">
        <v>15</v>
      </c>
      <c r="O486" s="9" t="str">
        <f>IF(Table1_1[[#This Row],[Purchased Bike]]="yes","1","0")</f>
        <v>1</v>
      </c>
      <c r="P486" s="4" t="str">
        <f>IF(Table1_1[[#This Row],[Income]]&lt;=30000,"Low ",IF(Table1_1[[#This Row],[Income]]&lt;=70000,"Middle","High"))</f>
        <v xml:space="preserve">Low </v>
      </c>
      <c r="Q486" s="6" t="str">
        <f>IF(Table1_1[[#This Row],[Age]]&lt;30,"Young",IF(Table1_1[[#This Row],[Age]]&lt;50,"Middle aged","Senior citizen"))</f>
        <v>Middle aged</v>
      </c>
      <c r="R486" s="7">
        <f>IF(Table1_1[[#This Row],[Marriedarital SingletatuSingle]]="M",Table1_1[[#This Row],[Children]]+2,Table1_1[[#This Row],[Children]]+1)</f>
        <v>1</v>
      </c>
      <c r="S486" s="4" t="str">
        <f>IF(Table1_1[[#This Row],[Cars]]=0,"No","Yes")</f>
        <v>Yes</v>
      </c>
      <c r="T486" s="6" t="str">
        <f>IF(AND(Table1_1[[#This Row],[Income]]&gt;50000,Table1_1[[#This Row],[Home Owner]]="Yes"),"High stability","Low stability")</f>
        <v>Low stability</v>
      </c>
      <c r="U486" s="3">
        <f>Table1_1[[#This Row],[Income]]/Table1_1[[#This Row],[Family size]]</f>
        <v>30000</v>
      </c>
      <c r="V486" s="6" t="str">
        <f>IF(Table1_1[[#This Row],[Occupation]]="Skilled manual","Blue collar",IF(Table1_1[[#This Row],[Occupation]]="Manual","Blue collar","White collar"))</f>
        <v>White collar</v>
      </c>
    </row>
    <row r="487" spans="1:22" x14ac:dyDescent="0.3">
      <c r="A487" t="s">
        <v>521</v>
      </c>
      <c r="B487" s="6" t="s">
        <v>1044</v>
      </c>
      <c r="C487" s="6" t="s">
        <v>1046</v>
      </c>
      <c r="D487" s="3">
        <v>30000</v>
      </c>
      <c r="E487">
        <v>2</v>
      </c>
      <c r="F487" s="6" t="s">
        <v>19</v>
      </c>
      <c r="G487" s="6" t="s">
        <v>20</v>
      </c>
      <c r="H487" s="6" t="s">
        <v>15</v>
      </c>
      <c r="I487">
        <v>2</v>
      </c>
      <c r="J487" t="s">
        <v>16</v>
      </c>
      <c r="K4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87" s="6" t="s">
        <v>17</v>
      </c>
      <c r="M487" s="7">
        <v>42</v>
      </c>
      <c r="N487" t="s">
        <v>18</v>
      </c>
      <c r="O487" s="9" t="str">
        <f>IF(Table1_1[[#This Row],[Purchased Bike]]="yes","1","0")</f>
        <v>0</v>
      </c>
      <c r="P487" s="4" t="str">
        <f>IF(Table1_1[[#This Row],[Income]]&lt;=30000,"Low ",IF(Table1_1[[#This Row],[Income]]&lt;=70000,"Middle","High"))</f>
        <v xml:space="preserve">Low </v>
      </c>
      <c r="Q487" s="6" t="str">
        <f>IF(Table1_1[[#This Row],[Age]]&lt;30,"Young",IF(Table1_1[[#This Row],[Age]]&lt;50,"Middle aged","Senior citizen"))</f>
        <v>Middle aged</v>
      </c>
      <c r="R487" s="7">
        <f>IF(Table1_1[[#This Row],[Marriedarital SingletatuSingle]]="M",Table1_1[[#This Row],[Children]]+2,Table1_1[[#This Row],[Children]]+1)</f>
        <v>3</v>
      </c>
      <c r="S487" s="4" t="str">
        <f>IF(Table1_1[[#This Row],[Cars]]=0,"No","Yes")</f>
        <v>Yes</v>
      </c>
      <c r="T487" s="6" t="str">
        <f>IF(AND(Table1_1[[#This Row],[Income]]&gt;50000,Table1_1[[#This Row],[Home Owner]]="Yes"),"High stability","Low stability")</f>
        <v>Low stability</v>
      </c>
      <c r="U487" s="3">
        <f>Table1_1[[#This Row],[Income]]/Table1_1[[#This Row],[Family size]]</f>
        <v>10000</v>
      </c>
      <c r="V487" s="6" t="str">
        <f>IF(Table1_1[[#This Row],[Occupation]]="Skilled manual","Blue collar",IF(Table1_1[[#This Row],[Occupation]]="Manual","Blue collar","White collar"))</f>
        <v>White collar</v>
      </c>
    </row>
    <row r="488" spans="1:22" x14ac:dyDescent="0.3">
      <c r="A488" t="s">
        <v>522</v>
      </c>
      <c r="B488" s="6" t="s">
        <v>1042</v>
      </c>
      <c r="C488" s="6" t="s">
        <v>1045</v>
      </c>
      <c r="D488" s="3">
        <v>90000</v>
      </c>
      <c r="E488">
        <v>4</v>
      </c>
      <c r="F488" s="6" t="s">
        <v>29</v>
      </c>
      <c r="G488" s="6" t="s">
        <v>14</v>
      </c>
      <c r="H488" s="6" t="s">
        <v>15</v>
      </c>
      <c r="I488">
        <v>4</v>
      </c>
      <c r="J488" t="s">
        <v>30</v>
      </c>
      <c r="K4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88" s="6" t="s">
        <v>17</v>
      </c>
      <c r="M488" s="7">
        <v>58</v>
      </c>
      <c r="N488" t="s">
        <v>18</v>
      </c>
      <c r="O488" s="9" t="str">
        <f>IF(Table1_1[[#This Row],[Purchased Bike]]="yes","1","0")</f>
        <v>0</v>
      </c>
      <c r="P488" s="4" t="str">
        <f>IF(Table1_1[[#This Row],[Income]]&lt;=30000,"Low ",IF(Table1_1[[#This Row],[Income]]&lt;=70000,"Middle","High"))</f>
        <v>High</v>
      </c>
      <c r="Q488" s="6" t="str">
        <f>IF(Table1_1[[#This Row],[Age]]&lt;30,"Young",IF(Table1_1[[#This Row],[Age]]&lt;50,"Middle aged","Senior citizen"))</f>
        <v>Senior citizen</v>
      </c>
      <c r="R488" s="7">
        <f>IF(Table1_1[[#This Row],[Marriedarital SingletatuSingle]]="M",Table1_1[[#This Row],[Children]]+2,Table1_1[[#This Row],[Children]]+1)</f>
        <v>5</v>
      </c>
      <c r="S488" s="4" t="str">
        <f>IF(Table1_1[[#This Row],[Cars]]=0,"No","Yes")</f>
        <v>Yes</v>
      </c>
      <c r="T488" s="6" t="str">
        <f>IF(AND(Table1_1[[#This Row],[Income]]&gt;50000,Table1_1[[#This Row],[Home Owner]]="Yes"),"High stability","Low stability")</f>
        <v>High stability</v>
      </c>
      <c r="U488" s="3">
        <f>Table1_1[[#This Row],[Income]]/Table1_1[[#This Row],[Family size]]</f>
        <v>18000</v>
      </c>
      <c r="V488" s="6" t="str">
        <f>IF(Table1_1[[#This Row],[Occupation]]="Skilled manual","Blue collar",IF(Table1_1[[#This Row],[Occupation]]="Manual","Blue collar","White collar"))</f>
        <v>Blue collar</v>
      </c>
    </row>
    <row r="489" spans="1:22" x14ac:dyDescent="0.3">
      <c r="A489" t="s">
        <v>523</v>
      </c>
      <c r="B489" s="6" t="s">
        <v>1042</v>
      </c>
      <c r="C489" s="6" t="s">
        <v>1046</v>
      </c>
      <c r="D489" s="3">
        <v>40000</v>
      </c>
      <c r="E489">
        <v>0</v>
      </c>
      <c r="F489" s="6" t="s">
        <v>13</v>
      </c>
      <c r="G489" s="6" t="s">
        <v>20</v>
      </c>
      <c r="H489" s="6" t="s">
        <v>15</v>
      </c>
      <c r="I489">
        <v>0</v>
      </c>
      <c r="J489" t="s">
        <v>16</v>
      </c>
      <c r="K4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89" s="6" t="s">
        <v>17</v>
      </c>
      <c r="M489" s="7">
        <v>39</v>
      </c>
      <c r="N489" t="s">
        <v>18</v>
      </c>
      <c r="O489" s="9" t="str">
        <f>IF(Table1_1[[#This Row],[Purchased Bike]]="yes","1","0")</f>
        <v>0</v>
      </c>
      <c r="P489" s="4" t="str">
        <f>IF(Table1_1[[#This Row],[Income]]&lt;=30000,"Low ",IF(Table1_1[[#This Row],[Income]]&lt;=70000,"Middle","High"))</f>
        <v>Middle</v>
      </c>
      <c r="Q489" s="6" t="str">
        <f>IF(Table1_1[[#This Row],[Age]]&lt;30,"Young",IF(Table1_1[[#This Row],[Age]]&lt;50,"Middle aged","Senior citizen"))</f>
        <v>Middle aged</v>
      </c>
      <c r="R489" s="7">
        <f>IF(Table1_1[[#This Row],[Marriedarital SingletatuSingle]]="M",Table1_1[[#This Row],[Children]]+2,Table1_1[[#This Row],[Children]]+1)</f>
        <v>1</v>
      </c>
      <c r="S489" s="4" t="str">
        <f>IF(Table1_1[[#This Row],[Cars]]=0,"No","Yes")</f>
        <v>No</v>
      </c>
      <c r="T489" s="6" t="str">
        <f>IF(AND(Table1_1[[#This Row],[Income]]&gt;50000,Table1_1[[#This Row],[Home Owner]]="Yes"),"High stability","Low stability")</f>
        <v>Low stability</v>
      </c>
      <c r="U489" s="3">
        <f>Table1_1[[#This Row],[Income]]/Table1_1[[#This Row],[Family size]]</f>
        <v>40000</v>
      </c>
      <c r="V489" s="6" t="str">
        <f>IF(Table1_1[[#This Row],[Occupation]]="Skilled manual","Blue collar",IF(Table1_1[[#This Row],[Occupation]]="Manual","Blue collar","White collar"))</f>
        <v>White collar</v>
      </c>
    </row>
    <row r="490" spans="1:22" x14ac:dyDescent="0.3">
      <c r="A490" t="s">
        <v>524</v>
      </c>
      <c r="B490" s="6" t="s">
        <v>1044</v>
      </c>
      <c r="C490" s="6" t="s">
        <v>1045</v>
      </c>
      <c r="D490" s="3">
        <v>10000</v>
      </c>
      <c r="E490">
        <v>0</v>
      </c>
      <c r="F490" s="6" t="s">
        <v>29</v>
      </c>
      <c r="G490" s="6" t="s">
        <v>25</v>
      </c>
      <c r="H490" s="6" t="s">
        <v>15</v>
      </c>
      <c r="I490">
        <v>2</v>
      </c>
      <c r="J490" t="s">
        <v>26</v>
      </c>
      <c r="K4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90" s="6" t="s">
        <v>17</v>
      </c>
      <c r="M490" s="7">
        <v>34</v>
      </c>
      <c r="N490" t="s">
        <v>18</v>
      </c>
      <c r="O490" s="9" t="str">
        <f>IF(Table1_1[[#This Row],[Purchased Bike]]="yes","1","0")</f>
        <v>0</v>
      </c>
      <c r="P490" s="4" t="str">
        <f>IF(Table1_1[[#This Row],[Income]]&lt;=30000,"Low ",IF(Table1_1[[#This Row],[Income]]&lt;=70000,"Middle","High"))</f>
        <v xml:space="preserve">Low </v>
      </c>
      <c r="Q490" s="6" t="str">
        <f>IF(Table1_1[[#This Row],[Age]]&lt;30,"Young",IF(Table1_1[[#This Row],[Age]]&lt;50,"Middle aged","Senior citizen"))</f>
        <v>Middle aged</v>
      </c>
      <c r="R490" s="7">
        <f>IF(Table1_1[[#This Row],[Marriedarital SingletatuSingle]]="M",Table1_1[[#This Row],[Children]]+2,Table1_1[[#This Row],[Children]]+1)</f>
        <v>1</v>
      </c>
      <c r="S490" s="4" t="str">
        <f>IF(Table1_1[[#This Row],[Cars]]=0,"No","Yes")</f>
        <v>Yes</v>
      </c>
      <c r="T490" s="6" t="str">
        <f>IF(AND(Table1_1[[#This Row],[Income]]&gt;50000,Table1_1[[#This Row],[Home Owner]]="Yes"),"High stability","Low stability")</f>
        <v>Low stability</v>
      </c>
      <c r="U490" s="3">
        <f>Table1_1[[#This Row],[Income]]/Table1_1[[#This Row],[Family size]]</f>
        <v>10000</v>
      </c>
      <c r="V490" s="6" t="str">
        <f>IF(Table1_1[[#This Row],[Occupation]]="Skilled manual","Blue collar",IF(Table1_1[[#This Row],[Occupation]]="Manual","Blue collar","White collar"))</f>
        <v>Blue collar</v>
      </c>
    </row>
    <row r="491" spans="1:22" x14ac:dyDescent="0.3">
      <c r="A491" t="s">
        <v>525</v>
      </c>
      <c r="B491" s="6" t="s">
        <v>1042</v>
      </c>
      <c r="C491" s="6" t="s">
        <v>1046</v>
      </c>
      <c r="D491" s="3">
        <v>20000</v>
      </c>
      <c r="E491">
        <v>0</v>
      </c>
      <c r="F491" s="6" t="s">
        <v>29</v>
      </c>
      <c r="G491" s="6" t="s">
        <v>25</v>
      </c>
      <c r="H491" s="6" t="s">
        <v>15</v>
      </c>
      <c r="I491">
        <v>2</v>
      </c>
      <c r="J491" t="s">
        <v>16</v>
      </c>
      <c r="K4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491" s="6" t="s">
        <v>17</v>
      </c>
      <c r="M491" s="7">
        <v>32</v>
      </c>
      <c r="N491" t="s">
        <v>18</v>
      </c>
      <c r="O491" s="9" t="str">
        <f>IF(Table1_1[[#This Row],[Purchased Bike]]="yes","1","0")</f>
        <v>0</v>
      </c>
      <c r="P491" s="4" t="str">
        <f>IF(Table1_1[[#This Row],[Income]]&lt;=30000,"Low ",IF(Table1_1[[#This Row],[Income]]&lt;=70000,"Middle","High"))</f>
        <v xml:space="preserve">Low </v>
      </c>
      <c r="Q491" s="6" t="str">
        <f>IF(Table1_1[[#This Row],[Age]]&lt;30,"Young",IF(Table1_1[[#This Row],[Age]]&lt;50,"Middle aged","Senior citizen"))</f>
        <v>Middle aged</v>
      </c>
      <c r="R491" s="7">
        <f>IF(Table1_1[[#This Row],[Marriedarital SingletatuSingle]]="M",Table1_1[[#This Row],[Children]]+2,Table1_1[[#This Row],[Children]]+1)</f>
        <v>1</v>
      </c>
      <c r="S491" s="4" t="str">
        <f>IF(Table1_1[[#This Row],[Cars]]=0,"No","Yes")</f>
        <v>Yes</v>
      </c>
      <c r="T491" s="6" t="str">
        <f>IF(AND(Table1_1[[#This Row],[Income]]&gt;50000,Table1_1[[#This Row],[Home Owner]]="Yes"),"High stability","Low stability")</f>
        <v>Low stability</v>
      </c>
      <c r="U491" s="3">
        <f>Table1_1[[#This Row],[Income]]/Table1_1[[#This Row],[Family size]]</f>
        <v>20000</v>
      </c>
      <c r="V491" s="6" t="str">
        <f>IF(Table1_1[[#This Row],[Occupation]]="Skilled manual","Blue collar",IF(Table1_1[[#This Row],[Occupation]]="Manual","Blue collar","White collar"))</f>
        <v>Blue collar</v>
      </c>
    </row>
    <row r="492" spans="1:22" x14ac:dyDescent="0.3">
      <c r="A492" t="s">
        <v>526</v>
      </c>
      <c r="B492" s="6" t="s">
        <v>1042</v>
      </c>
      <c r="C492" s="6" t="s">
        <v>1046</v>
      </c>
      <c r="D492" s="3">
        <v>60000</v>
      </c>
      <c r="E492">
        <v>4</v>
      </c>
      <c r="F492" s="6" t="s">
        <v>13</v>
      </c>
      <c r="G492" s="6" t="s">
        <v>21</v>
      </c>
      <c r="H492" s="6" t="s">
        <v>15</v>
      </c>
      <c r="I492">
        <v>0</v>
      </c>
      <c r="J492" t="s">
        <v>22</v>
      </c>
      <c r="K4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92" s="6" t="s">
        <v>32</v>
      </c>
      <c r="M492" s="7">
        <v>46</v>
      </c>
      <c r="N492" t="s">
        <v>18</v>
      </c>
      <c r="O492" s="9" t="str">
        <f>IF(Table1_1[[#This Row],[Purchased Bike]]="yes","1","0")</f>
        <v>0</v>
      </c>
      <c r="P492" s="4" t="str">
        <f>IF(Table1_1[[#This Row],[Income]]&lt;=30000,"Low ",IF(Table1_1[[#This Row],[Income]]&lt;=70000,"Middle","High"))</f>
        <v>Middle</v>
      </c>
      <c r="Q492" s="6" t="str">
        <f>IF(Table1_1[[#This Row],[Age]]&lt;30,"Young",IF(Table1_1[[#This Row],[Age]]&lt;50,"Middle aged","Senior citizen"))</f>
        <v>Middle aged</v>
      </c>
      <c r="R492" s="7">
        <f>IF(Table1_1[[#This Row],[Marriedarital SingletatuSingle]]="M",Table1_1[[#This Row],[Children]]+2,Table1_1[[#This Row],[Children]]+1)</f>
        <v>5</v>
      </c>
      <c r="S492" s="4" t="str">
        <f>IF(Table1_1[[#This Row],[Cars]]=0,"No","Yes")</f>
        <v>No</v>
      </c>
      <c r="T492" s="6" t="str">
        <f>IF(AND(Table1_1[[#This Row],[Income]]&gt;50000,Table1_1[[#This Row],[Home Owner]]="Yes"),"High stability","Low stability")</f>
        <v>High stability</v>
      </c>
      <c r="U492" s="3">
        <f>Table1_1[[#This Row],[Income]]/Table1_1[[#This Row],[Family size]]</f>
        <v>12000</v>
      </c>
      <c r="V492" s="6" t="str">
        <f>IF(Table1_1[[#This Row],[Occupation]]="Skilled manual","Blue collar",IF(Table1_1[[#This Row],[Occupation]]="Manual","Blue collar","White collar"))</f>
        <v>White collar</v>
      </c>
    </row>
    <row r="493" spans="1:22" x14ac:dyDescent="0.3">
      <c r="A493" t="s">
        <v>527</v>
      </c>
      <c r="B493" s="6" t="s">
        <v>1042</v>
      </c>
      <c r="C493" s="6" t="s">
        <v>1046</v>
      </c>
      <c r="D493" s="3">
        <v>70000</v>
      </c>
      <c r="E493">
        <v>2</v>
      </c>
      <c r="F493" s="6" t="s">
        <v>29</v>
      </c>
      <c r="G493" s="6" t="s">
        <v>14</v>
      </c>
      <c r="H493" s="6" t="s">
        <v>15</v>
      </c>
      <c r="I493">
        <v>2</v>
      </c>
      <c r="J493" t="s">
        <v>23</v>
      </c>
      <c r="K4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93" s="6" t="s">
        <v>32</v>
      </c>
      <c r="M493" s="7">
        <v>48</v>
      </c>
      <c r="N493" t="s">
        <v>18</v>
      </c>
      <c r="O493" s="9" t="str">
        <f>IF(Table1_1[[#This Row],[Purchased Bike]]="yes","1","0")</f>
        <v>0</v>
      </c>
      <c r="P493" s="4" t="str">
        <f>IF(Table1_1[[#This Row],[Income]]&lt;=30000,"Low ",IF(Table1_1[[#This Row],[Income]]&lt;=70000,"Middle","High"))</f>
        <v>Middle</v>
      </c>
      <c r="Q493" s="6" t="str">
        <f>IF(Table1_1[[#This Row],[Age]]&lt;30,"Young",IF(Table1_1[[#This Row],[Age]]&lt;50,"Middle aged","Senior citizen"))</f>
        <v>Middle aged</v>
      </c>
      <c r="R493" s="7">
        <f>IF(Table1_1[[#This Row],[Marriedarital SingletatuSingle]]="M",Table1_1[[#This Row],[Children]]+2,Table1_1[[#This Row],[Children]]+1)</f>
        <v>3</v>
      </c>
      <c r="S493" s="4" t="str">
        <f>IF(Table1_1[[#This Row],[Cars]]=0,"No","Yes")</f>
        <v>Yes</v>
      </c>
      <c r="T493" s="6" t="str">
        <f>IF(AND(Table1_1[[#This Row],[Income]]&gt;50000,Table1_1[[#This Row],[Home Owner]]="Yes"),"High stability","Low stability")</f>
        <v>High stability</v>
      </c>
      <c r="U493" s="3">
        <f>Table1_1[[#This Row],[Income]]/Table1_1[[#This Row],[Family size]]</f>
        <v>23333.333333333332</v>
      </c>
      <c r="V493" s="6" t="str">
        <f>IF(Table1_1[[#This Row],[Occupation]]="Skilled manual","Blue collar",IF(Table1_1[[#This Row],[Occupation]]="Manual","Blue collar","White collar"))</f>
        <v>Blue collar</v>
      </c>
    </row>
    <row r="494" spans="1:22" x14ac:dyDescent="0.3">
      <c r="A494" t="s">
        <v>528</v>
      </c>
      <c r="B494" s="6" t="s">
        <v>1044</v>
      </c>
      <c r="C494" s="6" t="s">
        <v>1045</v>
      </c>
      <c r="D494" s="3">
        <v>40000</v>
      </c>
      <c r="E494">
        <v>3</v>
      </c>
      <c r="F494" s="6" t="s">
        <v>19</v>
      </c>
      <c r="G494" s="6" t="s">
        <v>20</v>
      </c>
      <c r="H494" s="6" t="s">
        <v>15</v>
      </c>
      <c r="I494">
        <v>1</v>
      </c>
      <c r="J494" t="s">
        <v>26</v>
      </c>
      <c r="K4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494" s="6" t="s">
        <v>32</v>
      </c>
      <c r="M494" s="7">
        <v>31</v>
      </c>
      <c r="N494" t="s">
        <v>15</v>
      </c>
      <c r="O494" s="9" t="str">
        <f>IF(Table1_1[[#This Row],[Purchased Bike]]="yes","1","0")</f>
        <v>1</v>
      </c>
      <c r="P494" s="4" t="str">
        <f>IF(Table1_1[[#This Row],[Income]]&lt;=30000,"Low ",IF(Table1_1[[#This Row],[Income]]&lt;=70000,"Middle","High"))</f>
        <v>Middle</v>
      </c>
      <c r="Q494" s="6" t="str">
        <f>IF(Table1_1[[#This Row],[Age]]&lt;30,"Young",IF(Table1_1[[#This Row],[Age]]&lt;50,"Middle aged","Senior citizen"))</f>
        <v>Middle aged</v>
      </c>
      <c r="R494" s="7">
        <f>IF(Table1_1[[#This Row],[Marriedarital SingletatuSingle]]="M",Table1_1[[#This Row],[Children]]+2,Table1_1[[#This Row],[Children]]+1)</f>
        <v>4</v>
      </c>
      <c r="S494" s="4" t="str">
        <f>IF(Table1_1[[#This Row],[Cars]]=0,"No","Yes")</f>
        <v>Yes</v>
      </c>
      <c r="T494" s="6" t="str">
        <f>IF(AND(Table1_1[[#This Row],[Income]]&gt;50000,Table1_1[[#This Row],[Home Owner]]="Yes"),"High stability","Low stability")</f>
        <v>Low stability</v>
      </c>
      <c r="U494" s="3">
        <f>Table1_1[[#This Row],[Income]]/Table1_1[[#This Row],[Family size]]</f>
        <v>10000</v>
      </c>
      <c r="V494" s="6" t="str">
        <f>IF(Table1_1[[#This Row],[Occupation]]="Skilled manual","Blue collar",IF(Table1_1[[#This Row],[Occupation]]="Manual","Blue collar","White collar"))</f>
        <v>White collar</v>
      </c>
    </row>
    <row r="495" spans="1:22" x14ac:dyDescent="0.3">
      <c r="A495" t="s">
        <v>529</v>
      </c>
      <c r="B495" s="6" t="s">
        <v>1044</v>
      </c>
      <c r="C495" s="6" t="s">
        <v>1046</v>
      </c>
      <c r="D495" s="3">
        <v>70000</v>
      </c>
      <c r="E495">
        <v>5</v>
      </c>
      <c r="F495" s="6" t="s">
        <v>13</v>
      </c>
      <c r="G495" s="6" t="s">
        <v>28</v>
      </c>
      <c r="H495" s="6" t="s">
        <v>15</v>
      </c>
      <c r="I495">
        <v>3</v>
      </c>
      <c r="J495" t="s">
        <v>30</v>
      </c>
      <c r="K4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95" s="6" t="s">
        <v>32</v>
      </c>
      <c r="M495" s="7">
        <v>60</v>
      </c>
      <c r="N495" t="s">
        <v>15</v>
      </c>
      <c r="O495" s="9" t="str">
        <f>IF(Table1_1[[#This Row],[Purchased Bike]]="yes","1","0")</f>
        <v>1</v>
      </c>
      <c r="P495" s="4" t="str">
        <f>IF(Table1_1[[#This Row],[Income]]&lt;=30000,"Low ",IF(Table1_1[[#This Row],[Income]]&lt;=70000,"Middle","High"))</f>
        <v>Middle</v>
      </c>
      <c r="Q495" s="6" t="str">
        <f>IF(Table1_1[[#This Row],[Age]]&lt;30,"Young",IF(Table1_1[[#This Row],[Age]]&lt;50,"Middle aged","Senior citizen"))</f>
        <v>Senior citizen</v>
      </c>
      <c r="R495" s="7">
        <f>IF(Table1_1[[#This Row],[Marriedarital SingletatuSingle]]="M",Table1_1[[#This Row],[Children]]+2,Table1_1[[#This Row],[Children]]+1)</f>
        <v>6</v>
      </c>
      <c r="S495" s="4" t="str">
        <f>IF(Table1_1[[#This Row],[Cars]]=0,"No","Yes")</f>
        <v>Yes</v>
      </c>
      <c r="T495" s="6" t="str">
        <f>IF(AND(Table1_1[[#This Row],[Income]]&gt;50000,Table1_1[[#This Row],[Home Owner]]="Yes"),"High stability","Low stability")</f>
        <v>High stability</v>
      </c>
      <c r="U495" s="3">
        <f>Table1_1[[#This Row],[Income]]/Table1_1[[#This Row],[Family size]]</f>
        <v>11666.666666666666</v>
      </c>
      <c r="V495" s="6" t="str">
        <f>IF(Table1_1[[#This Row],[Occupation]]="Skilled manual","Blue collar",IF(Table1_1[[#This Row],[Occupation]]="Manual","Blue collar","White collar"))</f>
        <v>White collar</v>
      </c>
    </row>
    <row r="496" spans="1:22" x14ac:dyDescent="0.3">
      <c r="A496" t="s">
        <v>530</v>
      </c>
      <c r="B496" s="6" t="s">
        <v>1042</v>
      </c>
      <c r="C496" s="6" t="s">
        <v>1046</v>
      </c>
      <c r="D496" s="3">
        <v>70000</v>
      </c>
      <c r="E496">
        <v>4</v>
      </c>
      <c r="F496" s="6" t="s">
        <v>27</v>
      </c>
      <c r="G496" s="6" t="s">
        <v>21</v>
      </c>
      <c r="H496" s="6" t="s">
        <v>15</v>
      </c>
      <c r="I496">
        <v>0</v>
      </c>
      <c r="J496" t="s">
        <v>23</v>
      </c>
      <c r="K4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496" s="6" t="s">
        <v>32</v>
      </c>
      <c r="M496" s="7">
        <v>51</v>
      </c>
      <c r="N496" t="s">
        <v>18</v>
      </c>
      <c r="O496" s="9" t="str">
        <f>IF(Table1_1[[#This Row],[Purchased Bike]]="yes","1","0")</f>
        <v>0</v>
      </c>
      <c r="P496" s="4" t="str">
        <f>IF(Table1_1[[#This Row],[Income]]&lt;=30000,"Low ",IF(Table1_1[[#This Row],[Income]]&lt;=70000,"Middle","High"))</f>
        <v>Middle</v>
      </c>
      <c r="Q496" s="6" t="str">
        <f>IF(Table1_1[[#This Row],[Age]]&lt;30,"Young",IF(Table1_1[[#This Row],[Age]]&lt;50,"Middle aged","Senior citizen"))</f>
        <v>Senior citizen</v>
      </c>
      <c r="R496" s="7">
        <f>IF(Table1_1[[#This Row],[Marriedarital SingletatuSingle]]="M",Table1_1[[#This Row],[Children]]+2,Table1_1[[#This Row],[Children]]+1)</f>
        <v>5</v>
      </c>
      <c r="S496" s="4" t="str">
        <f>IF(Table1_1[[#This Row],[Cars]]=0,"No","Yes")</f>
        <v>No</v>
      </c>
      <c r="T496" s="6" t="str">
        <f>IF(AND(Table1_1[[#This Row],[Income]]&gt;50000,Table1_1[[#This Row],[Home Owner]]="Yes"),"High stability","Low stability")</f>
        <v>High stability</v>
      </c>
      <c r="U496" s="3">
        <f>Table1_1[[#This Row],[Income]]/Table1_1[[#This Row],[Family size]]</f>
        <v>14000</v>
      </c>
      <c r="V496" s="6" t="str">
        <f>IF(Table1_1[[#This Row],[Occupation]]="Skilled manual","Blue collar",IF(Table1_1[[#This Row],[Occupation]]="Manual","Blue collar","White collar"))</f>
        <v>White collar</v>
      </c>
    </row>
    <row r="497" spans="1:22" x14ac:dyDescent="0.3">
      <c r="A497" t="s">
        <v>531</v>
      </c>
      <c r="B497" s="6" t="s">
        <v>1042</v>
      </c>
      <c r="C497" s="6" t="s">
        <v>1046</v>
      </c>
      <c r="D497" s="3">
        <v>60000</v>
      </c>
      <c r="E497">
        <v>2</v>
      </c>
      <c r="F497" s="6" t="s">
        <v>19</v>
      </c>
      <c r="G497" s="6" t="s">
        <v>21</v>
      </c>
      <c r="H497" s="6" t="s">
        <v>15</v>
      </c>
      <c r="I497">
        <v>2</v>
      </c>
      <c r="J497" t="s">
        <v>30</v>
      </c>
      <c r="K4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497" s="6" t="s">
        <v>32</v>
      </c>
      <c r="M497" s="7">
        <v>56</v>
      </c>
      <c r="N497" t="s">
        <v>18</v>
      </c>
      <c r="O497" s="9" t="str">
        <f>IF(Table1_1[[#This Row],[Purchased Bike]]="yes","1","0")</f>
        <v>0</v>
      </c>
      <c r="P497" s="4" t="str">
        <f>IF(Table1_1[[#This Row],[Income]]&lt;=30000,"Low ",IF(Table1_1[[#This Row],[Income]]&lt;=70000,"Middle","High"))</f>
        <v>Middle</v>
      </c>
      <c r="Q497" s="6" t="str">
        <f>IF(Table1_1[[#This Row],[Age]]&lt;30,"Young",IF(Table1_1[[#This Row],[Age]]&lt;50,"Middle aged","Senior citizen"))</f>
        <v>Senior citizen</v>
      </c>
      <c r="R497" s="7">
        <f>IF(Table1_1[[#This Row],[Marriedarital SingletatuSingle]]="M",Table1_1[[#This Row],[Children]]+2,Table1_1[[#This Row],[Children]]+1)</f>
        <v>3</v>
      </c>
      <c r="S497" s="4" t="str">
        <f>IF(Table1_1[[#This Row],[Cars]]=0,"No","Yes")</f>
        <v>Yes</v>
      </c>
      <c r="T497" s="6" t="str">
        <f>IF(AND(Table1_1[[#This Row],[Income]]&gt;50000,Table1_1[[#This Row],[Home Owner]]="Yes"),"High stability","Low stability")</f>
        <v>High stability</v>
      </c>
      <c r="U497" s="3">
        <f>Table1_1[[#This Row],[Income]]/Table1_1[[#This Row],[Family size]]</f>
        <v>20000</v>
      </c>
      <c r="V497" s="6" t="str">
        <f>IF(Table1_1[[#This Row],[Occupation]]="Skilled manual","Blue collar",IF(Table1_1[[#This Row],[Occupation]]="Manual","Blue collar","White collar"))</f>
        <v>White collar</v>
      </c>
    </row>
    <row r="498" spans="1:22" x14ac:dyDescent="0.3">
      <c r="A498" t="s">
        <v>532</v>
      </c>
      <c r="B498" s="6" t="s">
        <v>1044</v>
      </c>
      <c r="C498" s="6" t="s">
        <v>1045</v>
      </c>
      <c r="D498" s="3">
        <v>60000</v>
      </c>
      <c r="E498">
        <v>3</v>
      </c>
      <c r="F498" s="6" t="s">
        <v>13</v>
      </c>
      <c r="G498" s="6" t="s">
        <v>14</v>
      </c>
      <c r="H498" s="6" t="s">
        <v>15</v>
      </c>
      <c r="I498">
        <v>1</v>
      </c>
      <c r="J498" t="s">
        <v>22</v>
      </c>
      <c r="K4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98" s="6" t="s">
        <v>32</v>
      </c>
      <c r="M498" s="7">
        <v>40</v>
      </c>
      <c r="N498" t="s">
        <v>15</v>
      </c>
      <c r="O498" s="9" t="str">
        <f>IF(Table1_1[[#This Row],[Purchased Bike]]="yes","1","0")</f>
        <v>1</v>
      </c>
      <c r="P498" s="4" t="str">
        <f>IF(Table1_1[[#This Row],[Income]]&lt;=30000,"Low ",IF(Table1_1[[#This Row],[Income]]&lt;=70000,"Middle","High"))</f>
        <v>Middle</v>
      </c>
      <c r="Q498" s="6" t="str">
        <f>IF(Table1_1[[#This Row],[Age]]&lt;30,"Young",IF(Table1_1[[#This Row],[Age]]&lt;50,"Middle aged","Senior citizen"))</f>
        <v>Middle aged</v>
      </c>
      <c r="R498" s="7">
        <f>IF(Table1_1[[#This Row],[Marriedarital SingletatuSingle]]="M",Table1_1[[#This Row],[Children]]+2,Table1_1[[#This Row],[Children]]+1)</f>
        <v>4</v>
      </c>
      <c r="S498" s="4" t="str">
        <f>IF(Table1_1[[#This Row],[Cars]]=0,"No","Yes")</f>
        <v>Yes</v>
      </c>
      <c r="T498" s="6" t="str">
        <f>IF(AND(Table1_1[[#This Row],[Income]]&gt;50000,Table1_1[[#This Row],[Home Owner]]="Yes"),"High stability","Low stability")</f>
        <v>High stability</v>
      </c>
      <c r="U498" s="3">
        <f>Table1_1[[#This Row],[Income]]/Table1_1[[#This Row],[Family size]]</f>
        <v>15000</v>
      </c>
      <c r="V498" s="6" t="str">
        <f>IF(Table1_1[[#This Row],[Occupation]]="Skilled manual","Blue collar",IF(Table1_1[[#This Row],[Occupation]]="Manual","Blue collar","White collar"))</f>
        <v>Blue collar</v>
      </c>
    </row>
    <row r="499" spans="1:22" x14ac:dyDescent="0.3">
      <c r="A499" t="s">
        <v>533</v>
      </c>
      <c r="B499" s="6" t="s">
        <v>1044</v>
      </c>
      <c r="C499" s="6" t="s">
        <v>1045</v>
      </c>
      <c r="D499" s="3">
        <v>70000</v>
      </c>
      <c r="E499">
        <v>1</v>
      </c>
      <c r="F499" s="6" t="s">
        <v>31</v>
      </c>
      <c r="G499" s="6" t="s">
        <v>21</v>
      </c>
      <c r="H499" s="6" t="s">
        <v>15</v>
      </c>
      <c r="I499">
        <v>0</v>
      </c>
      <c r="J499" t="s">
        <v>22</v>
      </c>
      <c r="K4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499" s="6" t="s">
        <v>32</v>
      </c>
      <c r="M499" s="7">
        <v>34</v>
      </c>
      <c r="N499" t="s">
        <v>15</v>
      </c>
      <c r="O499" s="9" t="str">
        <f>IF(Table1_1[[#This Row],[Purchased Bike]]="yes","1","0")</f>
        <v>1</v>
      </c>
      <c r="P499" s="4" t="str">
        <f>IF(Table1_1[[#This Row],[Income]]&lt;=30000,"Low ",IF(Table1_1[[#This Row],[Income]]&lt;=70000,"Middle","High"))</f>
        <v>Middle</v>
      </c>
      <c r="Q499" s="6" t="str">
        <f>IF(Table1_1[[#This Row],[Age]]&lt;30,"Young",IF(Table1_1[[#This Row],[Age]]&lt;50,"Middle aged","Senior citizen"))</f>
        <v>Middle aged</v>
      </c>
      <c r="R499" s="7">
        <f>IF(Table1_1[[#This Row],[Marriedarital SingletatuSingle]]="M",Table1_1[[#This Row],[Children]]+2,Table1_1[[#This Row],[Children]]+1)</f>
        <v>2</v>
      </c>
      <c r="S499" s="4" t="str">
        <f>IF(Table1_1[[#This Row],[Cars]]=0,"No","Yes")</f>
        <v>No</v>
      </c>
      <c r="T499" s="6" t="str">
        <f>IF(AND(Table1_1[[#This Row],[Income]]&gt;50000,Table1_1[[#This Row],[Home Owner]]="Yes"),"High stability","Low stability")</f>
        <v>High stability</v>
      </c>
      <c r="U499" s="3">
        <f>Table1_1[[#This Row],[Income]]/Table1_1[[#This Row],[Family size]]</f>
        <v>35000</v>
      </c>
      <c r="V499" s="6" t="str">
        <f>IF(Table1_1[[#This Row],[Occupation]]="Skilled manual","Blue collar",IF(Table1_1[[#This Row],[Occupation]]="Manual","Blue collar","White collar"))</f>
        <v>White collar</v>
      </c>
    </row>
    <row r="500" spans="1:22" x14ac:dyDescent="0.3">
      <c r="A500" t="s">
        <v>534</v>
      </c>
      <c r="B500" s="6" t="s">
        <v>1042</v>
      </c>
      <c r="C500" s="6" t="s">
        <v>1046</v>
      </c>
      <c r="D500" s="3">
        <v>80000</v>
      </c>
      <c r="E500">
        <v>1</v>
      </c>
      <c r="F500" s="6" t="s">
        <v>19</v>
      </c>
      <c r="G500" s="6" t="s">
        <v>14</v>
      </c>
      <c r="H500" s="6" t="s">
        <v>15</v>
      </c>
      <c r="I500">
        <v>1</v>
      </c>
      <c r="J500" t="s">
        <v>22</v>
      </c>
      <c r="K5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00" s="6" t="s">
        <v>32</v>
      </c>
      <c r="M500" s="7">
        <v>48</v>
      </c>
      <c r="N500" t="s">
        <v>15</v>
      </c>
      <c r="O500" s="9" t="str">
        <f>IF(Table1_1[[#This Row],[Purchased Bike]]="yes","1","0")</f>
        <v>1</v>
      </c>
      <c r="P500" s="4" t="str">
        <f>IF(Table1_1[[#This Row],[Income]]&lt;=30000,"Low ",IF(Table1_1[[#This Row],[Income]]&lt;=70000,"Middle","High"))</f>
        <v>High</v>
      </c>
      <c r="Q500" s="6" t="str">
        <f>IF(Table1_1[[#This Row],[Age]]&lt;30,"Young",IF(Table1_1[[#This Row],[Age]]&lt;50,"Middle aged","Senior citizen"))</f>
        <v>Middle aged</v>
      </c>
      <c r="R500" s="7">
        <f>IF(Table1_1[[#This Row],[Marriedarital SingletatuSingle]]="M",Table1_1[[#This Row],[Children]]+2,Table1_1[[#This Row],[Children]]+1)</f>
        <v>2</v>
      </c>
      <c r="S500" s="4" t="str">
        <f>IF(Table1_1[[#This Row],[Cars]]=0,"No","Yes")</f>
        <v>Yes</v>
      </c>
      <c r="T500" s="6" t="str">
        <f>IF(AND(Table1_1[[#This Row],[Income]]&gt;50000,Table1_1[[#This Row],[Home Owner]]="Yes"),"High stability","Low stability")</f>
        <v>High stability</v>
      </c>
      <c r="U500" s="3">
        <f>Table1_1[[#This Row],[Income]]/Table1_1[[#This Row],[Family size]]</f>
        <v>40000</v>
      </c>
      <c r="V500" s="6" t="str">
        <f>IF(Table1_1[[#This Row],[Occupation]]="Skilled manual","Blue collar",IF(Table1_1[[#This Row],[Occupation]]="Manual","Blue collar","White collar"))</f>
        <v>Blue collar</v>
      </c>
    </row>
    <row r="501" spans="1:22" x14ac:dyDescent="0.3">
      <c r="A501" t="s">
        <v>535</v>
      </c>
      <c r="B501" s="6" t="s">
        <v>1044</v>
      </c>
      <c r="C501" s="6" t="s">
        <v>1045</v>
      </c>
      <c r="D501" s="3">
        <v>40000</v>
      </c>
      <c r="E501">
        <v>0</v>
      </c>
      <c r="F501" s="6" t="s">
        <v>27</v>
      </c>
      <c r="G501" s="6" t="s">
        <v>14</v>
      </c>
      <c r="H501" s="6" t="s">
        <v>18</v>
      </c>
      <c r="I501">
        <v>2</v>
      </c>
      <c r="J501" t="s">
        <v>26</v>
      </c>
      <c r="K5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01" s="6" t="s">
        <v>32</v>
      </c>
      <c r="M501" s="7">
        <v>31</v>
      </c>
      <c r="N501" t="s">
        <v>15</v>
      </c>
      <c r="O501" s="9" t="str">
        <f>IF(Table1_1[[#This Row],[Purchased Bike]]="yes","1","0")</f>
        <v>1</v>
      </c>
      <c r="P501" s="4" t="str">
        <f>IF(Table1_1[[#This Row],[Income]]&lt;=30000,"Low ",IF(Table1_1[[#This Row],[Income]]&lt;=70000,"Middle","High"))</f>
        <v>Middle</v>
      </c>
      <c r="Q501" s="6" t="str">
        <f>IF(Table1_1[[#This Row],[Age]]&lt;30,"Young",IF(Table1_1[[#This Row],[Age]]&lt;50,"Middle aged","Senior citizen"))</f>
        <v>Middle aged</v>
      </c>
      <c r="R501" s="7">
        <f>IF(Table1_1[[#This Row],[Marriedarital SingletatuSingle]]="M",Table1_1[[#This Row],[Children]]+2,Table1_1[[#This Row],[Children]]+1)</f>
        <v>1</v>
      </c>
      <c r="S501" s="4" t="str">
        <f>IF(Table1_1[[#This Row],[Cars]]=0,"No","Yes")</f>
        <v>Yes</v>
      </c>
      <c r="T501" s="6" t="str">
        <f>IF(AND(Table1_1[[#This Row],[Income]]&gt;50000,Table1_1[[#This Row],[Home Owner]]="Yes"),"High stability","Low stability")</f>
        <v>Low stability</v>
      </c>
      <c r="U501" s="3">
        <f>Table1_1[[#This Row],[Income]]/Table1_1[[#This Row],[Family size]]</f>
        <v>40000</v>
      </c>
      <c r="V501" s="6" t="str">
        <f>IF(Table1_1[[#This Row],[Occupation]]="Skilled manual","Blue collar",IF(Table1_1[[#This Row],[Occupation]]="Manual","Blue collar","White collar"))</f>
        <v>Blue collar</v>
      </c>
    </row>
    <row r="502" spans="1:22" x14ac:dyDescent="0.3">
      <c r="A502" t="s">
        <v>536</v>
      </c>
      <c r="B502" s="6" t="s">
        <v>1042</v>
      </c>
      <c r="C502" s="6" t="s">
        <v>1046</v>
      </c>
      <c r="D502" s="3">
        <v>60000</v>
      </c>
      <c r="E502">
        <v>5</v>
      </c>
      <c r="F502" s="6" t="s">
        <v>13</v>
      </c>
      <c r="G502" s="6" t="s">
        <v>21</v>
      </c>
      <c r="H502" s="6" t="s">
        <v>15</v>
      </c>
      <c r="I502">
        <v>1</v>
      </c>
      <c r="J502" t="s">
        <v>22</v>
      </c>
      <c r="K50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02" s="6" t="s">
        <v>32</v>
      </c>
      <c r="M502" s="7">
        <v>47</v>
      </c>
      <c r="N502" t="s">
        <v>18</v>
      </c>
      <c r="O502" s="9" t="str">
        <f>IF(Table1_1[[#This Row],[Purchased Bike]]="yes","1","0")</f>
        <v>0</v>
      </c>
      <c r="P502" s="4" t="str">
        <f>IF(Table1_1[[#This Row],[Income]]&lt;=30000,"Low ",IF(Table1_1[[#This Row],[Income]]&lt;=70000,"Middle","High"))</f>
        <v>Middle</v>
      </c>
      <c r="Q502" s="6" t="str">
        <f>IF(Table1_1[[#This Row],[Age]]&lt;30,"Young",IF(Table1_1[[#This Row],[Age]]&lt;50,"Middle aged","Senior citizen"))</f>
        <v>Middle aged</v>
      </c>
      <c r="R502" s="7">
        <f>IF(Table1_1[[#This Row],[Marriedarital SingletatuSingle]]="M",Table1_1[[#This Row],[Children]]+2,Table1_1[[#This Row],[Children]]+1)</f>
        <v>6</v>
      </c>
      <c r="S502" s="4" t="str">
        <f>IF(Table1_1[[#This Row],[Cars]]=0,"No","Yes")</f>
        <v>Yes</v>
      </c>
      <c r="T502" s="6" t="str">
        <f>IF(AND(Table1_1[[#This Row],[Income]]&gt;50000,Table1_1[[#This Row],[Home Owner]]="Yes"),"High stability","Low stability")</f>
        <v>High stability</v>
      </c>
      <c r="U502" s="3">
        <f>Table1_1[[#This Row],[Income]]/Table1_1[[#This Row],[Family size]]</f>
        <v>10000</v>
      </c>
      <c r="V502" s="6" t="str">
        <f>IF(Table1_1[[#This Row],[Occupation]]="Skilled manual","Blue collar",IF(Table1_1[[#This Row],[Occupation]]="Manual","Blue collar","White collar"))</f>
        <v>White collar</v>
      </c>
    </row>
    <row r="503" spans="1:22" x14ac:dyDescent="0.3">
      <c r="A503" t="s">
        <v>537</v>
      </c>
      <c r="B503" s="6" t="s">
        <v>1042</v>
      </c>
      <c r="C503" s="6" t="s">
        <v>1045</v>
      </c>
      <c r="D503" s="3">
        <v>50000</v>
      </c>
      <c r="E503">
        <v>0</v>
      </c>
      <c r="F503" s="6" t="s">
        <v>31</v>
      </c>
      <c r="G503" s="6" t="s">
        <v>14</v>
      </c>
      <c r="H503" s="6" t="s">
        <v>15</v>
      </c>
      <c r="I503">
        <v>0</v>
      </c>
      <c r="J503" t="s">
        <v>16</v>
      </c>
      <c r="K50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03" s="6" t="s">
        <v>32</v>
      </c>
      <c r="M503" s="7">
        <v>34</v>
      </c>
      <c r="N503" t="s">
        <v>18</v>
      </c>
      <c r="O503" s="9" t="str">
        <f>IF(Table1_1[[#This Row],[Purchased Bike]]="yes","1","0")</f>
        <v>0</v>
      </c>
      <c r="P503" s="4" t="str">
        <f>IF(Table1_1[[#This Row],[Income]]&lt;=30000,"Low ",IF(Table1_1[[#This Row],[Income]]&lt;=70000,"Middle","High"))</f>
        <v>Middle</v>
      </c>
      <c r="Q503" s="6" t="str">
        <f>IF(Table1_1[[#This Row],[Age]]&lt;30,"Young",IF(Table1_1[[#This Row],[Age]]&lt;50,"Middle aged","Senior citizen"))</f>
        <v>Middle aged</v>
      </c>
      <c r="R503" s="7">
        <f>IF(Table1_1[[#This Row],[Marriedarital SingletatuSingle]]="M",Table1_1[[#This Row],[Children]]+2,Table1_1[[#This Row],[Children]]+1)</f>
        <v>1</v>
      </c>
      <c r="S503" s="4" t="str">
        <f>IF(Table1_1[[#This Row],[Cars]]=0,"No","Yes")</f>
        <v>No</v>
      </c>
      <c r="T503" s="6" t="str">
        <f>IF(AND(Table1_1[[#This Row],[Income]]&gt;50000,Table1_1[[#This Row],[Home Owner]]="Yes"),"High stability","Low stability")</f>
        <v>Low stability</v>
      </c>
      <c r="U503" s="3">
        <f>Table1_1[[#This Row],[Income]]/Table1_1[[#This Row],[Family size]]</f>
        <v>50000</v>
      </c>
      <c r="V503" s="6" t="str">
        <f>IF(Table1_1[[#This Row],[Occupation]]="Skilled manual","Blue collar",IF(Table1_1[[#This Row],[Occupation]]="Manual","Blue collar","White collar"))</f>
        <v>Blue collar</v>
      </c>
    </row>
    <row r="504" spans="1:22" x14ac:dyDescent="0.3">
      <c r="A504" t="s">
        <v>538</v>
      </c>
      <c r="B504" s="6" t="s">
        <v>1042</v>
      </c>
      <c r="C504" s="6" t="s">
        <v>1046</v>
      </c>
      <c r="D504" s="3">
        <v>40000</v>
      </c>
      <c r="E504">
        <v>0</v>
      </c>
      <c r="F504" s="6" t="s">
        <v>19</v>
      </c>
      <c r="G504" s="6" t="s">
        <v>14</v>
      </c>
      <c r="H504" s="6" t="s">
        <v>15</v>
      </c>
      <c r="I504">
        <v>1</v>
      </c>
      <c r="J504" t="s">
        <v>23</v>
      </c>
      <c r="K50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04" s="6" t="s">
        <v>32</v>
      </c>
      <c r="M504" s="7">
        <v>29</v>
      </c>
      <c r="N504" t="s">
        <v>18</v>
      </c>
      <c r="O504" s="9" t="str">
        <f>IF(Table1_1[[#This Row],[Purchased Bike]]="yes","1","0")</f>
        <v>0</v>
      </c>
      <c r="P504" s="4" t="str">
        <f>IF(Table1_1[[#This Row],[Income]]&lt;=30000,"Low ",IF(Table1_1[[#This Row],[Income]]&lt;=70000,"Middle","High"))</f>
        <v>Middle</v>
      </c>
      <c r="Q504" s="6" t="str">
        <f>IF(Table1_1[[#This Row],[Age]]&lt;30,"Young",IF(Table1_1[[#This Row],[Age]]&lt;50,"Middle aged","Senior citizen"))</f>
        <v>Young</v>
      </c>
      <c r="R504" s="7">
        <f>IF(Table1_1[[#This Row],[Marriedarital SingletatuSingle]]="M",Table1_1[[#This Row],[Children]]+2,Table1_1[[#This Row],[Children]]+1)</f>
        <v>1</v>
      </c>
      <c r="S504" s="4" t="str">
        <f>IF(Table1_1[[#This Row],[Cars]]=0,"No","Yes")</f>
        <v>Yes</v>
      </c>
      <c r="T504" s="6" t="str">
        <f>IF(AND(Table1_1[[#This Row],[Income]]&gt;50000,Table1_1[[#This Row],[Home Owner]]="Yes"),"High stability","Low stability")</f>
        <v>Low stability</v>
      </c>
      <c r="U504" s="3">
        <f>Table1_1[[#This Row],[Income]]/Table1_1[[#This Row],[Family size]]</f>
        <v>40000</v>
      </c>
      <c r="V504" s="6" t="str">
        <f>IF(Table1_1[[#This Row],[Occupation]]="Skilled manual","Blue collar",IF(Table1_1[[#This Row],[Occupation]]="Manual","Blue collar","White collar"))</f>
        <v>Blue collar</v>
      </c>
    </row>
    <row r="505" spans="1:22" x14ac:dyDescent="0.3">
      <c r="A505" t="s">
        <v>539</v>
      </c>
      <c r="B505" s="6" t="s">
        <v>1042</v>
      </c>
      <c r="C505" s="6" t="s">
        <v>1045</v>
      </c>
      <c r="D505" s="3">
        <v>130000</v>
      </c>
      <c r="E505">
        <v>1</v>
      </c>
      <c r="F505" s="6" t="s">
        <v>13</v>
      </c>
      <c r="G505" s="6" t="s">
        <v>28</v>
      </c>
      <c r="H505" s="6" t="s">
        <v>15</v>
      </c>
      <c r="I505">
        <v>4</v>
      </c>
      <c r="J505" t="s">
        <v>22</v>
      </c>
      <c r="K50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05" s="6" t="s">
        <v>32</v>
      </c>
      <c r="M505" s="7">
        <v>44</v>
      </c>
      <c r="N505" t="s">
        <v>15</v>
      </c>
      <c r="O505" s="9" t="str">
        <f>IF(Table1_1[[#This Row],[Purchased Bike]]="yes","1","0")</f>
        <v>1</v>
      </c>
      <c r="P505" s="4" t="str">
        <f>IF(Table1_1[[#This Row],[Income]]&lt;=30000,"Low ",IF(Table1_1[[#This Row],[Income]]&lt;=70000,"Middle","High"))</f>
        <v>High</v>
      </c>
      <c r="Q505" s="6" t="str">
        <f>IF(Table1_1[[#This Row],[Age]]&lt;30,"Young",IF(Table1_1[[#This Row],[Age]]&lt;50,"Middle aged","Senior citizen"))</f>
        <v>Middle aged</v>
      </c>
      <c r="R505" s="7">
        <f>IF(Table1_1[[#This Row],[Marriedarital SingletatuSingle]]="M",Table1_1[[#This Row],[Children]]+2,Table1_1[[#This Row],[Children]]+1)</f>
        <v>2</v>
      </c>
      <c r="S505" s="4" t="str">
        <f>IF(Table1_1[[#This Row],[Cars]]=0,"No","Yes")</f>
        <v>Yes</v>
      </c>
      <c r="T505" s="6" t="str">
        <f>IF(AND(Table1_1[[#This Row],[Income]]&gt;50000,Table1_1[[#This Row],[Home Owner]]="Yes"),"High stability","Low stability")</f>
        <v>High stability</v>
      </c>
      <c r="U505" s="3">
        <f>Table1_1[[#This Row],[Income]]/Table1_1[[#This Row],[Family size]]</f>
        <v>65000</v>
      </c>
      <c r="V505" s="6" t="str">
        <f>IF(Table1_1[[#This Row],[Occupation]]="Skilled manual","Blue collar",IF(Table1_1[[#This Row],[Occupation]]="Manual","Blue collar","White collar"))</f>
        <v>White collar</v>
      </c>
    </row>
    <row r="506" spans="1:22" x14ac:dyDescent="0.3">
      <c r="A506" t="s">
        <v>540</v>
      </c>
      <c r="B506" s="6" t="s">
        <v>1042</v>
      </c>
      <c r="C506" s="6" t="s">
        <v>1046</v>
      </c>
      <c r="D506" s="3">
        <v>70000</v>
      </c>
      <c r="E506">
        <v>2</v>
      </c>
      <c r="F506" s="6" t="s">
        <v>13</v>
      </c>
      <c r="G506" s="6" t="s">
        <v>14</v>
      </c>
      <c r="H506" s="6" t="s">
        <v>15</v>
      </c>
      <c r="I506">
        <v>1</v>
      </c>
      <c r="J506" t="s">
        <v>22</v>
      </c>
      <c r="K50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06" s="6" t="s">
        <v>32</v>
      </c>
      <c r="M506" s="7">
        <v>38</v>
      </c>
      <c r="N506" t="s">
        <v>15</v>
      </c>
      <c r="O506" s="9" t="str">
        <f>IF(Table1_1[[#This Row],[Purchased Bike]]="yes","1","0")</f>
        <v>1</v>
      </c>
      <c r="P506" s="4" t="str">
        <f>IF(Table1_1[[#This Row],[Income]]&lt;=30000,"Low ",IF(Table1_1[[#This Row],[Income]]&lt;=70000,"Middle","High"))</f>
        <v>Middle</v>
      </c>
      <c r="Q506" s="6" t="str">
        <f>IF(Table1_1[[#This Row],[Age]]&lt;30,"Young",IF(Table1_1[[#This Row],[Age]]&lt;50,"Middle aged","Senior citizen"))</f>
        <v>Middle aged</v>
      </c>
      <c r="R506" s="7">
        <f>IF(Table1_1[[#This Row],[Marriedarital SingletatuSingle]]="M",Table1_1[[#This Row],[Children]]+2,Table1_1[[#This Row],[Children]]+1)</f>
        <v>3</v>
      </c>
      <c r="S506" s="4" t="str">
        <f>IF(Table1_1[[#This Row],[Cars]]=0,"No","Yes")</f>
        <v>Yes</v>
      </c>
      <c r="T506" s="6" t="str">
        <f>IF(AND(Table1_1[[#This Row],[Income]]&gt;50000,Table1_1[[#This Row],[Home Owner]]="Yes"),"High stability","Low stability")</f>
        <v>High stability</v>
      </c>
      <c r="U506" s="3">
        <f>Table1_1[[#This Row],[Income]]/Table1_1[[#This Row],[Family size]]</f>
        <v>23333.333333333332</v>
      </c>
      <c r="V506" s="6" t="str">
        <f>IF(Table1_1[[#This Row],[Occupation]]="Skilled manual","Blue collar",IF(Table1_1[[#This Row],[Occupation]]="Manual","Blue collar","White collar"))</f>
        <v>Blue collar</v>
      </c>
    </row>
    <row r="507" spans="1:22" x14ac:dyDescent="0.3">
      <c r="A507" t="s">
        <v>541</v>
      </c>
      <c r="B507" s="6" t="s">
        <v>1042</v>
      </c>
      <c r="C507" s="6" t="s">
        <v>1046</v>
      </c>
      <c r="D507" s="3">
        <v>100000</v>
      </c>
      <c r="E507">
        <v>4</v>
      </c>
      <c r="F507" s="6" t="s">
        <v>19</v>
      </c>
      <c r="G507" s="6" t="s">
        <v>21</v>
      </c>
      <c r="H507" s="6" t="s">
        <v>15</v>
      </c>
      <c r="I507">
        <v>4</v>
      </c>
      <c r="J507" t="s">
        <v>16</v>
      </c>
      <c r="K50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07" s="6" t="s">
        <v>32</v>
      </c>
      <c r="M507" s="7">
        <v>40</v>
      </c>
      <c r="N507" t="s">
        <v>18</v>
      </c>
      <c r="O507" s="9" t="str">
        <f>IF(Table1_1[[#This Row],[Purchased Bike]]="yes","1","0")</f>
        <v>0</v>
      </c>
      <c r="P507" s="4" t="str">
        <f>IF(Table1_1[[#This Row],[Income]]&lt;=30000,"Low ",IF(Table1_1[[#This Row],[Income]]&lt;=70000,"Middle","High"))</f>
        <v>High</v>
      </c>
      <c r="Q507" s="6" t="str">
        <f>IF(Table1_1[[#This Row],[Age]]&lt;30,"Young",IF(Table1_1[[#This Row],[Age]]&lt;50,"Middle aged","Senior citizen"))</f>
        <v>Middle aged</v>
      </c>
      <c r="R507" s="7">
        <f>IF(Table1_1[[#This Row],[Marriedarital SingletatuSingle]]="M",Table1_1[[#This Row],[Children]]+2,Table1_1[[#This Row],[Children]]+1)</f>
        <v>5</v>
      </c>
      <c r="S507" s="4" t="str">
        <f>IF(Table1_1[[#This Row],[Cars]]=0,"No","Yes")</f>
        <v>Yes</v>
      </c>
      <c r="T507" s="6" t="str">
        <f>IF(AND(Table1_1[[#This Row],[Income]]&gt;50000,Table1_1[[#This Row],[Home Owner]]="Yes"),"High stability","Low stability")</f>
        <v>High stability</v>
      </c>
      <c r="U507" s="3">
        <f>Table1_1[[#This Row],[Income]]/Table1_1[[#This Row],[Family size]]</f>
        <v>20000</v>
      </c>
      <c r="V507" s="6" t="str">
        <f>IF(Table1_1[[#This Row],[Occupation]]="Skilled manual","Blue collar",IF(Table1_1[[#This Row],[Occupation]]="Manual","Blue collar","White collar"))</f>
        <v>White collar</v>
      </c>
    </row>
    <row r="508" spans="1:22" x14ac:dyDescent="0.3">
      <c r="A508" t="s">
        <v>542</v>
      </c>
      <c r="B508" s="6" t="s">
        <v>1042</v>
      </c>
      <c r="C508" s="6" t="s">
        <v>1045</v>
      </c>
      <c r="D508" s="3">
        <v>70000</v>
      </c>
      <c r="E508">
        <v>4</v>
      </c>
      <c r="F508" s="6" t="s">
        <v>13</v>
      </c>
      <c r="G508" s="6" t="s">
        <v>21</v>
      </c>
      <c r="H508" s="6" t="s">
        <v>15</v>
      </c>
      <c r="I508">
        <v>2</v>
      </c>
      <c r="J508" t="s">
        <v>22</v>
      </c>
      <c r="K50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08" s="6" t="s">
        <v>32</v>
      </c>
      <c r="M508" s="7">
        <v>42</v>
      </c>
      <c r="N508" t="s">
        <v>15</v>
      </c>
      <c r="O508" s="9" t="str">
        <f>IF(Table1_1[[#This Row],[Purchased Bike]]="yes","1","0")</f>
        <v>1</v>
      </c>
      <c r="P508" s="4" t="str">
        <f>IF(Table1_1[[#This Row],[Income]]&lt;=30000,"Low ",IF(Table1_1[[#This Row],[Income]]&lt;=70000,"Middle","High"))</f>
        <v>Middle</v>
      </c>
      <c r="Q508" s="6" t="str">
        <f>IF(Table1_1[[#This Row],[Age]]&lt;30,"Young",IF(Table1_1[[#This Row],[Age]]&lt;50,"Middle aged","Senior citizen"))</f>
        <v>Middle aged</v>
      </c>
      <c r="R508" s="7">
        <f>IF(Table1_1[[#This Row],[Marriedarital SingletatuSingle]]="M",Table1_1[[#This Row],[Children]]+2,Table1_1[[#This Row],[Children]]+1)</f>
        <v>5</v>
      </c>
      <c r="S508" s="4" t="str">
        <f>IF(Table1_1[[#This Row],[Cars]]=0,"No","Yes")</f>
        <v>Yes</v>
      </c>
      <c r="T508" s="6" t="str">
        <f>IF(AND(Table1_1[[#This Row],[Income]]&gt;50000,Table1_1[[#This Row],[Home Owner]]="Yes"),"High stability","Low stability")</f>
        <v>High stability</v>
      </c>
      <c r="U508" s="3">
        <f>Table1_1[[#This Row],[Income]]/Table1_1[[#This Row],[Family size]]</f>
        <v>14000</v>
      </c>
      <c r="V508" s="6" t="str">
        <f>IF(Table1_1[[#This Row],[Occupation]]="Skilled manual","Blue collar",IF(Table1_1[[#This Row],[Occupation]]="Manual","Blue collar","White collar"))</f>
        <v>White collar</v>
      </c>
    </row>
    <row r="509" spans="1:22" x14ac:dyDescent="0.3">
      <c r="A509" t="s">
        <v>543</v>
      </c>
      <c r="B509" s="6" t="s">
        <v>1042</v>
      </c>
      <c r="C509" s="6" t="s">
        <v>1045</v>
      </c>
      <c r="D509" s="3">
        <v>40000</v>
      </c>
      <c r="E509">
        <v>1</v>
      </c>
      <c r="F509" s="6" t="s">
        <v>19</v>
      </c>
      <c r="G509" s="6" t="s">
        <v>20</v>
      </c>
      <c r="H509" s="6" t="s">
        <v>15</v>
      </c>
      <c r="I509">
        <v>1</v>
      </c>
      <c r="J509" t="s">
        <v>26</v>
      </c>
      <c r="K50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09" s="6" t="s">
        <v>32</v>
      </c>
      <c r="M509" s="7">
        <v>51</v>
      </c>
      <c r="N509" t="s">
        <v>15</v>
      </c>
      <c r="O509" s="9" t="str">
        <f>IF(Table1_1[[#This Row],[Purchased Bike]]="yes","1","0")</f>
        <v>1</v>
      </c>
      <c r="P509" s="4" t="str">
        <f>IF(Table1_1[[#This Row],[Income]]&lt;=30000,"Low ",IF(Table1_1[[#This Row],[Income]]&lt;=70000,"Middle","High"))</f>
        <v>Middle</v>
      </c>
      <c r="Q509" s="6" t="str">
        <f>IF(Table1_1[[#This Row],[Age]]&lt;30,"Young",IF(Table1_1[[#This Row],[Age]]&lt;50,"Middle aged","Senior citizen"))</f>
        <v>Senior citizen</v>
      </c>
      <c r="R509" s="7">
        <f>IF(Table1_1[[#This Row],[Marriedarital SingletatuSingle]]="M",Table1_1[[#This Row],[Children]]+2,Table1_1[[#This Row],[Children]]+1)</f>
        <v>2</v>
      </c>
      <c r="S509" s="4" t="str">
        <f>IF(Table1_1[[#This Row],[Cars]]=0,"No","Yes")</f>
        <v>Yes</v>
      </c>
      <c r="T509" s="6" t="str">
        <f>IF(AND(Table1_1[[#This Row],[Income]]&gt;50000,Table1_1[[#This Row],[Home Owner]]="Yes"),"High stability","Low stability")</f>
        <v>Low stability</v>
      </c>
      <c r="U509" s="3">
        <f>Table1_1[[#This Row],[Income]]/Table1_1[[#This Row],[Family size]]</f>
        <v>20000</v>
      </c>
      <c r="V509" s="6" t="str">
        <f>IF(Table1_1[[#This Row],[Occupation]]="Skilled manual","Blue collar",IF(Table1_1[[#This Row],[Occupation]]="Manual","Blue collar","White collar"))</f>
        <v>White collar</v>
      </c>
    </row>
    <row r="510" spans="1:22" x14ac:dyDescent="0.3">
      <c r="A510" t="s">
        <v>544</v>
      </c>
      <c r="B510" s="6" t="s">
        <v>1042</v>
      </c>
      <c r="C510" s="6" t="s">
        <v>1046</v>
      </c>
      <c r="D510" s="3">
        <v>60000</v>
      </c>
      <c r="E510">
        <v>0</v>
      </c>
      <c r="F510" s="6" t="s">
        <v>19</v>
      </c>
      <c r="G510" s="6" t="s">
        <v>14</v>
      </c>
      <c r="H510" s="6" t="s">
        <v>18</v>
      </c>
      <c r="I510">
        <v>2</v>
      </c>
      <c r="J510" t="s">
        <v>26</v>
      </c>
      <c r="K5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10" s="6" t="s">
        <v>32</v>
      </c>
      <c r="M510" s="7">
        <v>29</v>
      </c>
      <c r="N510" t="s">
        <v>18</v>
      </c>
      <c r="O510" s="9" t="str">
        <f>IF(Table1_1[[#This Row],[Purchased Bike]]="yes","1","0")</f>
        <v>0</v>
      </c>
      <c r="P510" s="4" t="str">
        <f>IF(Table1_1[[#This Row],[Income]]&lt;=30000,"Low ",IF(Table1_1[[#This Row],[Income]]&lt;=70000,"Middle","High"))</f>
        <v>Middle</v>
      </c>
      <c r="Q510" s="6" t="str">
        <f>IF(Table1_1[[#This Row],[Age]]&lt;30,"Young",IF(Table1_1[[#This Row],[Age]]&lt;50,"Middle aged","Senior citizen"))</f>
        <v>Young</v>
      </c>
      <c r="R510" s="7">
        <f>IF(Table1_1[[#This Row],[Marriedarital SingletatuSingle]]="M",Table1_1[[#This Row],[Children]]+2,Table1_1[[#This Row],[Children]]+1)</f>
        <v>1</v>
      </c>
      <c r="S510" s="4" t="str">
        <f>IF(Table1_1[[#This Row],[Cars]]=0,"No","Yes")</f>
        <v>Yes</v>
      </c>
      <c r="T510" s="6" t="str">
        <f>IF(AND(Table1_1[[#This Row],[Income]]&gt;50000,Table1_1[[#This Row],[Home Owner]]="Yes"),"High stability","Low stability")</f>
        <v>Low stability</v>
      </c>
      <c r="U510" s="3">
        <f>Table1_1[[#This Row],[Income]]/Table1_1[[#This Row],[Family size]]</f>
        <v>60000</v>
      </c>
      <c r="V510" s="6" t="str">
        <f>IF(Table1_1[[#This Row],[Occupation]]="Skilled manual","Blue collar",IF(Table1_1[[#This Row],[Occupation]]="Manual","Blue collar","White collar"))</f>
        <v>Blue collar</v>
      </c>
    </row>
    <row r="511" spans="1:22" x14ac:dyDescent="0.3">
      <c r="A511" t="s">
        <v>545</v>
      </c>
      <c r="B511" s="6" t="s">
        <v>1042</v>
      </c>
      <c r="C511" s="6" t="s">
        <v>1046</v>
      </c>
      <c r="D511" s="3">
        <v>80000</v>
      </c>
      <c r="E511">
        <v>3</v>
      </c>
      <c r="F511" s="6" t="s">
        <v>13</v>
      </c>
      <c r="G511" s="6" t="s">
        <v>21</v>
      </c>
      <c r="H511" s="6" t="s">
        <v>15</v>
      </c>
      <c r="I511">
        <v>1</v>
      </c>
      <c r="J511" t="s">
        <v>22</v>
      </c>
      <c r="K5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11" s="6" t="s">
        <v>32</v>
      </c>
      <c r="M511" s="7">
        <v>48</v>
      </c>
      <c r="N511" t="s">
        <v>15</v>
      </c>
      <c r="O511" s="9" t="str">
        <f>IF(Table1_1[[#This Row],[Purchased Bike]]="yes","1","0")</f>
        <v>1</v>
      </c>
      <c r="P511" s="4" t="str">
        <f>IF(Table1_1[[#This Row],[Income]]&lt;=30000,"Low ",IF(Table1_1[[#This Row],[Income]]&lt;=70000,"Middle","High"))</f>
        <v>High</v>
      </c>
      <c r="Q511" s="6" t="str">
        <f>IF(Table1_1[[#This Row],[Age]]&lt;30,"Young",IF(Table1_1[[#This Row],[Age]]&lt;50,"Middle aged","Senior citizen"))</f>
        <v>Middle aged</v>
      </c>
      <c r="R511" s="7">
        <f>IF(Table1_1[[#This Row],[Marriedarital SingletatuSingle]]="M",Table1_1[[#This Row],[Children]]+2,Table1_1[[#This Row],[Children]]+1)</f>
        <v>4</v>
      </c>
      <c r="S511" s="4" t="str">
        <f>IF(Table1_1[[#This Row],[Cars]]=0,"No","Yes")</f>
        <v>Yes</v>
      </c>
      <c r="T511" s="6" t="str">
        <f>IF(AND(Table1_1[[#This Row],[Income]]&gt;50000,Table1_1[[#This Row],[Home Owner]]="Yes"),"High stability","Low stability")</f>
        <v>High stability</v>
      </c>
      <c r="U511" s="3">
        <f>Table1_1[[#This Row],[Income]]/Table1_1[[#This Row],[Family size]]</f>
        <v>20000</v>
      </c>
      <c r="V511" s="6" t="str">
        <f>IF(Table1_1[[#This Row],[Occupation]]="Skilled manual","Blue collar",IF(Table1_1[[#This Row],[Occupation]]="Manual","Blue collar","White collar"))</f>
        <v>White collar</v>
      </c>
    </row>
    <row r="512" spans="1:22" x14ac:dyDescent="0.3">
      <c r="A512" t="s">
        <v>546</v>
      </c>
      <c r="B512" s="6" t="s">
        <v>1044</v>
      </c>
      <c r="C512" s="6" t="s">
        <v>1046</v>
      </c>
      <c r="D512" s="3">
        <v>70000</v>
      </c>
      <c r="E512">
        <v>0</v>
      </c>
      <c r="F512" s="6" t="s">
        <v>13</v>
      </c>
      <c r="G512" s="6" t="s">
        <v>21</v>
      </c>
      <c r="H512" s="6" t="s">
        <v>18</v>
      </c>
      <c r="I512">
        <v>1</v>
      </c>
      <c r="J512" t="s">
        <v>22</v>
      </c>
      <c r="K5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12" s="6" t="s">
        <v>32</v>
      </c>
      <c r="M512" s="7">
        <v>37</v>
      </c>
      <c r="N512" t="s">
        <v>15</v>
      </c>
      <c r="O512" s="9" t="str">
        <f>IF(Table1_1[[#This Row],[Purchased Bike]]="yes","1","0")</f>
        <v>1</v>
      </c>
      <c r="P512" s="4" t="str">
        <f>IF(Table1_1[[#This Row],[Income]]&lt;=30000,"Low ",IF(Table1_1[[#This Row],[Income]]&lt;=70000,"Middle","High"))</f>
        <v>Middle</v>
      </c>
      <c r="Q512" s="6" t="str">
        <f>IF(Table1_1[[#This Row],[Age]]&lt;30,"Young",IF(Table1_1[[#This Row],[Age]]&lt;50,"Middle aged","Senior citizen"))</f>
        <v>Middle aged</v>
      </c>
      <c r="R512" s="7">
        <f>IF(Table1_1[[#This Row],[Marriedarital SingletatuSingle]]="M",Table1_1[[#This Row],[Children]]+2,Table1_1[[#This Row],[Children]]+1)</f>
        <v>1</v>
      </c>
      <c r="S512" s="4" t="str">
        <f>IF(Table1_1[[#This Row],[Cars]]=0,"No","Yes")</f>
        <v>Yes</v>
      </c>
      <c r="T512" s="6" t="str">
        <f>IF(AND(Table1_1[[#This Row],[Income]]&gt;50000,Table1_1[[#This Row],[Home Owner]]="Yes"),"High stability","Low stability")</f>
        <v>Low stability</v>
      </c>
      <c r="U512" s="3">
        <f>Table1_1[[#This Row],[Income]]/Table1_1[[#This Row],[Family size]]</f>
        <v>70000</v>
      </c>
      <c r="V512" s="6" t="str">
        <f>IF(Table1_1[[#This Row],[Occupation]]="Skilled manual","Blue collar",IF(Table1_1[[#This Row],[Occupation]]="Manual","Blue collar","White collar"))</f>
        <v>White collar</v>
      </c>
    </row>
    <row r="513" spans="1:22" x14ac:dyDescent="0.3">
      <c r="A513" t="s">
        <v>547</v>
      </c>
      <c r="B513" s="6" t="s">
        <v>1044</v>
      </c>
      <c r="C513" s="6" t="s">
        <v>1046</v>
      </c>
      <c r="D513" s="3">
        <v>80000</v>
      </c>
      <c r="E513">
        <v>4</v>
      </c>
      <c r="F513" s="6" t="s">
        <v>13</v>
      </c>
      <c r="G513" s="6" t="s">
        <v>28</v>
      </c>
      <c r="H513" s="6" t="s">
        <v>15</v>
      </c>
      <c r="I513">
        <v>0</v>
      </c>
      <c r="J513" t="s">
        <v>23</v>
      </c>
      <c r="K5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13" s="6" t="s">
        <v>32</v>
      </c>
      <c r="M513" s="7">
        <v>66</v>
      </c>
      <c r="N513" t="s">
        <v>15</v>
      </c>
      <c r="O513" s="9" t="str">
        <f>IF(Table1_1[[#This Row],[Purchased Bike]]="yes","1","0")</f>
        <v>1</v>
      </c>
      <c r="P513" s="4" t="str">
        <f>IF(Table1_1[[#This Row],[Income]]&lt;=30000,"Low ",IF(Table1_1[[#This Row],[Income]]&lt;=70000,"Middle","High"))</f>
        <v>High</v>
      </c>
      <c r="Q513" s="6" t="str">
        <f>IF(Table1_1[[#This Row],[Age]]&lt;30,"Young",IF(Table1_1[[#This Row],[Age]]&lt;50,"Middle aged","Senior citizen"))</f>
        <v>Senior citizen</v>
      </c>
      <c r="R513" s="7">
        <f>IF(Table1_1[[#This Row],[Marriedarital SingletatuSingle]]="M",Table1_1[[#This Row],[Children]]+2,Table1_1[[#This Row],[Children]]+1)</f>
        <v>5</v>
      </c>
      <c r="S513" s="4" t="str">
        <f>IF(Table1_1[[#This Row],[Cars]]=0,"No","Yes")</f>
        <v>No</v>
      </c>
      <c r="T513" s="6" t="str">
        <f>IF(AND(Table1_1[[#This Row],[Income]]&gt;50000,Table1_1[[#This Row],[Home Owner]]="Yes"),"High stability","Low stability")</f>
        <v>High stability</v>
      </c>
      <c r="U513" s="3">
        <f>Table1_1[[#This Row],[Income]]/Table1_1[[#This Row],[Family size]]</f>
        <v>16000</v>
      </c>
      <c r="V513" s="6" t="str">
        <f>IF(Table1_1[[#This Row],[Occupation]]="Skilled manual","Blue collar",IF(Table1_1[[#This Row],[Occupation]]="Manual","Blue collar","White collar"))</f>
        <v>White collar</v>
      </c>
    </row>
    <row r="514" spans="1:22" x14ac:dyDescent="0.3">
      <c r="A514" t="s">
        <v>548</v>
      </c>
      <c r="B514" s="6" t="s">
        <v>1042</v>
      </c>
      <c r="C514" s="6" t="s">
        <v>1045</v>
      </c>
      <c r="D514" s="3">
        <v>60000</v>
      </c>
      <c r="E514">
        <v>1</v>
      </c>
      <c r="F514" s="6" t="s">
        <v>19</v>
      </c>
      <c r="G514" s="6" t="s">
        <v>14</v>
      </c>
      <c r="H514" s="6" t="s">
        <v>15</v>
      </c>
      <c r="I514">
        <v>1</v>
      </c>
      <c r="J514" t="s">
        <v>16</v>
      </c>
      <c r="K5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14" s="6" t="s">
        <v>32</v>
      </c>
      <c r="M514" s="7">
        <v>45</v>
      </c>
      <c r="N514" t="s">
        <v>15</v>
      </c>
      <c r="O514" s="9" t="str">
        <f>IF(Table1_1[[#This Row],[Purchased Bike]]="yes","1","0")</f>
        <v>1</v>
      </c>
      <c r="P514" s="4" t="str">
        <f>IF(Table1_1[[#This Row],[Income]]&lt;=30000,"Low ",IF(Table1_1[[#This Row],[Income]]&lt;=70000,"Middle","High"))</f>
        <v>Middle</v>
      </c>
      <c r="Q514" s="6" t="str">
        <f>IF(Table1_1[[#This Row],[Age]]&lt;30,"Young",IF(Table1_1[[#This Row],[Age]]&lt;50,"Middle aged","Senior citizen"))</f>
        <v>Middle aged</v>
      </c>
      <c r="R514" s="7">
        <f>IF(Table1_1[[#This Row],[Marriedarital SingletatuSingle]]="M",Table1_1[[#This Row],[Children]]+2,Table1_1[[#This Row],[Children]]+1)</f>
        <v>2</v>
      </c>
      <c r="S514" s="4" t="str">
        <f>IF(Table1_1[[#This Row],[Cars]]=0,"No","Yes")</f>
        <v>Yes</v>
      </c>
      <c r="T514" s="6" t="str">
        <f>IF(AND(Table1_1[[#This Row],[Income]]&gt;50000,Table1_1[[#This Row],[Home Owner]]="Yes"),"High stability","Low stability")</f>
        <v>High stability</v>
      </c>
      <c r="U514" s="3">
        <f>Table1_1[[#This Row],[Income]]/Table1_1[[#This Row],[Family size]]</f>
        <v>30000</v>
      </c>
      <c r="V514" s="6" t="str">
        <f>IF(Table1_1[[#This Row],[Occupation]]="Skilled manual","Blue collar",IF(Table1_1[[#This Row],[Occupation]]="Manual","Blue collar","White collar"))</f>
        <v>Blue collar</v>
      </c>
    </row>
    <row r="515" spans="1:22" x14ac:dyDescent="0.3">
      <c r="A515" t="s">
        <v>549</v>
      </c>
      <c r="B515" s="6" t="s">
        <v>1044</v>
      </c>
      <c r="C515" s="6" t="s">
        <v>1045</v>
      </c>
      <c r="D515" s="3">
        <v>60000</v>
      </c>
      <c r="E515">
        <v>4</v>
      </c>
      <c r="F515" s="6" t="s">
        <v>31</v>
      </c>
      <c r="G515" s="6" t="s">
        <v>28</v>
      </c>
      <c r="H515" s="6" t="s">
        <v>15</v>
      </c>
      <c r="I515">
        <v>2</v>
      </c>
      <c r="J515" t="s">
        <v>30</v>
      </c>
      <c r="K5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15" s="6" t="s">
        <v>32</v>
      </c>
      <c r="M515" s="7">
        <v>61</v>
      </c>
      <c r="N515" t="s">
        <v>15</v>
      </c>
      <c r="O515" s="9" t="str">
        <f>IF(Table1_1[[#This Row],[Purchased Bike]]="yes","1","0")</f>
        <v>1</v>
      </c>
      <c r="P515" s="4" t="str">
        <f>IF(Table1_1[[#This Row],[Income]]&lt;=30000,"Low ",IF(Table1_1[[#This Row],[Income]]&lt;=70000,"Middle","High"))</f>
        <v>Middle</v>
      </c>
      <c r="Q515" s="6" t="str">
        <f>IF(Table1_1[[#This Row],[Age]]&lt;30,"Young",IF(Table1_1[[#This Row],[Age]]&lt;50,"Middle aged","Senior citizen"))</f>
        <v>Senior citizen</v>
      </c>
      <c r="R515" s="7">
        <f>IF(Table1_1[[#This Row],[Marriedarital SingletatuSingle]]="M",Table1_1[[#This Row],[Children]]+2,Table1_1[[#This Row],[Children]]+1)</f>
        <v>5</v>
      </c>
      <c r="S515" s="4" t="str">
        <f>IF(Table1_1[[#This Row],[Cars]]=0,"No","Yes")</f>
        <v>Yes</v>
      </c>
      <c r="T515" s="6" t="str">
        <f>IF(AND(Table1_1[[#This Row],[Income]]&gt;50000,Table1_1[[#This Row],[Home Owner]]="Yes"),"High stability","Low stability")</f>
        <v>High stability</v>
      </c>
      <c r="U515" s="3">
        <f>Table1_1[[#This Row],[Income]]/Table1_1[[#This Row],[Family size]]</f>
        <v>12000</v>
      </c>
      <c r="V515" s="6" t="str">
        <f>IF(Table1_1[[#This Row],[Occupation]]="Skilled manual","Blue collar",IF(Table1_1[[#This Row],[Occupation]]="Manual","Blue collar","White collar"))</f>
        <v>White collar</v>
      </c>
    </row>
    <row r="516" spans="1:22" x14ac:dyDescent="0.3">
      <c r="A516" t="s">
        <v>550</v>
      </c>
      <c r="B516" s="6" t="s">
        <v>1044</v>
      </c>
      <c r="C516" s="6" t="s">
        <v>1046</v>
      </c>
      <c r="D516" s="3">
        <v>40000</v>
      </c>
      <c r="E516">
        <v>0</v>
      </c>
      <c r="F516" s="6" t="s">
        <v>13</v>
      </c>
      <c r="G516" s="6" t="s">
        <v>21</v>
      </c>
      <c r="H516" s="6" t="s">
        <v>18</v>
      </c>
      <c r="I516">
        <v>1</v>
      </c>
      <c r="J516" t="s">
        <v>22</v>
      </c>
      <c r="K5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16" s="6" t="s">
        <v>32</v>
      </c>
      <c r="M516" s="7">
        <v>45</v>
      </c>
      <c r="N516" t="s">
        <v>18</v>
      </c>
      <c r="O516" s="9" t="str">
        <f>IF(Table1_1[[#This Row],[Purchased Bike]]="yes","1","0")</f>
        <v>0</v>
      </c>
      <c r="P516" s="4" t="str">
        <f>IF(Table1_1[[#This Row],[Income]]&lt;=30000,"Low ",IF(Table1_1[[#This Row],[Income]]&lt;=70000,"Middle","High"))</f>
        <v>Middle</v>
      </c>
      <c r="Q516" s="6" t="str">
        <f>IF(Table1_1[[#This Row],[Age]]&lt;30,"Young",IF(Table1_1[[#This Row],[Age]]&lt;50,"Middle aged","Senior citizen"))</f>
        <v>Middle aged</v>
      </c>
      <c r="R516" s="7">
        <f>IF(Table1_1[[#This Row],[Marriedarital SingletatuSingle]]="M",Table1_1[[#This Row],[Children]]+2,Table1_1[[#This Row],[Children]]+1)</f>
        <v>1</v>
      </c>
      <c r="S516" s="4" t="str">
        <f>IF(Table1_1[[#This Row],[Cars]]=0,"No","Yes")</f>
        <v>Yes</v>
      </c>
      <c r="T516" s="6" t="str">
        <f>IF(AND(Table1_1[[#This Row],[Income]]&gt;50000,Table1_1[[#This Row],[Home Owner]]="Yes"),"High stability","Low stability")</f>
        <v>Low stability</v>
      </c>
      <c r="U516" s="3">
        <f>Table1_1[[#This Row],[Income]]/Table1_1[[#This Row],[Family size]]</f>
        <v>40000</v>
      </c>
      <c r="V516" s="6" t="str">
        <f>IF(Table1_1[[#This Row],[Occupation]]="Skilled manual","Blue collar",IF(Table1_1[[#This Row],[Occupation]]="Manual","Blue collar","White collar"))</f>
        <v>White collar</v>
      </c>
    </row>
    <row r="517" spans="1:22" x14ac:dyDescent="0.3">
      <c r="A517" t="s">
        <v>551</v>
      </c>
      <c r="B517" s="6" t="s">
        <v>1042</v>
      </c>
      <c r="C517" s="6" t="s">
        <v>1045</v>
      </c>
      <c r="D517" s="3">
        <v>70000</v>
      </c>
      <c r="E517">
        <v>5</v>
      </c>
      <c r="F517" s="6" t="s">
        <v>13</v>
      </c>
      <c r="G517" s="6" t="s">
        <v>21</v>
      </c>
      <c r="H517" s="6" t="s">
        <v>15</v>
      </c>
      <c r="I517">
        <v>2</v>
      </c>
      <c r="J517" t="s">
        <v>22</v>
      </c>
      <c r="K5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17" s="6" t="s">
        <v>32</v>
      </c>
      <c r="M517" s="7">
        <v>47</v>
      </c>
      <c r="N517" t="s">
        <v>18</v>
      </c>
      <c r="O517" s="9" t="str">
        <f>IF(Table1_1[[#This Row],[Purchased Bike]]="yes","1","0")</f>
        <v>0</v>
      </c>
      <c r="P517" s="4" t="str">
        <f>IF(Table1_1[[#This Row],[Income]]&lt;=30000,"Low ",IF(Table1_1[[#This Row],[Income]]&lt;=70000,"Middle","High"))</f>
        <v>Middle</v>
      </c>
      <c r="Q517" s="6" t="str">
        <f>IF(Table1_1[[#This Row],[Age]]&lt;30,"Young",IF(Table1_1[[#This Row],[Age]]&lt;50,"Middle aged","Senior citizen"))</f>
        <v>Middle aged</v>
      </c>
      <c r="R517" s="7">
        <f>IF(Table1_1[[#This Row],[Marriedarital SingletatuSingle]]="M",Table1_1[[#This Row],[Children]]+2,Table1_1[[#This Row],[Children]]+1)</f>
        <v>6</v>
      </c>
      <c r="S517" s="4" t="str">
        <f>IF(Table1_1[[#This Row],[Cars]]=0,"No","Yes")</f>
        <v>Yes</v>
      </c>
      <c r="T517" s="6" t="str">
        <f>IF(AND(Table1_1[[#This Row],[Income]]&gt;50000,Table1_1[[#This Row],[Home Owner]]="Yes"),"High stability","Low stability")</f>
        <v>High stability</v>
      </c>
      <c r="U517" s="3">
        <f>Table1_1[[#This Row],[Income]]/Table1_1[[#This Row],[Family size]]</f>
        <v>11666.666666666666</v>
      </c>
      <c r="V517" s="6" t="str">
        <f>IF(Table1_1[[#This Row],[Occupation]]="Skilled manual","Blue collar",IF(Table1_1[[#This Row],[Occupation]]="Manual","Blue collar","White collar"))</f>
        <v>White collar</v>
      </c>
    </row>
    <row r="518" spans="1:22" x14ac:dyDescent="0.3">
      <c r="A518" t="s">
        <v>552</v>
      </c>
      <c r="B518" s="6" t="s">
        <v>1042</v>
      </c>
      <c r="C518" s="6" t="s">
        <v>1045</v>
      </c>
      <c r="D518" s="3">
        <v>60000</v>
      </c>
      <c r="E518">
        <v>2</v>
      </c>
      <c r="F518" s="6" t="s">
        <v>27</v>
      </c>
      <c r="G518" s="6" t="s">
        <v>21</v>
      </c>
      <c r="H518" s="6" t="s">
        <v>15</v>
      </c>
      <c r="I518">
        <v>2</v>
      </c>
      <c r="J518" t="s">
        <v>23</v>
      </c>
      <c r="K5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18" s="6" t="s">
        <v>32</v>
      </c>
      <c r="M518" s="7">
        <v>49</v>
      </c>
      <c r="N518" t="s">
        <v>18</v>
      </c>
      <c r="O518" s="9" t="str">
        <f>IF(Table1_1[[#This Row],[Purchased Bike]]="yes","1","0")</f>
        <v>0</v>
      </c>
      <c r="P518" s="4" t="str">
        <f>IF(Table1_1[[#This Row],[Income]]&lt;=30000,"Low ",IF(Table1_1[[#This Row],[Income]]&lt;=70000,"Middle","High"))</f>
        <v>Middle</v>
      </c>
      <c r="Q518" s="6" t="str">
        <f>IF(Table1_1[[#This Row],[Age]]&lt;30,"Young",IF(Table1_1[[#This Row],[Age]]&lt;50,"Middle aged","Senior citizen"))</f>
        <v>Middle aged</v>
      </c>
      <c r="R518" s="7">
        <f>IF(Table1_1[[#This Row],[Marriedarital SingletatuSingle]]="M",Table1_1[[#This Row],[Children]]+2,Table1_1[[#This Row],[Children]]+1)</f>
        <v>3</v>
      </c>
      <c r="S518" s="4" t="str">
        <f>IF(Table1_1[[#This Row],[Cars]]=0,"No","Yes")</f>
        <v>Yes</v>
      </c>
      <c r="T518" s="6" t="str">
        <f>IF(AND(Table1_1[[#This Row],[Income]]&gt;50000,Table1_1[[#This Row],[Home Owner]]="Yes"),"High stability","Low stability")</f>
        <v>High stability</v>
      </c>
      <c r="U518" s="3">
        <f>Table1_1[[#This Row],[Income]]/Table1_1[[#This Row],[Family size]]</f>
        <v>20000</v>
      </c>
      <c r="V518" s="6" t="str">
        <f>IF(Table1_1[[#This Row],[Occupation]]="Skilled manual","Blue collar",IF(Table1_1[[#This Row],[Occupation]]="Manual","Blue collar","White collar"))</f>
        <v>White collar</v>
      </c>
    </row>
    <row r="519" spans="1:22" x14ac:dyDescent="0.3">
      <c r="A519" t="s">
        <v>553</v>
      </c>
      <c r="B519" s="6" t="s">
        <v>1044</v>
      </c>
      <c r="C519" s="6" t="s">
        <v>1046</v>
      </c>
      <c r="D519" s="3">
        <v>60000</v>
      </c>
      <c r="E519">
        <v>3</v>
      </c>
      <c r="F519" s="6" t="s">
        <v>13</v>
      </c>
      <c r="G519" s="6" t="s">
        <v>21</v>
      </c>
      <c r="H519" s="6" t="s">
        <v>18</v>
      </c>
      <c r="I519">
        <v>0</v>
      </c>
      <c r="J519" t="s">
        <v>16</v>
      </c>
      <c r="K5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19" s="6" t="s">
        <v>32</v>
      </c>
      <c r="M519" s="7">
        <v>47</v>
      </c>
      <c r="N519" t="s">
        <v>15</v>
      </c>
      <c r="O519" s="9" t="str">
        <f>IF(Table1_1[[#This Row],[Purchased Bike]]="yes","1","0")</f>
        <v>1</v>
      </c>
      <c r="P519" s="4" t="str">
        <f>IF(Table1_1[[#This Row],[Income]]&lt;=30000,"Low ",IF(Table1_1[[#This Row],[Income]]&lt;=70000,"Middle","High"))</f>
        <v>Middle</v>
      </c>
      <c r="Q519" s="6" t="str">
        <f>IF(Table1_1[[#This Row],[Age]]&lt;30,"Young",IF(Table1_1[[#This Row],[Age]]&lt;50,"Middle aged","Senior citizen"))</f>
        <v>Middle aged</v>
      </c>
      <c r="R519" s="7">
        <f>IF(Table1_1[[#This Row],[Marriedarital SingletatuSingle]]="M",Table1_1[[#This Row],[Children]]+2,Table1_1[[#This Row],[Children]]+1)</f>
        <v>4</v>
      </c>
      <c r="S519" s="4" t="str">
        <f>IF(Table1_1[[#This Row],[Cars]]=0,"No","Yes")</f>
        <v>No</v>
      </c>
      <c r="T519" s="6" t="str">
        <f>IF(AND(Table1_1[[#This Row],[Income]]&gt;50000,Table1_1[[#This Row],[Home Owner]]="Yes"),"High stability","Low stability")</f>
        <v>Low stability</v>
      </c>
      <c r="U519" s="3">
        <f>Table1_1[[#This Row],[Income]]/Table1_1[[#This Row],[Family size]]</f>
        <v>15000</v>
      </c>
      <c r="V519" s="6" t="str">
        <f>IF(Table1_1[[#This Row],[Occupation]]="Skilled manual","Blue collar",IF(Table1_1[[#This Row],[Occupation]]="Manual","Blue collar","White collar"))</f>
        <v>White collar</v>
      </c>
    </row>
    <row r="520" spans="1:22" x14ac:dyDescent="0.3">
      <c r="A520" t="s">
        <v>554</v>
      </c>
      <c r="B520" s="6" t="s">
        <v>1042</v>
      </c>
      <c r="C520" s="6" t="s">
        <v>1045</v>
      </c>
      <c r="D520" s="3">
        <v>80000</v>
      </c>
      <c r="E520">
        <v>0</v>
      </c>
      <c r="F520" s="6" t="s">
        <v>13</v>
      </c>
      <c r="G520" s="6" t="s">
        <v>28</v>
      </c>
      <c r="H520" s="6" t="s">
        <v>15</v>
      </c>
      <c r="I520">
        <v>1</v>
      </c>
      <c r="J520" t="s">
        <v>26</v>
      </c>
      <c r="K5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20" s="6" t="s">
        <v>32</v>
      </c>
      <c r="M520" s="7">
        <v>34</v>
      </c>
      <c r="N520" t="s">
        <v>15</v>
      </c>
      <c r="O520" s="9" t="str">
        <f>IF(Table1_1[[#This Row],[Purchased Bike]]="yes","1","0")</f>
        <v>1</v>
      </c>
      <c r="P520" s="4" t="str">
        <f>IF(Table1_1[[#This Row],[Income]]&lt;=30000,"Low ",IF(Table1_1[[#This Row],[Income]]&lt;=70000,"Middle","High"))</f>
        <v>High</v>
      </c>
      <c r="Q520" s="6" t="str">
        <f>IF(Table1_1[[#This Row],[Age]]&lt;30,"Young",IF(Table1_1[[#This Row],[Age]]&lt;50,"Middle aged","Senior citizen"))</f>
        <v>Middle aged</v>
      </c>
      <c r="R520" s="7">
        <f>IF(Table1_1[[#This Row],[Marriedarital SingletatuSingle]]="M",Table1_1[[#This Row],[Children]]+2,Table1_1[[#This Row],[Children]]+1)</f>
        <v>1</v>
      </c>
      <c r="S520" s="4" t="str">
        <f>IF(Table1_1[[#This Row],[Cars]]=0,"No","Yes")</f>
        <v>Yes</v>
      </c>
      <c r="T520" s="6" t="str">
        <f>IF(AND(Table1_1[[#This Row],[Income]]&gt;50000,Table1_1[[#This Row],[Home Owner]]="Yes"),"High stability","Low stability")</f>
        <v>High stability</v>
      </c>
      <c r="U520" s="3">
        <f>Table1_1[[#This Row],[Income]]/Table1_1[[#This Row],[Family size]]</f>
        <v>80000</v>
      </c>
      <c r="V520" s="6" t="str">
        <f>IF(Table1_1[[#This Row],[Occupation]]="Skilled manual","Blue collar",IF(Table1_1[[#This Row],[Occupation]]="Manual","Blue collar","White collar"))</f>
        <v>White collar</v>
      </c>
    </row>
    <row r="521" spans="1:22" x14ac:dyDescent="0.3">
      <c r="A521" t="s">
        <v>555</v>
      </c>
      <c r="B521" s="6" t="s">
        <v>1042</v>
      </c>
      <c r="C521" s="6" t="s">
        <v>1046</v>
      </c>
      <c r="D521" s="3">
        <v>80000</v>
      </c>
      <c r="E521">
        <v>5</v>
      </c>
      <c r="F521" s="6" t="s">
        <v>13</v>
      </c>
      <c r="G521" s="6" t="s">
        <v>28</v>
      </c>
      <c r="H521" s="6" t="s">
        <v>15</v>
      </c>
      <c r="I521">
        <v>2</v>
      </c>
      <c r="J521" t="s">
        <v>26</v>
      </c>
      <c r="K5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21" s="6" t="s">
        <v>32</v>
      </c>
      <c r="M521" s="7">
        <v>64</v>
      </c>
      <c r="N521" t="s">
        <v>18</v>
      </c>
      <c r="O521" s="9" t="str">
        <f>IF(Table1_1[[#This Row],[Purchased Bike]]="yes","1","0")</f>
        <v>0</v>
      </c>
      <c r="P521" s="4" t="str">
        <f>IF(Table1_1[[#This Row],[Income]]&lt;=30000,"Low ",IF(Table1_1[[#This Row],[Income]]&lt;=70000,"Middle","High"))</f>
        <v>High</v>
      </c>
      <c r="Q521" s="6" t="str">
        <f>IF(Table1_1[[#This Row],[Age]]&lt;30,"Young",IF(Table1_1[[#This Row],[Age]]&lt;50,"Middle aged","Senior citizen"))</f>
        <v>Senior citizen</v>
      </c>
      <c r="R521" s="7">
        <f>IF(Table1_1[[#This Row],[Marriedarital SingletatuSingle]]="M",Table1_1[[#This Row],[Children]]+2,Table1_1[[#This Row],[Children]]+1)</f>
        <v>6</v>
      </c>
      <c r="S521" s="4" t="str">
        <f>IF(Table1_1[[#This Row],[Cars]]=0,"No","Yes")</f>
        <v>Yes</v>
      </c>
      <c r="T521" s="6" t="str">
        <f>IF(AND(Table1_1[[#This Row],[Income]]&gt;50000,Table1_1[[#This Row],[Home Owner]]="Yes"),"High stability","Low stability")</f>
        <v>High stability</v>
      </c>
      <c r="U521" s="3">
        <f>Table1_1[[#This Row],[Income]]/Table1_1[[#This Row],[Family size]]</f>
        <v>13333.333333333334</v>
      </c>
      <c r="V521" s="6" t="str">
        <f>IF(Table1_1[[#This Row],[Occupation]]="Skilled manual","Blue collar",IF(Table1_1[[#This Row],[Occupation]]="Manual","Blue collar","White collar"))</f>
        <v>White collar</v>
      </c>
    </row>
    <row r="522" spans="1:22" x14ac:dyDescent="0.3">
      <c r="A522" t="s">
        <v>556</v>
      </c>
      <c r="B522" s="6" t="s">
        <v>1044</v>
      </c>
      <c r="C522" s="6" t="s">
        <v>1046</v>
      </c>
      <c r="D522" s="3">
        <v>100000</v>
      </c>
      <c r="E522">
        <v>1</v>
      </c>
      <c r="F522" s="6" t="s">
        <v>19</v>
      </c>
      <c r="G522" s="6" t="s">
        <v>21</v>
      </c>
      <c r="H522" s="6" t="s">
        <v>18</v>
      </c>
      <c r="I522">
        <v>3</v>
      </c>
      <c r="J522" t="s">
        <v>26</v>
      </c>
      <c r="K5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22" s="6" t="s">
        <v>32</v>
      </c>
      <c r="M522" s="7">
        <v>44</v>
      </c>
      <c r="N522" t="s">
        <v>18</v>
      </c>
      <c r="O522" s="9" t="str">
        <f>IF(Table1_1[[#This Row],[Purchased Bike]]="yes","1","0")</f>
        <v>0</v>
      </c>
      <c r="P522" s="4" t="str">
        <f>IF(Table1_1[[#This Row],[Income]]&lt;=30000,"Low ",IF(Table1_1[[#This Row],[Income]]&lt;=70000,"Middle","High"))</f>
        <v>High</v>
      </c>
      <c r="Q522" s="6" t="str">
        <f>IF(Table1_1[[#This Row],[Age]]&lt;30,"Young",IF(Table1_1[[#This Row],[Age]]&lt;50,"Middle aged","Senior citizen"))</f>
        <v>Middle aged</v>
      </c>
      <c r="R522" s="7">
        <f>IF(Table1_1[[#This Row],[Marriedarital SingletatuSingle]]="M",Table1_1[[#This Row],[Children]]+2,Table1_1[[#This Row],[Children]]+1)</f>
        <v>2</v>
      </c>
      <c r="S522" s="4" t="str">
        <f>IF(Table1_1[[#This Row],[Cars]]=0,"No","Yes")</f>
        <v>Yes</v>
      </c>
      <c r="T522" s="6" t="str">
        <f>IF(AND(Table1_1[[#This Row],[Income]]&gt;50000,Table1_1[[#This Row],[Home Owner]]="Yes"),"High stability","Low stability")</f>
        <v>Low stability</v>
      </c>
      <c r="U522" s="3">
        <f>Table1_1[[#This Row],[Income]]/Table1_1[[#This Row],[Family size]]</f>
        <v>50000</v>
      </c>
      <c r="V522" s="6" t="str">
        <f>IF(Table1_1[[#This Row],[Occupation]]="Skilled manual","Blue collar",IF(Table1_1[[#This Row],[Occupation]]="Manual","Blue collar","White collar"))</f>
        <v>White collar</v>
      </c>
    </row>
    <row r="523" spans="1:22" x14ac:dyDescent="0.3">
      <c r="A523" t="s">
        <v>557</v>
      </c>
      <c r="B523" s="6" t="s">
        <v>1044</v>
      </c>
      <c r="C523" s="6" t="s">
        <v>1046</v>
      </c>
      <c r="D523" s="3">
        <v>40000</v>
      </c>
      <c r="E523">
        <v>4</v>
      </c>
      <c r="F523" s="6" t="s">
        <v>27</v>
      </c>
      <c r="G523" s="6" t="s">
        <v>21</v>
      </c>
      <c r="H523" s="6" t="s">
        <v>15</v>
      </c>
      <c r="I523">
        <v>2</v>
      </c>
      <c r="J523" t="s">
        <v>30</v>
      </c>
      <c r="K5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23" s="6" t="s">
        <v>32</v>
      </c>
      <c r="M523" s="7">
        <v>62</v>
      </c>
      <c r="N523" t="s">
        <v>15</v>
      </c>
      <c r="O523" s="9" t="str">
        <f>IF(Table1_1[[#This Row],[Purchased Bike]]="yes","1","0")</f>
        <v>1</v>
      </c>
      <c r="P523" s="4" t="str">
        <f>IF(Table1_1[[#This Row],[Income]]&lt;=30000,"Low ",IF(Table1_1[[#This Row],[Income]]&lt;=70000,"Middle","High"))</f>
        <v>Middle</v>
      </c>
      <c r="Q523" s="6" t="str">
        <f>IF(Table1_1[[#This Row],[Age]]&lt;30,"Young",IF(Table1_1[[#This Row],[Age]]&lt;50,"Middle aged","Senior citizen"))</f>
        <v>Senior citizen</v>
      </c>
      <c r="R523" s="7">
        <f>IF(Table1_1[[#This Row],[Marriedarital SingletatuSingle]]="M",Table1_1[[#This Row],[Children]]+2,Table1_1[[#This Row],[Children]]+1)</f>
        <v>5</v>
      </c>
      <c r="S523" s="4" t="str">
        <f>IF(Table1_1[[#This Row],[Cars]]=0,"No","Yes")</f>
        <v>Yes</v>
      </c>
      <c r="T523" s="6" t="str">
        <f>IF(AND(Table1_1[[#This Row],[Income]]&gt;50000,Table1_1[[#This Row],[Home Owner]]="Yes"),"High stability","Low stability")</f>
        <v>Low stability</v>
      </c>
      <c r="U523" s="3">
        <f>Table1_1[[#This Row],[Income]]/Table1_1[[#This Row],[Family size]]</f>
        <v>8000</v>
      </c>
      <c r="V523" s="6" t="str">
        <f>IF(Table1_1[[#This Row],[Occupation]]="Skilled manual","Blue collar",IF(Table1_1[[#This Row],[Occupation]]="Manual","Blue collar","White collar"))</f>
        <v>White collar</v>
      </c>
    </row>
    <row r="524" spans="1:22" x14ac:dyDescent="0.3">
      <c r="A524" t="s">
        <v>558</v>
      </c>
      <c r="B524" s="6" t="s">
        <v>1044</v>
      </c>
      <c r="C524" s="6" t="s">
        <v>1046</v>
      </c>
      <c r="D524" s="3">
        <v>60000</v>
      </c>
      <c r="E524">
        <v>3</v>
      </c>
      <c r="F524" s="6" t="s">
        <v>13</v>
      </c>
      <c r="G524" s="6" t="s">
        <v>21</v>
      </c>
      <c r="H524" s="6" t="s">
        <v>18</v>
      </c>
      <c r="I524">
        <v>1</v>
      </c>
      <c r="J524" t="s">
        <v>16</v>
      </c>
      <c r="K5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24" s="6" t="s">
        <v>32</v>
      </c>
      <c r="M524" s="7">
        <v>47</v>
      </c>
      <c r="N524" t="s">
        <v>15</v>
      </c>
      <c r="O524" s="9" t="str">
        <f>IF(Table1_1[[#This Row],[Purchased Bike]]="yes","1","0")</f>
        <v>1</v>
      </c>
      <c r="P524" s="4" t="str">
        <f>IF(Table1_1[[#This Row],[Income]]&lt;=30000,"Low ",IF(Table1_1[[#This Row],[Income]]&lt;=70000,"Middle","High"))</f>
        <v>Middle</v>
      </c>
      <c r="Q524" s="6" t="str">
        <f>IF(Table1_1[[#This Row],[Age]]&lt;30,"Young",IF(Table1_1[[#This Row],[Age]]&lt;50,"Middle aged","Senior citizen"))</f>
        <v>Middle aged</v>
      </c>
      <c r="R524" s="7">
        <f>IF(Table1_1[[#This Row],[Marriedarital SingletatuSingle]]="M",Table1_1[[#This Row],[Children]]+2,Table1_1[[#This Row],[Children]]+1)</f>
        <v>4</v>
      </c>
      <c r="S524" s="4" t="str">
        <f>IF(Table1_1[[#This Row],[Cars]]=0,"No","Yes")</f>
        <v>Yes</v>
      </c>
      <c r="T524" s="6" t="str">
        <f>IF(AND(Table1_1[[#This Row],[Income]]&gt;50000,Table1_1[[#This Row],[Home Owner]]="Yes"),"High stability","Low stability")</f>
        <v>Low stability</v>
      </c>
      <c r="U524" s="3">
        <f>Table1_1[[#This Row],[Income]]/Table1_1[[#This Row],[Family size]]</f>
        <v>15000</v>
      </c>
      <c r="V524" s="6" t="str">
        <f>IF(Table1_1[[#This Row],[Occupation]]="Skilled manual","Blue collar",IF(Table1_1[[#This Row],[Occupation]]="Manual","Blue collar","White collar"))</f>
        <v>White collar</v>
      </c>
    </row>
    <row r="525" spans="1:22" x14ac:dyDescent="0.3">
      <c r="A525" t="s">
        <v>559</v>
      </c>
      <c r="B525" s="6" t="s">
        <v>1042</v>
      </c>
      <c r="C525" s="6" t="s">
        <v>1046</v>
      </c>
      <c r="D525" s="3">
        <v>80000</v>
      </c>
      <c r="E525">
        <v>3</v>
      </c>
      <c r="F525" s="6" t="s">
        <v>19</v>
      </c>
      <c r="G525" s="6" t="s">
        <v>21</v>
      </c>
      <c r="H525" s="6" t="s">
        <v>18</v>
      </c>
      <c r="I525">
        <v>2</v>
      </c>
      <c r="J525" t="s">
        <v>16</v>
      </c>
      <c r="K5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25" s="6" t="s">
        <v>32</v>
      </c>
      <c r="M525" s="7">
        <v>49</v>
      </c>
      <c r="N525" t="s">
        <v>15</v>
      </c>
      <c r="O525" s="9" t="str">
        <f>IF(Table1_1[[#This Row],[Purchased Bike]]="yes","1","0")</f>
        <v>1</v>
      </c>
      <c r="P525" s="4" t="str">
        <f>IF(Table1_1[[#This Row],[Income]]&lt;=30000,"Low ",IF(Table1_1[[#This Row],[Income]]&lt;=70000,"Middle","High"))</f>
        <v>High</v>
      </c>
      <c r="Q525" s="6" t="str">
        <f>IF(Table1_1[[#This Row],[Age]]&lt;30,"Young",IF(Table1_1[[#This Row],[Age]]&lt;50,"Middle aged","Senior citizen"))</f>
        <v>Middle aged</v>
      </c>
      <c r="R525" s="7">
        <f>IF(Table1_1[[#This Row],[Marriedarital SingletatuSingle]]="M",Table1_1[[#This Row],[Children]]+2,Table1_1[[#This Row],[Children]]+1)</f>
        <v>4</v>
      </c>
      <c r="S525" s="4" t="str">
        <f>IF(Table1_1[[#This Row],[Cars]]=0,"No","Yes")</f>
        <v>Yes</v>
      </c>
      <c r="T525" s="6" t="str">
        <f>IF(AND(Table1_1[[#This Row],[Income]]&gt;50000,Table1_1[[#This Row],[Home Owner]]="Yes"),"High stability","Low stability")</f>
        <v>Low stability</v>
      </c>
      <c r="U525" s="3">
        <f>Table1_1[[#This Row],[Income]]/Table1_1[[#This Row],[Family size]]</f>
        <v>20000</v>
      </c>
      <c r="V525" s="6" t="str">
        <f>IF(Table1_1[[#This Row],[Occupation]]="Skilled manual","Blue collar",IF(Table1_1[[#This Row],[Occupation]]="Manual","Blue collar","White collar"))</f>
        <v>White collar</v>
      </c>
    </row>
    <row r="526" spans="1:22" x14ac:dyDescent="0.3">
      <c r="A526" t="s">
        <v>560</v>
      </c>
      <c r="B526" s="6" t="s">
        <v>1044</v>
      </c>
      <c r="C526" s="6" t="s">
        <v>1045</v>
      </c>
      <c r="D526" s="3">
        <v>80000</v>
      </c>
      <c r="E526">
        <v>4</v>
      </c>
      <c r="F526" s="6" t="s">
        <v>31</v>
      </c>
      <c r="G526" s="6" t="s">
        <v>28</v>
      </c>
      <c r="H526" s="6" t="s">
        <v>15</v>
      </c>
      <c r="I526">
        <v>2</v>
      </c>
      <c r="J526" t="s">
        <v>23</v>
      </c>
      <c r="K5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26" s="6" t="s">
        <v>32</v>
      </c>
      <c r="M526" s="7">
        <v>67</v>
      </c>
      <c r="N526" t="s">
        <v>18</v>
      </c>
      <c r="O526" s="9" t="str">
        <f>IF(Table1_1[[#This Row],[Purchased Bike]]="yes","1","0")</f>
        <v>0</v>
      </c>
      <c r="P526" s="4" t="str">
        <f>IF(Table1_1[[#This Row],[Income]]&lt;=30000,"Low ",IF(Table1_1[[#This Row],[Income]]&lt;=70000,"Middle","High"))</f>
        <v>High</v>
      </c>
      <c r="Q526" s="6" t="str">
        <f>IF(Table1_1[[#This Row],[Age]]&lt;30,"Young",IF(Table1_1[[#This Row],[Age]]&lt;50,"Middle aged","Senior citizen"))</f>
        <v>Senior citizen</v>
      </c>
      <c r="R526" s="7">
        <f>IF(Table1_1[[#This Row],[Marriedarital SingletatuSingle]]="M",Table1_1[[#This Row],[Children]]+2,Table1_1[[#This Row],[Children]]+1)</f>
        <v>5</v>
      </c>
      <c r="S526" s="4" t="str">
        <f>IF(Table1_1[[#This Row],[Cars]]=0,"No","Yes")</f>
        <v>Yes</v>
      </c>
      <c r="T526" s="6" t="str">
        <f>IF(AND(Table1_1[[#This Row],[Income]]&gt;50000,Table1_1[[#This Row],[Home Owner]]="Yes"),"High stability","Low stability")</f>
        <v>High stability</v>
      </c>
      <c r="U526" s="3">
        <f>Table1_1[[#This Row],[Income]]/Table1_1[[#This Row],[Family size]]</f>
        <v>16000</v>
      </c>
      <c r="V526" s="6" t="str">
        <f>IF(Table1_1[[#This Row],[Occupation]]="Skilled manual","Blue collar",IF(Table1_1[[#This Row],[Occupation]]="Manual","Blue collar","White collar"))</f>
        <v>White collar</v>
      </c>
    </row>
    <row r="527" spans="1:22" x14ac:dyDescent="0.3">
      <c r="A527" t="s">
        <v>561</v>
      </c>
      <c r="B527" s="6" t="s">
        <v>1044</v>
      </c>
      <c r="C527" s="6" t="s">
        <v>1046</v>
      </c>
      <c r="D527" s="3">
        <v>60000</v>
      </c>
      <c r="E527">
        <v>5</v>
      </c>
      <c r="F527" s="6" t="s">
        <v>13</v>
      </c>
      <c r="G527" s="6" t="s">
        <v>28</v>
      </c>
      <c r="H527" s="6" t="s">
        <v>15</v>
      </c>
      <c r="I527">
        <v>3</v>
      </c>
      <c r="J527" t="s">
        <v>30</v>
      </c>
      <c r="K5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27" s="6" t="s">
        <v>32</v>
      </c>
      <c r="M527" s="7">
        <v>59</v>
      </c>
      <c r="N527" t="s">
        <v>15</v>
      </c>
      <c r="O527" s="9" t="str">
        <f>IF(Table1_1[[#This Row],[Purchased Bike]]="yes","1","0")</f>
        <v>1</v>
      </c>
      <c r="P527" s="4" t="str">
        <f>IF(Table1_1[[#This Row],[Income]]&lt;=30000,"Low ",IF(Table1_1[[#This Row],[Income]]&lt;=70000,"Middle","High"))</f>
        <v>Middle</v>
      </c>
      <c r="Q527" s="6" t="str">
        <f>IF(Table1_1[[#This Row],[Age]]&lt;30,"Young",IF(Table1_1[[#This Row],[Age]]&lt;50,"Middle aged","Senior citizen"))</f>
        <v>Senior citizen</v>
      </c>
      <c r="R527" s="7">
        <f>IF(Table1_1[[#This Row],[Marriedarital SingletatuSingle]]="M",Table1_1[[#This Row],[Children]]+2,Table1_1[[#This Row],[Children]]+1)</f>
        <v>6</v>
      </c>
      <c r="S527" s="4" t="str">
        <f>IF(Table1_1[[#This Row],[Cars]]=0,"No","Yes")</f>
        <v>Yes</v>
      </c>
      <c r="T527" s="6" t="str">
        <f>IF(AND(Table1_1[[#This Row],[Income]]&gt;50000,Table1_1[[#This Row],[Home Owner]]="Yes"),"High stability","Low stability")</f>
        <v>High stability</v>
      </c>
      <c r="U527" s="3">
        <f>Table1_1[[#This Row],[Income]]/Table1_1[[#This Row],[Family size]]</f>
        <v>10000</v>
      </c>
      <c r="V527" s="6" t="str">
        <f>IF(Table1_1[[#This Row],[Occupation]]="Skilled manual","Blue collar",IF(Table1_1[[#This Row],[Occupation]]="Manual","Blue collar","White collar"))</f>
        <v>White collar</v>
      </c>
    </row>
    <row r="528" spans="1:22" x14ac:dyDescent="0.3">
      <c r="A528" t="s">
        <v>562</v>
      </c>
      <c r="B528" s="6" t="s">
        <v>1042</v>
      </c>
      <c r="C528" s="6" t="s">
        <v>1045</v>
      </c>
      <c r="D528" s="3">
        <v>110000</v>
      </c>
      <c r="E528">
        <v>1</v>
      </c>
      <c r="F528" s="6" t="s">
        <v>13</v>
      </c>
      <c r="G528" s="6" t="s">
        <v>28</v>
      </c>
      <c r="H528" s="6" t="s">
        <v>15</v>
      </c>
      <c r="I528">
        <v>2</v>
      </c>
      <c r="J528" t="s">
        <v>26</v>
      </c>
      <c r="K5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28" s="6" t="s">
        <v>32</v>
      </c>
      <c r="M528" s="7">
        <v>44</v>
      </c>
      <c r="N528" t="s">
        <v>18</v>
      </c>
      <c r="O528" s="9" t="str">
        <f>IF(Table1_1[[#This Row],[Purchased Bike]]="yes","1","0")</f>
        <v>0</v>
      </c>
      <c r="P528" s="4" t="str">
        <f>IF(Table1_1[[#This Row],[Income]]&lt;=30000,"Low ",IF(Table1_1[[#This Row],[Income]]&lt;=70000,"Middle","High"))</f>
        <v>High</v>
      </c>
      <c r="Q528" s="6" t="str">
        <f>IF(Table1_1[[#This Row],[Age]]&lt;30,"Young",IF(Table1_1[[#This Row],[Age]]&lt;50,"Middle aged","Senior citizen"))</f>
        <v>Middle aged</v>
      </c>
      <c r="R528" s="7">
        <f>IF(Table1_1[[#This Row],[Marriedarital SingletatuSingle]]="M",Table1_1[[#This Row],[Children]]+2,Table1_1[[#This Row],[Children]]+1)</f>
        <v>2</v>
      </c>
      <c r="S528" s="4" t="str">
        <f>IF(Table1_1[[#This Row],[Cars]]=0,"No","Yes")</f>
        <v>Yes</v>
      </c>
      <c r="T528" s="6" t="str">
        <f>IF(AND(Table1_1[[#This Row],[Income]]&gt;50000,Table1_1[[#This Row],[Home Owner]]="Yes"),"High stability","Low stability")</f>
        <v>High stability</v>
      </c>
      <c r="U528" s="3">
        <f>Table1_1[[#This Row],[Income]]/Table1_1[[#This Row],[Family size]]</f>
        <v>55000</v>
      </c>
      <c r="V528" s="6" t="str">
        <f>IF(Table1_1[[#This Row],[Occupation]]="Skilled manual","Blue collar",IF(Table1_1[[#This Row],[Occupation]]="Manual","Blue collar","White collar"))</f>
        <v>White collar</v>
      </c>
    </row>
    <row r="529" spans="1:22" x14ac:dyDescent="0.3">
      <c r="A529" t="s">
        <v>563</v>
      </c>
      <c r="B529" s="6" t="s">
        <v>1042</v>
      </c>
      <c r="C529" s="6" t="s">
        <v>1046</v>
      </c>
      <c r="D529" s="3">
        <v>50000</v>
      </c>
      <c r="E529">
        <v>1</v>
      </c>
      <c r="F529" s="6" t="s">
        <v>13</v>
      </c>
      <c r="G529" s="6" t="s">
        <v>14</v>
      </c>
      <c r="H529" s="6" t="s">
        <v>15</v>
      </c>
      <c r="I529">
        <v>0</v>
      </c>
      <c r="J529" t="s">
        <v>16</v>
      </c>
      <c r="K5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29" s="6" t="s">
        <v>32</v>
      </c>
      <c r="M529" s="7">
        <v>36</v>
      </c>
      <c r="N529" t="s">
        <v>18</v>
      </c>
      <c r="O529" s="9" t="str">
        <f>IF(Table1_1[[#This Row],[Purchased Bike]]="yes","1","0")</f>
        <v>0</v>
      </c>
      <c r="P529" s="4" t="str">
        <f>IF(Table1_1[[#This Row],[Income]]&lt;=30000,"Low ",IF(Table1_1[[#This Row],[Income]]&lt;=70000,"Middle","High"))</f>
        <v>Middle</v>
      </c>
      <c r="Q529" s="6" t="str">
        <f>IF(Table1_1[[#This Row],[Age]]&lt;30,"Young",IF(Table1_1[[#This Row],[Age]]&lt;50,"Middle aged","Senior citizen"))</f>
        <v>Middle aged</v>
      </c>
      <c r="R529" s="7">
        <f>IF(Table1_1[[#This Row],[Marriedarital SingletatuSingle]]="M",Table1_1[[#This Row],[Children]]+2,Table1_1[[#This Row],[Children]]+1)</f>
        <v>2</v>
      </c>
      <c r="S529" s="4" t="str">
        <f>IF(Table1_1[[#This Row],[Cars]]=0,"No","Yes")</f>
        <v>No</v>
      </c>
      <c r="T529" s="6" t="str">
        <f>IF(AND(Table1_1[[#This Row],[Income]]&gt;50000,Table1_1[[#This Row],[Home Owner]]="Yes"),"High stability","Low stability")</f>
        <v>Low stability</v>
      </c>
      <c r="U529" s="3">
        <f>Table1_1[[#This Row],[Income]]/Table1_1[[#This Row],[Family size]]</f>
        <v>25000</v>
      </c>
      <c r="V529" s="6" t="str">
        <f>IF(Table1_1[[#This Row],[Occupation]]="Skilled manual","Blue collar",IF(Table1_1[[#This Row],[Occupation]]="Manual","Blue collar","White collar"))</f>
        <v>Blue collar</v>
      </c>
    </row>
    <row r="530" spans="1:22" x14ac:dyDescent="0.3">
      <c r="A530" t="s">
        <v>564</v>
      </c>
      <c r="B530" s="6" t="s">
        <v>1044</v>
      </c>
      <c r="C530" s="6" t="s">
        <v>1045</v>
      </c>
      <c r="D530" s="3">
        <v>30000</v>
      </c>
      <c r="E530">
        <v>0</v>
      </c>
      <c r="F530" s="6" t="s">
        <v>19</v>
      </c>
      <c r="G530" s="6" t="s">
        <v>14</v>
      </c>
      <c r="H530" s="6" t="s">
        <v>15</v>
      </c>
      <c r="I530">
        <v>1</v>
      </c>
      <c r="J530" t="s">
        <v>23</v>
      </c>
      <c r="K5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30" s="6" t="s">
        <v>32</v>
      </c>
      <c r="M530" s="7">
        <v>28</v>
      </c>
      <c r="N530" t="s">
        <v>18</v>
      </c>
      <c r="O530" s="9" t="str">
        <f>IF(Table1_1[[#This Row],[Purchased Bike]]="yes","1","0")</f>
        <v>0</v>
      </c>
      <c r="P530" s="4" t="str">
        <f>IF(Table1_1[[#This Row],[Income]]&lt;=30000,"Low ",IF(Table1_1[[#This Row],[Income]]&lt;=70000,"Middle","High"))</f>
        <v xml:space="preserve">Low </v>
      </c>
      <c r="Q530" s="6" t="str">
        <f>IF(Table1_1[[#This Row],[Age]]&lt;30,"Young",IF(Table1_1[[#This Row],[Age]]&lt;50,"Middle aged","Senior citizen"))</f>
        <v>Young</v>
      </c>
      <c r="R530" s="7">
        <f>IF(Table1_1[[#This Row],[Marriedarital SingletatuSingle]]="M",Table1_1[[#This Row],[Children]]+2,Table1_1[[#This Row],[Children]]+1)</f>
        <v>1</v>
      </c>
      <c r="S530" s="4" t="str">
        <f>IF(Table1_1[[#This Row],[Cars]]=0,"No","Yes")</f>
        <v>Yes</v>
      </c>
      <c r="T530" s="6" t="str">
        <f>IF(AND(Table1_1[[#This Row],[Income]]&gt;50000,Table1_1[[#This Row],[Home Owner]]="Yes"),"High stability","Low stability")</f>
        <v>Low stability</v>
      </c>
      <c r="U530" s="3">
        <f>Table1_1[[#This Row],[Income]]/Table1_1[[#This Row],[Family size]]</f>
        <v>30000</v>
      </c>
      <c r="V530" s="6" t="str">
        <f>IF(Table1_1[[#This Row],[Occupation]]="Skilled manual","Blue collar",IF(Table1_1[[#This Row],[Occupation]]="Manual","Blue collar","White collar"))</f>
        <v>Blue collar</v>
      </c>
    </row>
    <row r="531" spans="1:22" x14ac:dyDescent="0.3">
      <c r="A531" t="s">
        <v>565</v>
      </c>
      <c r="B531" s="6" t="s">
        <v>1042</v>
      </c>
      <c r="C531" s="6" t="s">
        <v>1046</v>
      </c>
      <c r="D531" s="3">
        <v>60000</v>
      </c>
      <c r="E531">
        <v>2</v>
      </c>
      <c r="F531" s="6" t="s">
        <v>19</v>
      </c>
      <c r="G531" s="6" t="s">
        <v>21</v>
      </c>
      <c r="H531" s="6" t="s">
        <v>15</v>
      </c>
      <c r="I531">
        <v>1</v>
      </c>
      <c r="J531" t="s">
        <v>30</v>
      </c>
      <c r="K5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31" s="6" t="s">
        <v>32</v>
      </c>
      <c r="M531" s="7">
        <v>57</v>
      </c>
      <c r="N531" t="s">
        <v>15</v>
      </c>
      <c r="O531" s="9" t="str">
        <f>IF(Table1_1[[#This Row],[Purchased Bike]]="yes","1","0")</f>
        <v>1</v>
      </c>
      <c r="P531" s="4" t="str">
        <f>IF(Table1_1[[#This Row],[Income]]&lt;=30000,"Low ",IF(Table1_1[[#This Row],[Income]]&lt;=70000,"Middle","High"))</f>
        <v>Middle</v>
      </c>
      <c r="Q531" s="6" t="str">
        <f>IF(Table1_1[[#This Row],[Age]]&lt;30,"Young",IF(Table1_1[[#This Row],[Age]]&lt;50,"Middle aged","Senior citizen"))</f>
        <v>Senior citizen</v>
      </c>
      <c r="R531" s="7">
        <f>IF(Table1_1[[#This Row],[Marriedarital SingletatuSingle]]="M",Table1_1[[#This Row],[Children]]+2,Table1_1[[#This Row],[Children]]+1)</f>
        <v>3</v>
      </c>
      <c r="S531" s="4" t="str">
        <f>IF(Table1_1[[#This Row],[Cars]]=0,"No","Yes")</f>
        <v>Yes</v>
      </c>
      <c r="T531" s="6" t="str">
        <f>IF(AND(Table1_1[[#This Row],[Income]]&gt;50000,Table1_1[[#This Row],[Home Owner]]="Yes"),"High stability","Low stability")</f>
        <v>High stability</v>
      </c>
      <c r="U531" s="3">
        <f>Table1_1[[#This Row],[Income]]/Table1_1[[#This Row],[Family size]]</f>
        <v>20000</v>
      </c>
      <c r="V531" s="6" t="str">
        <f>IF(Table1_1[[#This Row],[Occupation]]="Skilled manual","Blue collar",IF(Table1_1[[#This Row],[Occupation]]="Manual","Blue collar","White collar"))</f>
        <v>White collar</v>
      </c>
    </row>
    <row r="532" spans="1:22" x14ac:dyDescent="0.3">
      <c r="A532" t="s">
        <v>566</v>
      </c>
      <c r="B532" s="6" t="s">
        <v>1042</v>
      </c>
      <c r="C532" s="6" t="s">
        <v>1046</v>
      </c>
      <c r="D532" s="3">
        <v>60000</v>
      </c>
      <c r="E532">
        <v>0</v>
      </c>
      <c r="F532" s="6" t="s">
        <v>19</v>
      </c>
      <c r="G532" s="6" t="s">
        <v>14</v>
      </c>
      <c r="H532" s="6" t="s">
        <v>15</v>
      </c>
      <c r="I532">
        <v>1</v>
      </c>
      <c r="J532" t="s">
        <v>23</v>
      </c>
      <c r="K5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32" s="6" t="s">
        <v>32</v>
      </c>
      <c r="M532" s="7">
        <v>27</v>
      </c>
      <c r="N532" t="s">
        <v>15</v>
      </c>
      <c r="O532" s="9" t="str">
        <f>IF(Table1_1[[#This Row],[Purchased Bike]]="yes","1","0")</f>
        <v>1</v>
      </c>
      <c r="P532" s="4" t="str">
        <f>IF(Table1_1[[#This Row],[Income]]&lt;=30000,"Low ",IF(Table1_1[[#This Row],[Income]]&lt;=70000,"Middle","High"))</f>
        <v>Middle</v>
      </c>
      <c r="Q532" s="6" t="str">
        <f>IF(Table1_1[[#This Row],[Age]]&lt;30,"Young",IF(Table1_1[[#This Row],[Age]]&lt;50,"Middle aged","Senior citizen"))</f>
        <v>Young</v>
      </c>
      <c r="R532" s="7">
        <f>IF(Table1_1[[#This Row],[Marriedarital SingletatuSingle]]="M",Table1_1[[#This Row],[Children]]+2,Table1_1[[#This Row],[Children]]+1)</f>
        <v>1</v>
      </c>
      <c r="S532" s="4" t="str">
        <f>IF(Table1_1[[#This Row],[Cars]]=0,"No","Yes")</f>
        <v>Yes</v>
      </c>
      <c r="T532" s="6" t="str">
        <f>IF(AND(Table1_1[[#This Row],[Income]]&gt;50000,Table1_1[[#This Row],[Home Owner]]="Yes"),"High stability","Low stability")</f>
        <v>High stability</v>
      </c>
      <c r="U532" s="3">
        <f>Table1_1[[#This Row],[Income]]/Table1_1[[#This Row],[Family size]]</f>
        <v>60000</v>
      </c>
      <c r="V532" s="6" t="str">
        <f>IF(Table1_1[[#This Row],[Occupation]]="Skilled manual","Blue collar",IF(Table1_1[[#This Row],[Occupation]]="Manual","Blue collar","White collar"))</f>
        <v>Blue collar</v>
      </c>
    </row>
    <row r="533" spans="1:22" x14ac:dyDescent="0.3">
      <c r="A533" t="s">
        <v>567</v>
      </c>
      <c r="B533" s="6" t="s">
        <v>1044</v>
      </c>
      <c r="C533" s="6" t="s">
        <v>1046</v>
      </c>
      <c r="D533" s="3">
        <v>30000</v>
      </c>
      <c r="E533">
        <v>0</v>
      </c>
      <c r="F533" s="6" t="s">
        <v>29</v>
      </c>
      <c r="G533" s="6" t="s">
        <v>20</v>
      </c>
      <c r="H533" s="6" t="s">
        <v>15</v>
      </c>
      <c r="I533">
        <v>2</v>
      </c>
      <c r="J533" t="s">
        <v>23</v>
      </c>
      <c r="K5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33" s="6" t="s">
        <v>32</v>
      </c>
      <c r="M533" s="7">
        <v>28</v>
      </c>
      <c r="N533" t="s">
        <v>18</v>
      </c>
      <c r="O533" s="9" t="str">
        <f>IF(Table1_1[[#This Row],[Purchased Bike]]="yes","1","0")</f>
        <v>0</v>
      </c>
      <c r="P533" s="4" t="str">
        <f>IF(Table1_1[[#This Row],[Income]]&lt;=30000,"Low ",IF(Table1_1[[#This Row],[Income]]&lt;=70000,"Middle","High"))</f>
        <v xml:space="preserve">Low </v>
      </c>
      <c r="Q533" s="6" t="str">
        <f>IF(Table1_1[[#This Row],[Age]]&lt;30,"Young",IF(Table1_1[[#This Row],[Age]]&lt;50,"Middle aged","Senior citizen"))</f>
        <v>Young</v>
      </c>
      <c r="R533" s="7">
        <f>IF(Table1_1[[#This Row],[Marriedarital SingletatuSingle]]="M",Table1_1[[#This Row],[Children]]+2,Table1_1[[#This Row],[Children]]+1)</f>
        <v>1</v>
      </c>
      <c r="S533" s="4" t="str">
        <f>IF(Table1_1[[#This Row],[Cars]]=0,"No","Yes")</f>
        <v>Yes</v>
      </c>
      <c r="T533" s="6" t="str">
        <f>IF(AND(Table1_1[[#This Row],[Income]]&gt;50000,Table1_1[[#This Row],[Home Owner]]="Yes"),"High stability","Low stability")</f>
        <v>Low stability</v>
      </c>
      <c r="U533" s="3">
        <f>Table1_1[[#This Row],[Income]]/Table1_1[[#This Row],[Family size]]</f>
        <v>30000</v>
      </c>
      <c r="V533" s="6" t="str">
        <f>IF(Table1_1[[#This Row],[Occupation]]="Skilled manual","Blue collar",IF(Table1_1[[#This Row],[Occupation]]="Manual","Blue collar","White collar"))</f>
        <v>White collar</v>
      </c>
    </row>
    <row r="534" spans="1:22" x14ac:dyDescent="0.3">
      <c r="A534" t="s">
        <v>568</v>
      </c>
      <c r="B534" s="6" t="s">
        <v>1044</v>
      </c>
      <c r="C534" s="6" t="s">
        <v>1045</v>
      </c>
      <c r="D534" s="3">
        <v>60000</v>
      </c>
      <c r="E534">
        <v>1</v>
      </c>
      <c r="F534" s="6" t="s">
        <v>13</v>
      </c>
      <c r="G534" s="6" t="s">
        <v>21</v>
      </c>
      <c r="H534" s="6" t="s">
        <v>18</v>
      </c>
      <c r="I534">
        <v>1</v>
      </c>
      <c r="J534" t="s">
        <v>16</v>
      </c>
      <c r="K5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34" s="6" t="s">
        <v>32</v>
      </c>
      <c r="M534" s="7">
        <v>44</v>
      </c>
      <c r="N534" t="s">
        <v>15</v>
      </c>
      <c r="O534" s="9" t="str">
        <f>IF(Table1_1[[#This Row],[Purchased Bike]]="yes","1","0")</f>
        <v>1</v>
      </c>
      <c r="P534" s="4" t="str">
        <f>IF(Table1_1[[#This Row],[Income]]&lt;=30000,"Low ",IF(Table1_1[[#This Row],[Income]]&lt;=70000,"Middle","High"))</f>
        <v>Middle</v>
      </c>
      <c r="Q534" s="6" t="str">
        <f>IF(Table1_1[[#This Row],[Age]]&lt;30,"Young",IF(Table1_1[[#This Row],[Age]]&lt;50,"Middle aged","Senior citizen"))</f>
        <v>Middle aged</v>
      </c>
      <c r="R534" s="7">
        <f>IF(Table1_1[[#This Row],[Marriedarital SingletatuSingle]]="M",Table1_1[[#This Row],[Children]]+2,Table1_1[[#This Row],[Children]]+1)</f>
        <v>2</v>
      </c>
      <c r="S534" s="4" t="str">
        <f>IF(Table1_1[[#This Row],[Cars]]=0,"No","Yes")</f>
        <v>Yes</v>
      </c>
      <c r="T534" s="6" t="str">
        <f>IF(AND(Table1_1[[#This Row],[Income]]&gt;50000,Table1_1[[#This Row],[Home Owner]]="Yes"),"High stability","Low stability")</f>
        <v>Low stability</v>
      </c>
      <c r="U534" s="3">
        <f>Table1_1[[#This Row],[Income]]/Table1_1[[#This Row],[Family size]]</f>
        <v>30000</v>
      </c>
      <c r="V534" s="6" t="str">
        <f>IF(Table1_1[[#This Row],[Occupation]]="Skilled manual","Blue collar",IF(Table1_1[[#This Row],[Occupation]]="Manual","Blue collar","White collar"))</f>
        <v>White collar</v>
      </c>
    </row>
    <row r="535" spans="1:22" x14ac:dyDescent="0.3">
      <c r="A535" t="s">
        <v>569</v>
      </c>
      <c r="B535" s="6" t="s">
        <v>1042</v>
      </c>
      <c r="C535" s="6" t="s">
        <v>1046</v>
      </c>
      <c r="D535" s="3">
        <v>60000</v>
      </c>
      <c r="E535">
        <v>3</v>
      </c>
      <c r="F535" s="6" t="s">
        <v>13</v>
      </c>
      <c r="G535" s="6" t="s">
        <v>28</v>
      </c>
      <c r="H535" s="6" t="s">
        <v>15</v>
      </c>
      <c r="I535">
        <v>2</v>
      </c>
      <c r="J535" t="s">
        <v>30</v>
      </c>
      <c r="K5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35" s="6" t="s">
        <v>32</v>
      </c>
      <c r="M535" s="7">
        <v>66</v>
      </c>
      <c r="N535" t="s">
        <v>18</v>
      </c>
      <c r="O535" s="9" t="str">
        <f>IF(Table1_1[[#This Row],[Purchased Bike]]="yes","1","0")</f>
        <v>0</v>
      </c>
      <c r="P535" s="4" t="str">
        <f>IF(Table1_1[[#This Row],[Income]]&lt;=30000,"Low ",IF(Table1_1[[#This Row],[Income]]&lt;=70000,"Middle","High"))</f>
        <v>Middle</v>
      </c>
      <c r="Q535" s="6" t="str">
        <f>IF(Table1_1[[#This Row],[Age]]&lt;30,"Young",IF(Table1_1[[#This Row],[Age]]&lt;50,"Middle aged","Senior citizen"))</f>
        <v>Senior citizen</v>
      </c>
      <c r="R535" s="7">
        <f>IF(Table1_1[[#This Row],[Marriedarital SingletatuSingle]]="M",Table1_1[[#This Row],[Children]]+2,Table1_1[[#This Row],[Children]]+1)</f>
        <v>4</v>
      </c>
      <c r="S535" s="4" t="str">
        <f>IF(Table1_1[[#This Row],[Cars]]=0,"No","Yes")</f>
        <v>Yes</v>
      </c>
      <c r="T535" s="6" t="str">
        <f>IF(AND(Table1_1[[#This Row],[Income]]&gt;50000,Table1_1[[#This Row],[Home Owner]]="Yes"),"High stability","Low stability")</f>
        <v>High stability</v>
      </c>
      <c r="U535" s="3">
        <f>Table1_1[[#This Row],[Income]]/Table1_1[[#This Row],[Family size]]</f>
        <v>15000</v>
      </c>
      <c r="V535" s="6" t="str">
        <f>IF(Table1_1[[#This Row],[Occupation]]="Skilled manual","Blue collar",IF(Table1_1[[#This Row],[Occupation]]="Manual","Blue collar","White collar"))</f>
        <v>White collar</v>
      </c>
    </row>
    <row r="536" spans="1:22" x14ac:dyDescent="0.3">
      <c r="A536" t="s">
        <v>570</v>
      </c>
      <c r="B536" s="6" t="s">
        <v>1042</v>
      </c>
      <c r="C536" s="6" t="s">
        <v>1046</v>
      </c>
      <c r="D536" s="3">
        <v>40000</v>
      </c>
      <c r="E536">
        <v>4</v>
      </c>
      <c r="F536" s="6" t="s">
        <v>27</v>
      </c>
      <c r="G536" s="6" t="s">
        <v>21</v>
      </c>
      <c r="H536" s="6" t="s">
        <v>15</v>
      </c>
      <c r="I536">
        <v>2</v>
      </c>
      <c r="J536" t="s">
        <v>30</v>
      </c>
      <c r="K5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36" s="6" t="s">
        <v>32</v>
      </c>
      <c r="M536" s="7">
        <v>64</v>
      </c>
      <c r="N536" t="s">
        <v>18</v>
      </c>
      <c r="O536" s="9" t="str">
        <f>IF(Table1_1[[#This Row],[Purchased Bike]]="yes","1","0")</f>
        <v>0</v>
      </c>
      <c r="P536" s="4" t="str">
        <f>IF(Table1_1[[#This Row],[Income]]&lt;=30000,"Low ",IF(Table1_1[[#This Row],[Income]]&lt;=70000,"Middle","High"))</f>
        <v>Middle</v>
      </c>
      <c r="Q536" s="6" t="str">
        <f>IF(Table1_1[[#This Row],[Age]]&lt;30,"Young",IF(Table1_1[[#This Row],[Age]]&lt;50,"Middle aged","Senior citizen"))</f>
        <v>Senior citizen</v>
      </c>
      <c r="R536" s="7">
        <f>IF(Table1_1[[#This Row],[Marriedarital SingletatuSingle]]="M",Table1_1[[#This Row],[Children]]+2,Table1_1[[#This Row],[Children]]+1)</f>
        <v>5</v>
      </c>
      <c r="S536" s="4" t="str">
        <f>IF(Table1_1[[#This Row],[Cars]]=0,"No","Yes")</f>
        <v>Yes</v>
      </c>
      <c r="T536" s="6" t="str">
        <f>IF(AND(Table1_1[[#This Row],[Income]]&gt;50000,Table1_1[[#This Row],[Home Owner]]="Yes"),"High stability","Low stability")</f>
        <v>Low stability</v>
      </c>
      <c r="U536" s="3">
        <f>Table1_1[[#This Row],[Income]]/Table1_1[[#This Row],[Family size]]</f>
        <v>8000</v>
      </c>
      <c r="V536" s="6" t="str">
        <f>IF(Table1_1[[#This Row],[Occupation]]="Skilled manual","Blue collar",IF(Table1_1[[#This Row],[Occupation]]="Manual","Blue collar","White collar"))</f>
        <v>White collar</v>
      </c>
    </row>
    <row r="537" spans="1:22" x14ac:dyDescent="0.3">
      <c r="A537" t="s">
        <v>571</v>
      </c>
      <c r="B537" s="6" t="s">
        <v>1042</v>
      </c>
      <c r="C537" s="6" t="s">
        <v>1046</v>
      </c>
      <c r="D537" s="3">
        <v>50000</v>
      </c>
      <c r="E537">
        <v>3</v>
      </c>
      <c r="F537" s="6" t="s">
        <v>13</v>
      </c>
      <c r="G537" s="6" t="s">
        <v>14</v>
      </c>
      <c r="H537" s="6" t="s">
        <v>15</v>
      </c>
      <c r="I537">
        <v>3</v>
      </c>
      <c r="J537" t="s">
        <v>30</v>
      </c>
      <c r="K5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37" s="6" t="s">
        <v>32</v>
      </c>
      <c r="M537" s="7">
        <v>41</v>
      </c>
      <c r="N537" t="s">
        <v>18</v>
      </c>
      <c r="O537" s="9" t="str">
        <f>IF(Table1_1[[#This Row],[Purchased Bike]]="yes","1","0")</f>
        <v>0</v>
      </c>
      <c r="P537" s="4" t="str">
        <f>IF(Table1_1[[#This Row],[Income]]&lt;=30000,"Low ",IF(Table1_1[[#This Row],[Income]]&lt;=70000,"Middle","High"))</f>
        <v>Middle</v>
      </c>
      <c r="Q537" s="6" t="str">
        <f>IF(Table1_1[[#This Row],[Age]]&lt;30,"Young",IF(Table1_1[[#This Row],[Age]]&lt;50,"Middle aged","Senior citizen"))</f>
        <v>Middle aged</v>
      </c>
      <c r="R537" s="7">
        <f>IF(Table1_1[[#This Row],[Marriedarital SingletatuSingle]]="M",Table1_1[[#This Row],[Children]]+2,Table1_1[[#This Row],[Children]]+1)</f>
        <v>4</v>
      </c>
      <c r="S537" s="4" t="str">
        <f>IF(Table1_1[[#This Row],[Cars]]=0,"No","Yes")</f>
        <v>Yes</v>
      </c>
      <c r="T537" s="6" t="str">
        <f>IF(AND(Table1_1[[#This Row],[Income]]&gt;50000,Table1_1[[#This Row],[Home Owner]]="Yes"),"High stability","Low stability")</f>
        <v>Low stability</v>
      </c>
      <c r="U537" s="3">
        <f>Table1_1[[#This Row],[Income]]/Table1_1[[#This Row],[Family size]]</f>
        <v>12500</v>
      </c>
      <c r="V537" s="6" t="str">
        <f>IF(Table1_1[[#This Row],[Occupation]]="Skilled manual","Blue collar",IF(Table1_1[[#This Row],[Occupation]]="Manual","Blue collar","White collar"))</f>
        <v>Blue collar</v>
      </c>
    </row>
    <row r="538" spans="1:22" x14ac:dyDescent="0.3">
      <c r="A538" t="s">
        <v>572</v>
      </c>
      <c r="B538" s="6" t="s">
        <v>1044</v>
      </c>
      <c r="C538" s="6" t="s">
        <v>1045</v>
      </c>
      <c r="D538" s="3">
        <v>80000</v>
      </c>
      <c r="E538">
        <v>3</v>
      </c>
      <c r="F538" s="6" t="s">
        <v>13</v>
      </c>
      <c r="G538" s="6" t="s">
        <v>14</v>
      </c>
      <c r="H538" s="6" t="s">
        <v>15</v>
      </c>
      <c r="I538">
        <v>1</v>
      </c>
      <c r="J538" t="s">
        <v>16</v>
      </c>
      <c r="K5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38" s="6" t="s">
        <v>32</v>
      </c>
      <c r="M538" s="7">
        <v>41</v>
      </c>
      <c r="N538" t="s">
        <v>15</v>
      </c>
      <c r="O538" s="9" t="str">
        <f>IF(Table1_1[[#This Row],[Purchased Bike]]="yes","1","0")</f>
        <v>1</v>
      </c>
      <c r="P538" s="4" t="str">
        <f>IF(Table1_1[[#This Row],[Income]]&lt;=30000,"Low ",IF(Table1_1[[#This Row],[Income]]&lt;=70000,"Middle","High"))</f>
        <v>High</v>
      </c>
      <c r="Q538" s="6" t="str">
        <f>IF(Table1_1[[#This Row],[Age]]&lt;30,"Young",IF(Table1_1[[#This Row],[Age]]&lt;50,"Middle aged","Senior citizen"))</f>
        <v>Middle aged</v>
      </c>
      <c r="R538" s="7">
        <f>IF(Table1_1[[#This Row],[Marriedarital SingletatuSingle]]="M",Table1_1[[#This Row],[Children]]+2,Table1_1[[#This Row],[Children]]+1)</f>
        <v>4</v>
      </c>
      <c r="S538" s="4" t="str">
        <f>IF(Table1_1[[#This Row],[Cars]]=0,"No","Yes")</f>
        <v>Yes</v>
      </c>
      <c r="T538" s="6" t="str">
        <f>IF(AND(Table1_1[[#This Row],[Income]]&gt;50000,Table1_1[[#This Row],[Home Owner]]="Yes"),"High stability","Low stability")</f>
        <v>High stability</v>
      </c>
      <c r="U538" s="3">
        <f>Table1_1[[#This Row],[Income]]/Table1_1[[#This Row],[Family size]]</f>
        <v>20000</v>
      </c>
      <c r="V538" s="6" t="str">
        <f>IF(Table1_1[[#This Row],[Occupation]]="Skilled manual","Blue collar",IF(Table1_1[[#This Row],[Occupation]]="Manual","Blue collar","White collar"))</f>
        <v>Blue collar</v>
      </c>
    </row>
    <row r="539" spans="1:22" x14ac:dyDescent="0.3">
      <c r="A539" t="s">
        <v>573</v>
      </c>
      <c r="B539" s="6" t="s">
        <v>1042</v>
      </c>
      <c r="C539" s="6" t="s">
        <v>1045</v>
      </c>
      <c r="D539" s="3">
        <v>40000</v>
      </c>
      <c r="E539">
        <v>1</v>
      </c>
      <c r="F539" s="6" t="s">
        <v>19</v>
      </c>
      <c r="G539" s="6" t="s">
        <v>20</v>
      </c>
      <c r="H539" s="6" t="s">
        <v>15</v>
      </c>
      <c r="I539">
        <v>1</v>
      </c>
      <c r="J539" t="s">
        <v>26</v>
      </c>
      <c r="K5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39" s="6" t="s">
        <v>32</v>
      </c>
      <c r="M539" s="7">
        <v>49</v>
      </c>
      <c r="N539" t="s">
        <v>15</v>
      </c>
      <c r="O539" s="9" t="str">
        <f>IF(Table1_1[[#This Row],[Purchased Bike]]="yes","1","0")</f>
        <v>1</v>
      </c>
      <c r="P539" s="4" t="str">
        <f>IF(Table1_1[[#This Row],[Income]]&lt;=30000,"Low ",IF(Table1_1[[#This Row],[Income]]&lt;=70000,"Middle","High"))</f>
        <v>Middle</v>
      </c>
      <c r="Q539" s="6" t="str">
        <f>IF(Table1_1[[#This Row],[Age]]&lt;30,"Young",IF(Table1_1[[#This Row],[Age]]&lt;50,"Middle aged","Senior citizen"))</f>
        <v>Middle aged</v>
      </c>
      <c r="R539" s="7">
        <f>IF(Table1_1[[#This Row],[Marriedarital SingletatuSingle]]="M",Table1_1[[#This Row],[Children]]+2,Table1_1[[#This Row],[Children]]+1)</f>
        <v>2</v>
      </c>
      <c r="S539" s="4" t="str">
        <f>IF(Table1_1[[#This Row],[Cars]]=0,"No","Yes")</f>
        <v>Yes</v>
      </c>
      <c r="T539" s="6" t="str">
        <f>IF(AND(Table1_1[[#This Row],[Income]]&gt;50000,Table1_1[[#This Row],[Home Owner]]="Yes"),"High stability","Low stability")</f>
        <v>Low stability</v>
      </c>
      <c r="U539" s="3">
        <f>Table1_1[[#This Row],[Income]]/Table1_1[[#This Row],[Family size]]</f>
        <v>20000</v>
      </c>
      <c r="V539" s="6" t="str">
        <f>IF(Table1_1[[#This Row],[Occupation]]="Skilled manual","Blue collar",IF(Table1_1[[#This Row],[Occupation]]="Manual","Blue collar","White collar"))</f>
        <v>White collar</v>
      </c>
    </row>
    <row r="540" spans="1:22" x14ac:dyDescent="0.3">
      <c r="A540" t="s">
        <v>574</v>
      </c>
      <c r="B540" s="6" t="s">
        <v>1042</v>
      </c>
      <c r="C540" s="6" t="s">
        <v>1045</v>
      </c>
      <c r="D540" s="3">
        <v>80000</v>
      </c>
      <c r="E540">
        <v>4</v>
      </c>
      <c r="F540" s="6" t="s">
        <v>13</v>
      </c>
      <c r="G540" s="6" t="s">
        <v>28</v>
      </c>
      <c r="H540" s="6" t="s">
        <v>15</v>
      </c>
      <c r="I540">
        <v>0</v>
      </c>
      <c r="J540" t="s">
        <v>16</v>
      </c>
      <c r="K5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40" s="6" t="s">
        <v>32</v>
      </c>
      <c r="M540" s="7">
        <v>42</v>
      </c>
      <c r="N540" t="s">
        <v>18</v>
      </c>
      <c r="O540" s="9" t="str">
        <f>IF(Table1_1[[#This Row],[Purchased Bike]]="yes","1","0")</f>
        <v>0</v>
      </c>
      <c r="P540" s="4" t="str">
        <f>IF(Table1_1[[#This Row],[Income]]&lt;=30000,"Low ",IF(Table1_1[[#This Row],[Income]]&lt;=70000,"Middle","High"))</f>
        <v>High</v>
      </c>
      <c r="Q540" s="6" t="str">
        <f>IF(Table1_1[[#This Row],[Age]]&lt;30,"Young",IF(Table1_1[[#This Row],[Age]]&lt;50,"Middle aged","Senior citizen"))</f>
        <v>Middle aged</v>
      </c>
      <c r="R540" s="7">
        <f>IF(Table1_1[[#This Row],[Marriedarital SingletatuSingle]]="M",Table1_1[[#This Row],[Children]]+2,Table1_1[[#This Row],[Children]]+1)</f>
        <v>5</v>
      </c>
      <c r="S540" s="4" t="str">
        <f>IF(Table1_1[[#This Row],[Cars]]=0,"No","Yes")</f>
        <v>No</v>
      </c>
      <c r="T540" s="6" t="str">
        <f>IF(AND(Table1_1[[#This Row],[Income]]&gt;50000,Table1_1[[#This Row],[Home Owner]]="Yes"),"High stability","Low stability")</f>
        <v>High stability</v>
      </c>
      <c r="U540" s="3">
        <f>Table1_1[[#This Row],[Income]]/Table1_1[[#This Row],[Family size]]</f>
        <v>16000</v>
      </c>
      <c r="V540" s="6" t="str">
        <f>IF(Table1_1[[#This Row],[Occupation]]="Skilled manual","Blue collar",IF(Table1_1[[#This Row],[Occupation]]="Manual","Blue collar","White collar"))</f>
        <v>White collar</v>
      </c>
    </row>
    <row r="541" spans="1:22" x14ac:dyDescent="0.3">
      <c r="A541" t="s">
        <v>575</v>
      </c>
      <c r="B541" s="6" t="s">
        <v>1044</v>
      </c>
      <c r="C541" s="6" t="s">
        <v>1045</v>
      </c>
      <c r="D541" s="3">
        <v>70000</v>
      </c>
      <c r="E541">
        <v>0</v>
      </c>
      <c r="F541" s="6" t="s">
        <v>13</v>
      </c>
      <c r="G541" s="6" t="s">
        <v>21</v>
      </c>
      <c r="H541" s="6" t="s">
        <v>18</v>
      </c>
      <c r="I541">
        <v>1</v>
      </c>
      <c r="J541" t="s">
        <v>22</v>
      </c>
      <c r="K5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41" s="6" t="s">
        <v>32</v>
      </c>
      <c r="M541" s="7">
        <v>37</v>
      </c>
      <c r="N541" t="s">
        <v>15</v>
      </c>
      <c r="O541" s="9" t="str">
        <f>IF(Table1_1[[#This Row],[Purchased Bike]]="yes","1","0")</f>
        <v>1</v>
      </c>
      <c r="P541" s="4" t="str">
        <f>IF(Table1_1[[#This Row],[Income]]&lt;=30000,"Low ",IF(Table1_1[[#This Row],[Income]]&lt;=70000,"Middle","High"))</f>
        <v>Middle</v>
      </c>
      <c r="Q541" s="6" t="str">
        <f>IF(Table1_1[[#This Row],[Age]]&lt;30,"Young",IF(Table1_1[[#This Row],[Age]]&lt;50,"Middle aged","Senior citizen"))</f>
        <v>Middle aged</v>
      </c>
      <c r="R541" s="7">
        <f>IF(Table1_1[[#This Row],[Marriedarital SingletatuSingle]]="M",Table1_1[[#This Row],[Children]]+2,Table1_1[[#This Row],[Children]]+1)</f>
        <v>1</v>
      </c>
      <c r="S541" s="4" t="str">
        <f>IF(Table1_1[[#This Row],[Cars]]=0,"No","Yes")</f>
        <v>Yes</v>
      </c>
      <c r="T541" s="6" t="str">
        <f>IF(AND(Table1_1[[#This Row],[Income]]&gt;50000,Table1_1[[#This Row],[Home Owner]]="Yes"),"High stability","Low stability")</f>
        <v>Low stability</v>
      </c>
      <c r="U541" s="3">
        <f>Table1_1[[#This Row],[Income]]/Table1_1[[#This Row],[Family size]]</f>
        <v>70000</v>
      </c>
      <c r="V541" s="6" t="str">
        <f>IF(Table1_1[[#This Row],[Occupation]]="Skilled manual","Blue collar",IF(Table1_1[[#This Row],[Occupation]]="Manual","Blue collar","White collar"))</f>
        <v>White collar</v>
      </c>
    </row>
    <row r="542" spans="1:22" x14ac:dyDescent="0.3">
      <c r="A542" t="s">
        <v>576</v>
      </c>
      <c r="B542" s="6" t="s">
        <v>1044</v>
      </c>
      <c r="C542" s="6" t="s">
        <v>1045</v>
      </c>
      <c r="D542" s="3">
        <v>70000</v>
      </c>
      <c r="E542">
        <v>3</v>
      </c>
      <c r="F542" s="6" t="s">
        <v>31</v>
      </c>
      <c r="G542" s="6" t="s">
        <v>28</v>
      </c>
      <c r="H542" s="6" t="s">
        <v>15</v>
      </c>
      <c r="I542">
        <v>2</v>
      </c>
      <c r="J542" t="s">
        <v>26</v>
      </c>
      <c r="K5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42" s="6" t="s">
        <v>32</v>
      </c>
      <c r="M542" s="7">
        <v>52</v>
      </c>
      <c r="N542" t="s">
        <v>18</v>
      </c>
      <c r="O542" s="9" t="str">
        <f>IF(Table1_1[[#This Row],[Purchased Bike]]="yes","1","0")</f>
        <v>0</v>
      </c>
      <c r="P542" s="4" t="str">
        <f>IF(Table1_1[[#This Row],[Income]]&lt;=30000,"Low ",IF(Table1_1[[#This Row],[Income]]&lt;=70000,"Middle","High"))</f>
        <v>Middle</v>
      </c>
      <c r="Q542" s="6" t="str">
        <f>IF(Table1_1[[#This Row],[Age]]&lt;30,"Young",IF(Table1_1[[#This Row],[Age]]&lt;50,"Middle aged","Senior citizen"))</f>
        <v>Senior citizen</v>
      </c>
      <c r="R542" s="7">
        <f>IF(Table1_1[[#This Row],[Marriedarital SingletatuSingle]]="M",Table1_1[[#This Row],[Children]]+2,Table1_1[[#This Row],[Children]]+1)</f>
        <v>4</v>
      </c>
      <c r="S542" s="4" t="str">
        <f>IF(Table1_1[[#This Row],[Cars]]=0,"No","Yes")</f>
        <v>Yes</v>
      </c>
      <c r="T542" s="6" t="str">
        <f>IF(AND(Table1_1[[#This Row],[Income]]&gt;50000,Table1_1[[#This Row],[Home Owner]]="Yes"),"High stability","Low stability")</f>
        <v>High stability</v>
      </c>
      <c r="U542" s="3">
        <f>Table1_1[[#This Row],[Income]]/Table1_1[[#This Row],[Family size]]</f>
        <v>17500</v>
      </c>
      <c r="V542" s="6" t="str">
        <f>IF(Table1_1[[#This Row],[Occupation]]="Skilled manual","Blue collar",IF(Table1_1[[#This Row],[Occupation]]="Manual","Blue collar","White collar"))</f>
        <v>White collar</v>
      </c>
    </row>
    <row r="543" spans="1:22" x14ac:dyDescent="0.3">
      <c r="A543" t="s">
        <v>577</v>
      </c>
      <c r="B543" s="6" t="s">
        <v>1042</v>
      </c>
      <c r="C543" s="6" t="s">
        <v>1046</v>
      </c>
      <c r="D543" s="3">
        <v>50000</v>
      </c>
      <c r="E543">
        <v>1</v>
      </c>
      <c r="F543" s="6" t="s">
        <v>31</v>
      </c>
      <c r="G543" s="6" t="s">
        <v>14</v>
      </c>
      <c r="H543" s="6" t="s">
        <v>15</v>
      </c>
      <c r="I543">
        <v>0</v>
      </c>
      <c r="J543" t="s">
        <v>26</v>
      </c>
      <c r="K5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43" s="6" t="s">
        <v>32</v>
      </c>
      <c r="M543" s="7">
        <v>34</v>
      </c>
      <c r="N543" t="s">
        <v>18</v>
      </c>
      <c r="O543" s="9" t="str">
        <f>IF(Table1_1[[#This Row],[Purchased Bike]]="yes","1","0")</f>
        <v>0</v>
      </c>
      <c r="P543" s="4" t="str">
        <f>IF(Table1_1[[#This Row],[Income]]&lt;=30000,"Low ",IF(Table1_1[[#This Row],[Income]]&lt;=70000,"Middle","High"))</f>
        <v>Middle</v>
      </c>
      <c r="Q543" s="6" t="str">
        <f>IF(Table1_1[[#This Row],[Age]]&lt;30,"Young",IF(Table1_1[[#This Row],[Age]]&lt;50,"Middle aged","Senior citizen"))</f>
        <v>Middle aged</v>
      </c>
      <c r="R543" s="7">
        <f>IF(Table1_1[[#This Row],[Marriedarital SingletatuSingle]]="M",Table1_1[[#This Row],[Children]]+2,Table1_1[[#This Row],[Children]]+1)</f>
        <v>2</v>
      </c>
      <c r="S543" s="4" t="str">
        <f>IF(Table1_1[[#This Row],[Cars]]=0,"No","Yes")</f>
        <v>No</v>
      </c>
      <c r="T543" s="6" t="str">
        <f>IF(AND(Table1_1[[#This Row],[Income]]&gt;50000,Table1_1[[#This Row],[Home Owner]]="Yes"),"High stability","Low stability")</f>
        <v>Low stability</v>
      </c>
      <c r="U543" s="3">
        <f>Table1_1[[#This Row],[Income]]/Table1_1[[#This Row],[Family size]]</f>
        <v>25000</v>
      </c>
      <c r="V543" s="6" t="str">
        <f>IF(Table1_1[[#This Row],[Occupation]]="Skilled manual","Blue collar",IF(Table1_1[[#This Row],[Occupation]]="Manual","Blue collar","White collar"))</f>
        <v>Blue collar</v>
      </c>
    </row>
    <row r="544" spans="1:22" x14ac:dyDescent="0.3">
      <c r="A544" t="s">
        <v>578</v>
      </c>
      <c r="B544" s="6" t="s">
        <v>1042</v>
      </c>
      <c r="C544" s="6" t="s">
        <v>1046</v>
      </c>
      <c r="D544" s="3">
        <v>40000</v>
      </c>
      <c r="E544">
        <v>0</v>
      </c>
      <c r="F544" s="6" t="s">
        <v>27</v>
      </c>
      <c r="G544" s="6" t="s">
        <v>14</v>
      </c>
      <c r="H544" s="6" t="s">
        <v>15</v>
      </c>
      <c r="I544">
        <v>2</v>
      </c>
      <c r="J544" t="s">
        <v>23</v>
      </c>
      <c r="K5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44" s="6" t="s">
        <v>32</v>
      </c>
      <c r="M544" s="7">
        <v>29</v>
      </c>
      <c r="N544" t="s">
        <v>18</v>
      </c>
      <c r="O544" s="9" t="str">
        <f>IF(Table1_1[[#This Row],[Purchased Bike]]="yes","1","0")</f>
        <v>0</v>
      </c>
      <c r="P544" s="4" t="str">
        <f>IF(Table1_1[[#This Row],[Income]]&lt;=30000,"Low ",IF(Table1_1[[#This Row],[Income]]&lt;=70000,"Middle","High"))</f>
        <v>Middle</v>
      </c>
      <c r="Q544" s="6" t="str">
        <f>IF(Table1_1[[#This Row],[Age]]&lt;30,"Young",IF(Table1_1[[#This Row],[Age]]&lt;50,"Middle aged","Senior citizen"))</f>
        <v>Young</v>
      </c>
      <c r="R544" s="7">
        <f>IF(Table1_1[[#This Row],[Marriedarital SingletatuSingle]]="M",Table1_1[[#This Row],[Children]]+2,Table1_1[[#This Row],[Children]]+1)</f>
        <v>1</v>
      </c>
      <c r="S544" s="4" t="str">
        <f>IF(Table1_1[[#This Row],[Cars]]=0,"No","Yes")</f>
        <v>Yes</v>
      </c>
      <c r="T544" s="6" t="str">
        <f>IF(AND(Table1_1[[#This Row],[Income]]&gt;50000,Table1_1[[#This Row],[Home Owner]]="Yes"),"High stability","Low stability")</f>
        <v>Low stability</v>
      </c>
      <c r="U544" s="3">
        <f>Table1_1[[#This Row],[Income]]/Table1_1[[#This Row],[Family size]]</f>
        <v>40000</v>
      </c>
      <c r="V544" s="6" t="str">
        <f>IF(Table1_1[[#This Row],[Occupation]]="Skilled manual","Blue collar",IF(Table1_1[[#This Row],[Occupation]]="Manual","Blue collar","White collar"))</f>
        <v>Blue collar</v>
      </c>
    </row>
    <row r="545" spans="1:22" x14ac:dyDescent="0.3">
      <c r="A545" t="s">
        <v>579</v>
      </c>
      <c r="B545" s="6" t="s">
        <v>1042</v>
      </c>
      <c r="C545" s="6" t="s">
        <v>1045</v>
      </c>
      <c r="D545" s="3">
        <v>70000</v>
      </c>
      <c r="E545">
        <v>2</v>
      </c>
      <c r="F545" s="6" t="s">
        <v>27</v>
      </c>
      <c r="G545" s="6" t="s">
        <v>21</v>
      </c>
      <c r="H545" s="6" t="s">
        <v>15</v>
      </c>
      <c r="I545">
        <v>2</v>
      </c>
      <c r="J545" t="s">
        <v>22</v>
      </c>
      <c r="K5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45" s="6" t="s">
        <v>32</v>
      </c>
      <c r="M545" s="7">
        <v>53</v>
      </c>
      <c r="N545" t="s">
        <v>18</v>
      </c>
      <c r="O545" s="9" t="str">
        <f>IF(Table1_1[[#This Row],[Purchased Bike]]="yes","1","0")</f>
        <v>0</v>
      </c>
      <c r="P545" s="4" t="str">
        <f>IF(Table1_1[[#This Row],[Income]]&lt;=30000,"Low ",IF(Table1_1[[#This Row],[Income]]&lt;=70000,"Middle","High"))</f>
        <v>Middle</v>
      </c>
      <c r="Q545" s="6" t="str">
        <f>IF(Table1_1[[#This Row],[Age]]&lt;30,"Young",IF(Table1_1[[#This Row],[Age]]&lt;50,"Middle aged","Senior citizen"))</f>
        <v>Senior citizen</v>
      </c>
      <c r="R545" s="7">
        <f>IF(Table1_1[[#This Row],[Marriedarital SingletatuSingle]]="M",Table1_1[[#This Row],[Children]]+2,Table1_1[[#This Row],[Children]]+1)</f>
        <v>3</v>
      </c>
      <c r="S545" s="4" t="str">
        <f>IF(Table1_1[[#This Row],[Cars]]=0,"No","Yes")</f>
        <v>Yes</v>
      </c>
      <c r="T545" s="6" t="str">
        <f>IF(AND(Table1_1[[#This Row],[Income]]&gt;50000,Table1_1[[#This Row],[Home Owner]]="Yes"),"High stability","Low stability")</f>
        <v>High stability</v>
      </c>
      <c r="U545" s="3">
        <f>Table1_1[[#This Row],[Income]]/Table1_1[[#This Row],[Family size]]</f>
        <v>23333.333333333332</v>
      </c>
      <c r="V545" s="6" t="str">
        <f>IF(Table1_1[[#This Row],[Occupation]]="Skilled manual","Blue collar",IF(Table1_1[[#This Row],[Occupation]]="Manual","Blue collar","White collar"))</f>
        <v>White collar</v>
      </c>
    </row>
    <row r="546" spans="1:22" x14ac:dyDescent="0.3">
      <c r="A546" t="s">
        <v>580</v>
      </c>
      <c r="B546" s="6" t="s">
        <v>1044</v>
      </c>
      <c r="C546" s="6" t="s">
        <v>1046</v>
      </c>
      <c r="D546" s="3">
        <v>120000</v>
      </c>
      <c r="E546">
        <v>2</v>
      </c>
      <c r="F546" s="6" t="s">
        <v>13</v>
      </c>
      <c r="G546" s="6" t="s">
        <v>28</v>
      </c>
      <c r="H546" s="6" t="s">
        <v>18</v>
      </c>
      <c r="I546">
        <v>4</v>
      </c>
      <c r="J546" t="s">
        <v>26</v>
      </c>
      <c r="K5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46" s="6" t="s">
        <v>32</v>
      </c>
      <c r="M546" s="7">
        <v>40</v>
      </c>
      <c r="N546" t="s">
        <v>18</v>
      </c>
      <c r="O546" s="9" t="str">
        <f>IF(Table1_1[[#This Row],[Purchased Bike]]="yes","1","0")</f>
        <v>0</v>
      </c>
      <c r="P546" s="4" t="str">
        <f>IF(Table1_1[[#This Row],[Income]]&lt;=30000,"Low ",IF(Table1_1[[#This Row],[Income]]&lt;=70000,"Middle","High"))</f>
        <v>High</v>
      </c>
      <c r="Q546" s="6" t="str">
        <f>IF(Table1_1[[#This Row],[Age]]&lt;30,"Young",IF(Table1_1[[#This Row],[Age]]&lt;50,"Middle aged","Senior citizen"))</f>
        <v>Middle aged</v>
      </c>
      <c r="R546" s="7">
        <f>IF(Table1_1[[#This Row],[Marriedarital SingletatuSingle]]="M",Table1_1[[#This Row],[Children]]+2,Table1_1[[#This Row],[Children]]+1)</f>
        <v>3</v>
      </c>
      <c r="S546" s="4" t="str">
        <f>IF(Table1_1[[#This Row],[Cars]]=0,"No","Yes")</f>
        <v>Yes</v>
      </c>
      <c r="T546" s="6" t="str">
        <f>IF(AND(Table1_1[[#This Row],[Income]]&gt;50000,Table1_1[[#This Row],[Home Owner]]="Yes"),"High stability","Low stability")</f>
        <v>Low stability</v>
      </c>
      <c r="U546" s="3">
        <f>Table1_1[[#This Row],[Income]]/Table1_1[[#This Row],[Family size]]</f>
        <v>40000</v>
      </c>
      <c r="V546" s="6" t="str">
        <f>IF(Table1_1[[#This Row],[Occupation]]="Skilled manual","Blue collar",IF(Table1_1[[#This Row],[Occupation]]="Manual","Blue collar","White collar"))</f>
        <v>White collar</v>
      </c>
    </row>
    <row r="547" spans="1:22" x14ac:dyDescent="0.3">
      <c r="A547" t="s">
        <v>581</v>
      </c>
      <c r="B547" s="6" t="s">
        <v>1044</v>
      </c>
      <c r="C547" s="6" t="s">
        <v>1046</v>
      </c>
      <c r="D547" s="3">
        <v>60000</v>
      </c>
      <c r="E547">
        <v>0</v>
      </c>
      <c r="F547" s="6" t="s">
        <v>19</v>
      </c>
      <c r="G547" s="6" t="s">
        <v>14</v>
      </c>
      <c r="H547" s="6" t="s">
        <v>18</v>
      </c>
      <c r="I547">
        <v>2</v>
      </c>
      <c r="J547" t="s">
        <v>26</v>
      </c>
      <c r="K5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47" s="6" t="s">
        <v>32</v>
      </c>
      <c r="M547" s="7">
        <v>29</v>
      </c>
      <c r="N547" t="s">
        <v>18</v>
      </c>
      <c r="O547" s="9" t="str">
        <f>IF(Table1_1[[#This Row],[Purchased Bike]]="yes","1","0")</f>
        <v>0</v>
      </c>
      <c r="P547" s="4" t="str">
        <f>IF(Table1_1[[#This Row],[Income]]&lt;=30000,"Low ",IF(Table1_1[[#This Row],[Income]]&lt;=70000,"Middle","High"))</f>
        <v>Middle</v>
      </c>
      <c r="Q547" s="6" t="str">
        <f>IF(Table1_1[[#This Row],[Age]]&lt;30,"Young",IF(Table1_1[[#This Row],[Age]]&lt;50,"Middle aged","Senior citizen"))</f>
        <v>Young</v>
      </c>
      <c r="R547" s="7">
        <f>IF(Table1_1[[#This Row],[Marriedarital SingletatuSingle]]="M",Table1_1[[#This Row],[Children]]+2,Table1_1[[#This Row],[Children]]+1)</f>
        <v>1</v>
      </c>
      <c r="S547" s="4" t="str">
        <f>IF(Table1_1[[#This Row],[Cars]]=0,"No","Yes")</f>
        <v>Yes</v>
      </c>
      <c r="T547" s="6" t="str">
        <f>IF(AND(Table1_1[[#This Row],[Income]]&gt;50000,Table1_1[[#This Row],[Home Owner]]="Yes"),"High stability","Low stability")</f>
        <v>Low stability</v>
      </c>
      <c r="U547" s="3">
        <f>Table1_1[[#This Row],[Income]]/Table1_1[[#This Row],[Family size]]</f>
        <v>60000</v>
      </c>
      <c r="V547" s="6" t="str">
        <f>IF(Table1_1[[#This Row],[Occupation]]="Skilled manual","Blue collar",IF(Table1_1[[#This Row],[Occupation]]="Manual","Blue collar","White collar"))</f>
        <v>Blue collar</v>
      </c>
    </row>
    <row r="548" spans="1:22" x14ac:dyDescent="0.3">
      <c r="A548" t="s">
        <v>582</v>
      </c>
      <c r="B548" s="6" t="s">
        <v>1042</v>
      </c>
      <c r="C548" s="6" t="s">
        <v>1046</v>
      </c>
      <c r="D548" s="3">
        <v>60000</v>
      </c>
      <c r="E548">
        <v>4</v>
      </c>
      <c r="F548" s="6" t="s">
        <v>13</v>
      </c>
      <c r="G548" s="6" t="s">
        <v>21</v>
      </c>
      <c r="H548" s="6" t="s">
        <v>15</v>
      </c>
      <c r="I548">
        <v>2</v>
      </c>
      <c r="J548" t="s">
        <v>22</v>
      </c>
      <c r="K5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48" s="6" t="s">
        <v>32</v>
      </c>
      <c r="M548" s="7">
        <v>43</v>
      </c>
      <c r="N548" t="s">
        <v>15</v>
      </c>
      <c r="O548" s="9" t="str">
        <f>IF(Table1_1[[#This Row],[Purchased Bike]]="yes","1","0")</f>
        <v>1</v>
      </c>
      <c r="P548" s="4" t="str">
        <f>IF(Table1_1[[#This Row],[Income]]&lt;=30000,"Low ",IF(Table1_1[[#This Row],[Income]]&lt;=70000,"Middle","High"))</f>
        <v>Middle</v>
      </c>
      <c r="Q548" s="6" t="str">
        <f>IF(Table1_1[[#This Row],[Age]]&lt;30,"Young",IF(Table1_1[[#This Row],[Age]]&lt;50,"Middle aged","Senior citizen"))</f>
        <v>Middle aged</v>
      </c>
      <c r="R548" s="7">
        <f>IF(Table1_1[[#This Row],[Marriedarital SingletatuSingle]]="M",Table1_1[[#This Row],[Children]]+2,Table1_1[[#This Row],[Children]]+1)</f>
        <v>5</v>
      </c>
      <c r="S548" s="4" t="str">
        <f>IF(Table1_1[[#This Row],[Cars]]=0,"No","Yes")</f>
        <v>Yes</v>
      </c>
      <c r="T548" s="6" t="str">
        <f>IF(AND(Table1_1[[#This Row],[Income]]&gt;50000,Table1_1[[#This Row],[Home Owner]]="Yes"),"High stability","Low stability")</f>
        <v>High stability</v>
      </c>
      <c r="U548" s="3">
        <f>Table1_1[[#This Row],[Income]]/Table1_1[[#This Row],[Family size]]</f>
        <v>12000</v>
      </c>
      <c r="V548" s="6" t="str">
        <f>IF(Table1_1[[#This Row],[Occupation]]="Skilled manual","Blue collar",IF(Table1_1[[#This Row],[Occupation]]="Manual","Blue collar","White collar"))</f>
        <v>White collar</v>
      </c>
    </row>
    <row r="549" spans="1:22" x14ac:dyDescent="0.3">
      <c r="A549" t="s">
        <v>583</v>
      </c>
      <c r="B549" s="6" t="s">
        <v>1042</v>
      </c>
      <c r="C549" s="6" t="s">
        <v>1046</v>
      </c>
      <c r="D549" s="3">
        <v>60000</v>
      </c>
      <c r="E549">
        <v>2</v>
      </c>
      <c r="F549" s="6" t="s">
        <v>27</v>
      </c>
      <c r="G549" s="6" t="s">
        <v>21</v>
      </c>
      <c r="H549" s="6" t="s">
        <v>15</v>
      </c>
      <c r="I549">
        <v>2</v>
      </c>
      <c r="J549" t="s">
        <v>22</v>
      </c>
      <c r="K5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49" s="6" t="s">
        <v>32</v>
      </c>
      <c r="M549" s="7">
        <v>55</v>
      </c>
      <c r="N549" t="s">
        <v>15</v>
      </c>
      <c r="O549" s="9" t="str">
        <f>IF(Table1_1[[#This Row],[Purchased Bike]]="yes","1","0")</f>
        <v>1</v>
      </c>
      <c r="P549" s="4" t="str">
        <f>IF(Table1_1[[#This Row],[Income]]&lt;=30000,"Low ",IF(Table1_1[[#This Row],[Income]]&lt;=70000,"Middle","High"))</f>
        <v>Middle</v>
      </c>
      <c r="Q549" s="6" t="str">
        <f>IF(Table1_1[[#This Row],[Age]]&lt;30,"Young",IF(Table1_1[[#This Row],[Age]]&lt;50,"Middle aged","Senior citizen"))</f>
        <v>Senior citizen</v>
      </c>
      <c r="R549" s="7">
        <f>IF(Table1_1[[#This Row],[Marriedarital SingletatuSingle]]="M",Table1_1[[#This Row],[Children]]+2,Table1_1[[#This Row],[Children]]+1)</f>
        <v>3</v>
      </c>
      <c r="S549" s="4" t="str">
        <f>IF(Table1_1[[#This Row],[Cars]]=0,"No","Yes")</f>
        <v>Yes</v>
      </c>
      <c r="T549" s="6" t="str">
        <f>IF(AND(Table1_1[[#This Row],[Income]]&gt;50000,Table1_1[[#This Row],[Home Owner]]="Yes"),"High stability","Low stability")</f>
        <v>High stability</v>
      </c>
      <c r="U549" s="3">
        <f>Table1_1[[#This Row],[Income]]/Table1_1[[#This Row],[Family size]]</f>
        <v>20000</v>
      </c>
      <c r="V549" s="6" t="str">
        <f>IF(Table1_1[[#This Row],[Occupation]]="Skilled manual","Blue collar",IF(Table1_1[[#This Row],[Occupation]]="Manual","Blue collar","White collar"))</f>
        <v>White collar</v>
      </c>
    </row>
    <row r="550" spans="1:22" x14ac:dyDescent="0.3">
      <c r="A550" t="s">
        <v>584</v>
      </c>
      <c r="B550" s="6" t="s">
        <v>1044</v>
      </c>
      <c r="C550" s="6" t="s">
        <v>1045</v>
      </c>
      <c r="D550" s="3">
        <v>80000</v>
      </c>
      <c r="E550">
        <v>4</v>
      </c>
      <c r="F550" s="6" t="s">
        <v>31</v>
      </c>
      <c r="G550" s="6" t="s">
        <v>14</v>
      </c>
      <c r="H550" s="6" t="s">
        <v>18</v>
      </c>
      <c r="I550">
        <v>0</v>
      </c>
      <c r="J550" t="s">
        <v>16</v>
      </c>
      <c r="K5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50" s="6" t="s">
        <v>32</v>
      </c>
      <c r="M550" s="7">
        <v>48</v>
      </c>
      <c r="N550" t="s">
        <v>18</v>
      </c>
      <c r="O550" s="9" t="str">
        <f>IF(Table1_1[[#This Row],[Purchased Bike]]="yes","1","0")</f>
        <v>0</v>
      </c>
      <c r="P550" s="4" t="str">
        <f>IF(Table1_1[[#This Row],[Income]]&lt;=30000,"Low ",IF(Table1_1[[#This Row],[Income]]&lt;=70000,"Middle","High"))</f>
        <v>High</v>
      </c>
      <c r="Q550" s="6" t="str">
        <f>IF(Table1_1[[#This Row],[Age]]&lt;30,"Young",IF(Table1_1[[#This Row],[Age]]&lt;50,"Middle aged","Senior citizen"))</f>
        <v>Middle aged</v>
      </c>
      <c r="R550" s="7">
        <f>IF(Table1_1[[#This Row],[Marriedarital SingletatuSingle]]="M",Table1_1[[#This Row],[Children]]+2,Table1_1[[#This Row],[Children]]+1)</f>
        <v>5</v>
      </c>
      <c r="S550" s="4" t="str">
        <f>IF(Table1_1[[#This Row],[Cars]]=0,"No","Yes")</f>
        <v>No</v>
      </c>
      <c r="T550" s="6" t="str">
        <f>IF(AND(Table1_1[[#This Row],[Income]]&gt;50000,Table1_1[[#This Row],[Home Owner]]="Yes"),"High stability","Low stability")</f>
        <v>Low stability</v>
      </c>
      <c r="U550" s="3">
        <f>Table1_1[[#This Row],[Income]]/Table1_1[[#This Row],[Family size]]</f>
        <v>16000</v>
      </c>
      <c r="V550" s="6" t="str">
        <f>IF(Table1_1[[#This Row],[Occupation]]="Skilled manual","Blue collar",IF(Table1_1[[#This Row],[Occupation]]="Manual","Blue collar","White collar"))</f>
        <v>Blue collar</v>
      </c>
    </row>
    <row r="551" spans="1:22" x14ac:dyDescent="0.3">
      <c r="A551" t="s">
        <v>585</v>
      </c>
      <c r="B551" s="6" t="s">
        <v>1042</v>
      </c>
      <c r="C551" s="6" t="s">
        <v>1045</v>
      </c>
      <c r="D551" s="3">
        <v>130000</v>
      </c>
      <c r="E551">
        <v>3</v>
      </c>
      <c r="F551" s="6" t="s">
        <v>13</v>
      </c>
      <c r="G551" s="6" t="s">
        <v>28</v>
      </c>
      <c r="H551" s="6" t="s">
        <v>15</v>
      </c>
      <c r="I551">
        <v>3</v>
      </c>
      <c r="J551" t="s">
        <v>16</v>
      </c>
      <c r="K5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51" s="6" t="s">
        <v>32</v>
      </c>
      <c r="M551" s="7">
        <v>45</v>
      </c>
      <c r="N551" t="s">
        <v>15</v>
      </c>
      <c r="O551" s="9" t="str">
        <f>IF(Table1_1[[#This Row],[Purchased Bike]]="yes","1","0")</f>
        <v>1</v>
      </c>
      <c r="P551" s="4" t="str">
        <f>IF(Table1_1[[#This Row],[Income]]&lt;=30000,"Low ",IF(Table1_1[[#This Row],[Income]]&lt;=70000,"Middle","High"))</f>
        <v>High</v>
      </c>
      <c r="Q551" s="6" t="str">
        <f>IF(Table1_1[[#This Row],[Age]]&lt;30,"Young",IF(Table1_1[[#This Row],[Age]]&lt;50,"Middle aged","Senior citizen"))</f>
        <v>Middle aged</v>
      </c>
      <c r="R551" s="7">
        <f>IF(Table1_1[[#This Row],[Marriedarital SingletatuSingle]]="M",Table1_1[[#This Row],[Children]]+2,Table1_1[[#This Row],[Children]]+1)</f>
        <v>4</v>
      </c>
      <c r="S551" s="4" t="str">
        <f>IF(Table1_1[[#This Row],[Cars]]=0,"No","Yes")</f>
        <v>Yes</v>
      </c>
      <c r="T551" s="6" t="str">
        <f>IF(AND(Table1_1[[#This Row],[Income]]&gt;50000,Table1_1[[#This Row],[Home Owner]]="Yes"),"High stability","Low stability")</f>
        <v>High stability</v>
      </c>
      <c r="U551" s="3">
        <f>Table1_1[[#This Row],[Income]]/Table1_1[[#This Row],[Family size]]</f>
        <v>32500</v>
      </c>
      <c r="V551" s="6" t="str">
        <f>IF(Table1_1[[#This Row],[Occupation]]="Skilled manual","Blue collar",IF(Table1_1[[#This Row],[Occupation]]="Manual","Blue collar","White collar"))</f>
        <v>White collar</v>
      </c>
    </row>
    <row r="552" spans="1:22" x14ac:dyDescent="0.3">
      <c r="A552" t="s">
        <v>586</v>
      </c>
      <c r="B552" s="6" t="s">
        <v>1044</v>
      </c>
      <c r="C552" s="6" t="s">
        <v>1045</v>
      </c>
      <c r="D552" s="3">
        <v>70000</v>
      </c>
      <c r="E552">
        <v>0</v>
      </c>
      <c r="F552" s="6" t="s">
        <v>13</v>
      </c>
      <c r="G552" s="6" t="s">
        <v>21</v>
      </c>
      <c r="H552" s="6" t="s">
        <v>18</v>
      </c>
      <c r="I552">
        <v>1</v>
      </c>
      <c r="J552" t="s">
        <v>16</v>
      </c>
      <c r="K5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52" s="6" t="s">
        <v>24</v>
      </c>
      <c r="M552" s="7">
        <v>42</v>
      </c>
      <c r="N552" t="s">
        <v>15</v>
      </c>
      <c r="O552" s="9" t="str">
        <f>IF(Table1_1[[#This Row],[Purchased Bike]]="yes","1","0")</f>
        <v>1</v>
      </c>
      <c r="P552" s="4" t="str">
        <f>IF(Table1_1[[#This Row],[Income]]&lt;=30000,"Low ",IF(Table1_1[[#This Row],[Income]]&lt;=70000,"Middle","High"))</f>
        <v>Middle</v>
      </c>
      <c r="Q552" s="6" t="str">
        <f>IF(Table1_1[[#This Row],[Age]]&lt;30,"Young",IF(Table1_1[[#This Row],[Age]]&lt;50,"Middle aged","Senior citizen"))</f>
        <v>Middle aged</v>
      </c>
      <c r="R552" s="7">
        <f>IF(Table1_1[[#This Row],[Marriedarital SingletatuSingle]]="M",Table1_1[[#This Row],[Children]]+2,Table1_1[[#This Row],[Children]]+1)</f>
        <v>1</v>
      </c>
      <c r="S552" s="4" t="str">
        <f>IF(Table1_1[[#This Row],[Cars]]=0,"No","Yes")</f>
        <v>Yes</v>
      </c>
      <c r="T552" s="6" t="str">
        <f>IF(AND(Table1_1[[#This Row],[Income]]&gt;50000,Table1_1[[#This Row],[Home Owner]]="Yes"),"High stability","Low stability")</f>
        <v>Low stability</v>
      </c>
      <c r="U552" s="3">
        <f>Table1_1[[#This Row],[Income]]/Table1_1[[#This Row],[Family size]]</f>
        <v>70000</v>
      </c>
      <c r="V552" s="6" t="str">
        <f>IF(Table1_1[[#This Row],[Occupation]]="Skilled manual","Blue collar",IF(Table1_1[[#This Row],[Occupation]]="Manual","Blue collar","White collar"))</f>
        <v>White collar</v>
      </c>
    </row>
    <row r="553" spans="1:22" x14ac:dyDescent="0.3">
      <c r="A553" t="s">
        <v>587</v>
      </c>
      <c r="B553" s="6" t="s">
        <v>1042</v>
      </c>
      <c r="C553" s="6" t="s">
        <v>1045</v>
      </c>
      <c r="D553" s="3">
        <v>50000</v>
      </c>
      <c r="E553">
        <v>4</v>
      </c>
      <c r="F553" s="6" t="s">
        <v>13</v>
      </c>
      <c r="G553" s="6" t="s">
        <v>28</v>
      </c>
      <c r="H553" s="6" t="s">
        <v>15</v>
      </c>
      <c r="I553">
        <v>2</v>
      </c>
      <c r="J553" t="s">
        <v>30</v>
      </c>
      <c r="K5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53" s="6" t="s">
        <v>32</v>
      </c>
      <c r="M553" s="7">
        <v>63</v>
      </c>
      <c r="N553" t="s">
        <v>18</v>
      </c>
      <c r="O553" s="9" t="str">
        <f>IF(Table1_1[[#This Row],[Purchased Bike]]="yes","1","0")</f>
        <v>0</v>
      </c>
      <c r="P553" s="4" t="str">
        <f>IF(Table1_1[[#This Row],[Income]]&lt;=30000,"Low ",IF(Table1_1[[#This Row],[Income]]&lt;=70000,"Middle","High"))</f>
        <v>Middle</v>
      </c>
      <c r="Q553" s="6" t="str">
        <f>IF(Table1_1[[#This Row],[Age]]&lt;30,"Young",IF(Table1_1[[#This Row],[Age]]&lt;50,"Middle aged","Senior citizen"))</f>
        <v>Senior citizen</v>
      </c>
      <c r="R553" s="7">
        <f>IF(Table1_1[[#This Row],[Marriedarital SingletatuSingle]]="M",Table1_1[[#This Row],[Children]]+2,Table1_1[[#This Row],[Children]]+1)</f>
        <v>5</v>
      </c>
      <c r="S553" s="4" t="str">
        <f>IF(Table1_1[[#This Row],[Cars]]=0,"No","Yes")</f>
        <v>Yes</v>
      </c>
      <c r="T553" s="6" t="str">
        <f>IF(AND(Table1_1[[#This Row],[Income]]&gt;50000,Table1_1[[#This Row],[Home Owner]]="Yes"),"High stability","Low stability")</f>
        <v>Low stability</v>
      </c>
      <c r="U553" s="3">
        <f>Table1_1[[#This Row],[Income]]/Table1_1[[#This Row],[Family size]]</f>
        <v>10000</v>
      </c>
      <c r="V553" s="6" t="str">
        <f>IF(Table1_1[[#This Row],[Occupation]]="Skilled manual","Blue collar",IF(Table1_1[[#This Row],[Occupation]]="Manual","Blue collar","White collar"))</f>
        <v>White collar</v>
      </c>
    </row>
    <row r="554" spans="1:22" x14ac:dyDescent="0.3">
      <c r="A554" t="s">
        <v>588</v>
      </c>
      <c r="B554" s="6" t="s">
        <v>1044</v>
      </c>
      <c r="C554" s="6" t="s">
        <v>1046</v>
      </c>
      <c r="D554" s="3">
        <v>60000</v>
      </c>
      <c r="E554">
        <v>3</v>
      </c>
      <c r="F554" s="6" t="s">
        <v>27</v>
      </c>
      <c r="G554" s="6" t="s">
        <v>21</v>
      </c>
      <c r="H554" s="6" t="s">
        <v>15</v>
      </c>
      <c r="I554">
        <v>2</v>
      </c>
      <c r="J554" t="s">
        <v>30</v>
      </c>
      <c r="K5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54" s="6" t="s">
        <v>32</v>
      </c>
      <c r="M554" s="7">
        <v>54</v>
      </c>
      <c r="N554" t="s">
        <v>15</v>
      </c>
      <c r="O554" s="9" t="str">
        <f>IF(Table1_1[[#This Row],[Purchased Bike]]="yes","1","0")</f>
        <v>1</v>
      </c>
      <c r="P554" s="4" t="str">
        <f>IF(Table1_1[[#This Row],[Income]]&lt;=30000,"Low ",IF(Table1_1[[#This Row],[Income]]&lt;=70000,"Middle","High"))</f>
        <v>Middle</v>
      </c>
      <c r="Q554" s="6" t="str">
        <f>IF(Table1_1[[#This Row],[Age]]&lt;30,"Young",IF(Table1_1[[#This Row],[Age]]&lt;50,"Middle aged","Senior citizen"))</f>
        <v>Senior citizen</v>
      </c>
      <c r="R554" s="7">
        <f>IF(Table1_1[[#This Row],[Marriedarital SingletatuSingle]]="M",Table1_1[[#This Row],[Children]]+2,Table1_1[[#This Row],[Children]]+1)</f>
        <v>4</v>
      </c>
      <c r="S554" s="4" t="str">
        <f>IF(Table1_1[[#This Row],[Cars]]=0,"No","Yes")</f>
        <v>Yes</v>
      </c>
      <c r="T554" s="6" t="str">
        <f>IF(AND(Table1_1[[#This Row],[Income]]&gt;50000,Table1_1[[#This Row],[Home Owner]]="Yes"),"High stability","Low stability")</f>
        <v>High stability</v>
      </c>
      <c r="U554" s="3">
        <f>Table1_1[[#This Row],[Income]]/Table1_1[[#This Row],[Family size]]</f>
        <v>15000</v>
      </c>
      <c r="V554" s="6" t="str">
        <f>IF(Table1_1[[#This Row],[Occupation]]="Skilled manual","Blue collar",IF(Table1_1[[#This Row],[Occupation]]="Manual","Blue collar","White collar"))</f>
        <v>White collar</v>
      </c>
    </row>
    <row r="555" spans="1:22" x14ac:dyDescent="0.3">
      <c r="A555" t="s">
        <v>589</v>
      </c>
      <c r="B555" s="6" t="s">
        <v>1042</v>
      </c>
      <c r="C555" s="6" t="s">
        <v>1046</v>
      </c>
      <c r="D555" s="3">
        <v>40000</v>
      </c>
      <c r="E555">
        <v>3</v>
      </c>
      <c r="F555" s="6" t="s">
        <v>19</v>
      </c>
      <c r="G555" s="6" t="s">
        <v>21</v>
      </c>
      <c r="H555" s="6" t="s">
        <v>18</v>
      </c>
      <c r="I555">
        <v>2</v>
      </c>
      <c r="J555" t="s">
        <v>23</v>
      </c>
      <c r="K5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55" s="6" t="s">
        <v>32</v>
      </c>
      <c r="M555" s="7">
        <v>73</v>
      </c>
      <c r="N555" t="s">
        <v>15</v>
      </c>
      <c r="O555" s="9" t="str">
        <f>IF(Table1_1[[#This Row],[Purchased Bike]]="yes","1","0")</f>
        <v>1</v>
      </c>
      <c r="P555" s="4" t="str">
        <f>IF(Table1_1[[#This Row],[Income]]&lt;=30000,"Low ",IF(Table1_1[[#This Row],[Income]]&lt;=70000,"Middle","High"))</f>
        <v>Middle</v>
      </c>
      <c r="Q555" s="6" t="str">
        <f>IF(Table1_1[[#This Row],[Age]]&lt;30,"Young",IF(Table1_1[[#This Row],[Age]]&lt;50,"Middle aged","Senior citizen"))</f>
        <v>Senior citizen</v>
      </c>
      <c r="R555" s="7">
        <f>IF(Table1_1[[#This Row],[Marriedarital SingletatuSingle]]="M",Table1_1[[#This Row],[Children]]+2,Table1_1[[#This Row],[Children]]+1)</f>
        <v>4</v>
      </c>
      <c r="S555" s="4" t="str">
        <f>IF(Table1_1[[#This Row],[Cars]]=0,"No","Yes")</f>
        <v>Yes</v>
      </c>
      <c r="T555" s="6" t="str">
        <f>IF(AND(Table1_1[[#This Row],[Income]]&gt;50000,Table1_1[[#This Row],[Home Owner]]="Yes"),"High stability","Low stability")</f>
        <v>Low stability</v>
      </c>
      <c r="U555" s="3">
        <f>Table1_1[[#This Row],[Income]]/Table1_1[[#This Row],[Family size]]</f>
        <v>10000</v>
      </c>
      <c r="V555" s="6" t="str">
        <f>IF(Table1_1[[#This Row],[Occupation]]="Skilled manual","Blue collar",IF(Table1_1[[#This Row],[Occupation]]="Manual","Blue collar","White collar"))</f>
        <v>White collar</v>
      </c>
    </row>
    <row r="556" spans="1:22" x14ac:dyDescent="0.3">
      <c r="A556" t="s">
        <v>590</v>
      </c>
      <c r="B556" s="6" t="s">
        <v>1042</v>
      </c>
      <c r="C556" s="6" t="s">
        <v>1045</v>
      </c>
      <c r="D556" s="3">
        <v>60000</v>
      </c>
      <c r="E556">
        <v>2</v>
      </c>
      <c r="F556" s="6" t="s">
        <v>31</v>
      </c>
      <c r="G556" s="6" t="s">
        <v>21</v>
      </c>
      <c r="H556" s="6" t="s">
        <v>15</v>
      </c>
      <c r="I556">
        <v>0</v>
      </c>
      <c r="J556" t="s">
        <v>22</v>
      </c>
      <c r="K5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56" s="6" t="s">
        <v>32</v>
      </c>
      <c r="M556" s="7">
        <v>40</v>
      </c>
      <c r="N556" t="s">
        <v>15</v>
      </c>
      <c r="O556" s="9" t="str">
        <f>IF(Table1_1[[#This Row],[Purchased Bike]]="yes","1","0")</f>
        <v>1</v>
      </c>
      <c r="P556" s="4" t="str">
        <f>IF(Table1_1[[#This Row],[Income]]&lt;=30000,"Low ",IF(Table1_1[[#This Row],[Income]]&lt;=70000,"Middle","High"))</f>
        <v>Middle</v>
      </c>
      <c r="Q556" s="6" t="str">
        <f>IF(Table1_1[[#This Row],[Age]]&lt;30,"Young",IF(Table1_1[[#This Row],[Age]]&lt;50,"Middle aged","Senior citizen"))</f>
        <v>Middle aged</v>
      </c>
      <c r="R556" s="7">
        <f>IF(Table1_1[[#This Row],[Marriedarital SingletatuSingle]]="M",Table1_1[[#This Row],[Children]]+2,Table1_1[[#This Row],[Children]]+1)</f>
        <v>3</v>
      </c>
      <c r="S556" s="4" t="str">
        <f>IF(Table1_1[[#This Row],[Cars]]=0,"No","Yes")</f>
        <v>No</v>
      </c>
      <c r="T556" s="6" t="str">
        <f>IF(AND(Table1_1[[#This Row],[Income]]&gt;50000,Table1_1[[#This Row],[Home Owner]]="Yes"),"High stability","Low stability")</f>
        <v>High stability</v>
      </c>
      <c r="U556" s="3">
        <f>Table1_1[[#This Row],[Income]]/Table1_1[[#This Row],[Family size]]</f>
        <v>20000</v>
      </c>
      <c r="V556" s="6" t="str">
        <f>IF(Table1_1[[#This Row],[Occupation]]="Skilled manual","Blue collar",IF(Table1_1[[#This Row],[Occupation]]="Manual","Blue collar","White collar"))</f>
        <v>White collar</v>
      </c>
    </row>
    <row r="557" spans="1:22" x14ac:dyDescent="0.3">
      <c r="A557" t="s">
        <v>591</v>
      </c>
      <c r="B557" s="6" t="s">
        <v>1044</v>
      </c>
      <c r="C557" s="6" t="s">
        <v>1046</v>
      </c>
      <c r="D557" s="3">
        <v>50000</v>
      </c>
      <c r="E557">
        <v>0</v>
      </c>
      <c r="F557" s="6" t="s">
        <v>19</v>
      </c>
      <c r="G557" s="6" t="s">
        <v>14</v>
      </c>
      <c r="H557" s="6" t="s">
        <v>18</v>
      </c>
      <c r="I557">
        <v>1</v>
      </c>
      <c r="J557" t="s">
        <v>22</v>
      </c>
      <c r="K5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57" s="6" t="s">
        <v>32</v>
      </c>
      <c r="M557" s="7">
        <v>39</v>
      </c>
      <c r="N557" t="s">
        <v>15</v>
      </c>
      <c r="O557" s="9" t="str">
        <f>IF(Table1_1[[#This Row],[Purchased Bike]]="yes","1","0")</f>
        <v>1</v>
      </c>
      <c r="P557" s="4" t="str">
        <f>IF(Table1_1[[#This Row],[Income]]&lt;=30000,"Low ",IF(Table1_1[[#This Row],[Income]]&lt;=70000,"Middle","High"))</f>
        <v>Middle</v>
      </c>
      <c r="Q557" s="6" t="str">
        <f>IF(Table1_1[[#This Row],[Age]]&lt;30,"Young",IF(Table1_1[[#This Row],[Age]]&lt;50,"Middle aged","Senior citizen"))</f>
        <v>Middle aged</v>
      </c>
      <c r="R557" s="7">
        <f>IF(Table1_1[[#This Row],[Marriedarital SingletatuSingle]]="M",Table1_1[[#This Row],[Children]]+2,Table1_1[[#This Row],[Children]]+1)</f>
        <v>1</v>
      </c>
      <c r="S557" s="4" t="str">
        <f>IF(Table1_1[[#This Row],[Cars]]=0,"No","Yes")</f>
        <v>Yes</v>
      </c>
      <c r="T557" s="6" t="str">
        <f>IF(AND(Table1_1[[#This Row],[Income]]&gt;50000,Table1_1[[#This Row],[Home Owner]]="Yes"),"High stability","Low stability")</f>
        <v>Low stability</v>
      </c>
      <c r="U557" s="3">
        <f>Table1_1[[#This Row],[Income]]/Table1_1[[#This Row],[Family size]]</f>
        <v>50000</v>
      </c>
      <c r="V557" s="6" t="str">
        <f>IF(Table1_1[[#This Row],[Occupation]]="Skilled manual","Blue collar",IF(Table1_1[[#This Row],[Occupation]]="Manual","Blue collar","White collar"))</f>
        <v>Blue collar</v>
      </c>
    </row>
    <row r="558" spans="1:22" x14ac:dyDescent="0.3">
      <c r="A558" t="s">
        <v>592</v>
      </c>
      <c r="B558" s="6" t="s">
        <v>1042</v>
      </c>
      <c r="C558" s="6" t="s">
        <v>1046</v>
      </c>
      <c r="D558" s="3">
        <v>80000</v>
      </c>
      <c r="E558">
        <v>4</v>
      </c>
      <c r="F558" s="6" t="s">
        <v>13</v>
      </c>
      <c r="G558" s="6" t="s">
        <v>28</v>
      </c>
      <c r="H558" s="6" t="s">
        <v>15</v>
      </c>
      <c r="I558">
        <v>0</v>
      </c>
      <c r="J558" t="s">
        <v>26</v>
      </c>
      <c r="K5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58" s="6" t="s">
        <v>32</v>
      </c>
      <c r="M558" s="7">
        <v>42</v>
      </c>
      <c r="N558" t="s">
        <v>18</v>
      </c>
      <c r="O558" s="9" t="str">
        <f>IF(Table1_1[[#This Row],[Purchased Bike]]="yes","1","0")</f>
        <v>0</v>
      </c>
      <c r="P558" s="4" t="str">
        <f>IF(Table1_1[[#This Row],[Income]]&lt;=30000,"Low ",IF(Table1_1[[#This Row],[Income]]&lt;=70000,"Middle","High"))</f>
        <v>High</v>
      </c>
      <c r="Q558" s="6" t="str">
        <f>IF(Table1_1[[#This Row],[Age]]&lt;30,"Young",IF(Table1_1[[#This Row],[Age]]&lt;50,"Middle aged","Senior citizen"))</f>
        <v>Middle aged</v>
      </c>
      <c r="R558" s="7">
        <f>IF(Table1_1[[#This Row],[Marriedarital SingletatuSingle]]="M",Table1_1[[#This Row],[Children]]+2,Table1_1[[#This Row],[Children]]+1)</f>
        <v>5</v>
      </c>
      <c r="S558" s="4" t="str">
        <f>IF(Table1_1[[#This Row],[Cars]]=0,"No","Yes")</f>
        <v>No</v>
      </c>
      <c r="T558" s="6" t="str">
        <f>IF(AND(Table1_1[[#This Row],[Income]]&gt;50000,Table1_1[[#This Row],[Home Owner]]="Yes"),"High stability","Low stability")</f>
        <v>High stability</v>
      </c>
      <c r="U558" s="3">
        <f>Table1_1[[#This Row],[Income]]/Table1_1[[#This Row],[Family size]]</f>
        <v>16000</v>
      </c>
      <c r="V558" s="6" t="str">
        <f>IF(Table1_1[[#This Row],[Occupation]]="Skilled manual","Blue collar",IF(Table1_1[[#This Row],[Occupation]]="Manual","Blue collar","White collar"))</f>
        <v>White collar</v>
      </c>
    </row>
    <row r="559" spans="1:22" x14ac:dyDescent="0.3">
      <c r="A559" t="s">
        <v>593</v>
      </c>
      <c r="B559" s="6" t="s">
        <v>1042</v>
      </c>
      <c r="C559" s="6" t="s">
        <v>1045</v>
      </c>
      <c r="D559" s="3">
        <v>40000</v>
      </c>
      <c r="E559">
        <v>3</v>
      </c>
      <c r="F559" s="6" t="s">
        <v>19</v>
      </c>
      <c r="G559" s="6" t="s">
        <v>20</v>
      </c>
      <c r="H559" s="6" t="s">
        <v>15</v>
      </c>
      <c r="I559">
        <v>0</v>
      </c>
      <c r="J559" t="s">
        <v>26</v>
      </c>
      <c r="K5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59" s="6" t="s">
        <v>32</v>
      </c>
      <c r="M559" s="7">
        <v>31</v>
      </c>
      <c r="N559" t="s">
        <v>18</v>
      </c>
      <c r="O559" s="9" t="str">
        <f>IF(Table1_1[[#This Row],[Purchased Bike]]="yes","1","0")</f>
        <v>0</v>
      </c>
      <c r="P559" s="4" t="str">
        <f>IF(Table1_1[[#This Row],[Income]]&lt;=30000,"Low ",IF(Table1_1[[#This Row],[Income]]&lt;=70000,"Middle","High"))</f>
        <v>Middle</v>
      </c>
      <c r="Q559" s="6" t="str">
        <f>IF(Table1_1[[#This Row],[Age]]&lt;30,"Young",IF(Table1_1[[#This Row],[Age]]&lt;50,"Middle aged","Senior citizen"))</f>
        <v>Middle aged</v>
      </c>
      <c r="R559" s="7">
        <f>IF(Table1_1[[#This Row],[Marriedarital SingletatuSingle]]="M",Table1_1[[#This Row],[Children]]+2,Table1_1[[#This Row],[Children]]+1)</f>
        <v>4</v>
      </c>
      <c r="S559" s="4" t="str">
        <f>IF(Table1_1[[#This Row],[Cars]]=0,"No","Yes")</f>
        <v>No</v>
      </c>
      <c r="T559" s="6" t="str">
        <f>IF(AND(Table1_1[[#This Row],[Income]]&gt;50000,Table1_1[[#This Row],[Home Owner]]="Yes"),"High stability","Low stability")</f>
        <v>Low stability</v>
      </c>
      <c r="U559" s="3">
        <f>Table1_1[[#This Row],[Income]]/Table1_1[[#This Row],[Family size]]</f>
        <v>10000</v>
      </c>
      <c r="V559" s="6" t="str">
        <f>IF(Table1_1[[#This Row],[Occupation]]="Skilled manual","Blue collar",IF(Table1_1[[#This Row],[Occupation]]="Manual","Blue collar","White collar"))</f>
        <v>White collar</v>
      </c>
    </row>
    <row r="560" spans="1:22" x14ac:dyDescent="0.3">
      <c r="A560" t="s">
        <v>594</v>
      </c>
      <c r="B560" s="6" t="s">
        <v>1042</v>
      </c>
      <c r="C560" s="6" t="s">
        <v>1045</v>
      </c>
      <c r="D560" s="3">
        <v>50000</v>
      </c>
      <c r="E560">
        <v>3</v>
      </c>
      <c r="F560" s="6" t="s">
        <v>13</v>
      </c>
      <c r="G560" s="6" t="s">
        <v>14</v>
      </c>
      <c r="H560" s="6" t="s">
        <v>15</v>
      </c>
      <c r="I560">
        <v>2</v>
      </c>
      <c r="J560" t="s">
        <v>16</v>
      </c>
      <c r="K5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60" s="6" t="s">
        <v>32</v>
      </c>
      <c r="M560" s="7">
        <v>41</v>
      </c>
      <c r="N560" t="s">
        <v>18</v>
      </c>
      <c r="O560" s="9" t="str">
        <f>IF(Table1_1[[#This Row],[Purchased Bike]]="yes","1","0")</f>
        <v>0</v>
      </c>
      <c r="P560" s="4" t="str">
        <f>IF(Table1_1[[#This Row],[Income]]&lt;=30000,"Low ",IF(Table1_1[[#This Row],[Income]]&lt;=70000,"Middle","High"))</f>
        <v>Middle</v>
      </c>
      <c r="Q560" s="6" t="str">
        <f>IF(Table1_1[[#This Row],[Age]]&lt;30,"Young",IF(Table1_1[[#This Row],[Age]]&lt;50,"Middle aged","Senior citizen"))</f>
        <v>Middle aged</v>
      </c>
      <c r="R560" s="7">
        <f>IF(Table1_1[[#This Row],[Marriedarital SingletatuSingle]]="M",Table1_1[[#This Row],[Children]]+2,Table1_1[[#This Row],[Children]]+1)</f>
        <v>4</v>
      </c>
      <c r="S560" s="4" t="str">
        <f>IF(Table1_1[[#This Row],[Cars]]=0,"No","Yes")</f>
        <v>Yes</v>
      </c>
      <c r="T560" s="6" t="str">
        <f>IF(AND(Table1_1[[#This Row],[Income]]&gt;50000,Table1_1[[#This Row],[Home Owner]]="Yes"),"High stability","Low stability")</f>
        <v>Low stability</v>
      </c>
      <c r="U560" s="3">
        <f>Table1_1[[#This Row],[Income]]/Table1_1[[#This Row],[Family size]]</f>
        <v>12500</v>
      </c>
      <c r="V560" s="6" t="str">
        <f>IF(Table1_1[[#This Row],[Occupation]]="Skilled manual","Blue collar",IF(Table1_1[[#This Row],[Occupation]]="Manual","Blue collar","White collar"))</f>
        <v>Blue collar</v>
      </c>
    </row>
    <row r="561" spans="1:22" x14ac:dyDescent="0.3">
      <c r="A561" t="s">
        <v>595</v>
      </c>
      <c r="B561" s="6" t="s">
        <v>1044</v>
      </c>
      <c r="C561" s="6" t="s">
        <v>1045</v>
      </c>
      <c r="D561" s="3">
        <v>60000</v>
      </c>
      <c r="E561">
        <v>2</v>
      </c>
      <c r="F561" s="6" t="s">
        <v>13</v>
      </c>
      <c r="G561" s="6" t="s">
        <v>28</v>
      </c>
      <c r="H561" s="6" t="s">
        <v>15</v>
      </c>
      <c r="I561">
        <v>0</v>
      </c>
      <c r="J561" t="s">
        <v>30</v>
      </c>
      <c r="K5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61" s="6" t="s">
        <v>32</v>
      </c>
      <c r="M561" s="7">
        <v>58</v>
      </c>
      <c r="N561" t="s">
        <v>18</v>
      </c>
      <c r="O561" s="9" t="str">
        <f>IF(Table1_1[[#This Row],[Purchased Bike]]="yes","1","0")</f>
        <v>0</v>
      </c>
      <c r="P561" s="4" t="str">
        <f>IF(Table1_1[[#This Row],[Income]]&lt;=30000,"Low ",IF(Table1_1[[#This Row],[Income]]&lt;=70000,"Middle","High"))</f>
        <v>Middle</v>
      </c>
      <c r="Q561" s="6" t="str">
        <f>IF(Table1_1[[#This Row],[Age]]&lt;30,"Young",IF(Table1_1[[#This Row],[Age]]&lt;50,"Middle aged","Senior citizen"))</f>
        <v>Senior citizen</v>
      </c>
      <c r="R561" s="7">
        <f>IF(Table1_1[[#This Row],[Marriedarital SingletatuSingle]]="M",Table1_1[[#This Row],[Children]]+2,Table1_1[[#This Row],[Children]]+1)</f>
        <v>3</v>
      </c>
      <c r="S561" s="4" t="str">
        <f>IF(Table1_1[[#This Row],[Cars]]=0,"No","Yes")</f>
        <v>No</v>
      </c>
      <c r="T561" s="6" t="str">
        <f>IF(AND(Table1_1[[#This Row],[Income]]&gt;50000,Table1_1[[#This Row],[Home Owner]]="Yes"),"High stability","Low stability")</f>
        <v>High stability</v>
      </c>
      <c r="U561" s="3">
        <f>Table1_1[[#This Row],[Income]]/Table1_1[[#This Row],[Family size]]</f>
        <v>20000</v>
      </c>
      <c r="V561" s="6" t="str">
        <f>IF(Table1_1[[#This Row],[Occupation]]="Skilled manual","Blue collar",IF(Table1_1[[#This Row],[Occupation]]="Manual","Blue collar","White collar"))</f>
        <v>White collar</v>
      </c>
    </row>
    <row r="562" spans="1:22" x14ac:dyDescent="0.3">
      <c r="A562" t="s">
        <v>596</v>
      </c>
      <c r="B562" s="6" t="s">
        <v>1042</v>
      </c>
      <c r="C562" s="6" t="s">
        <v>1045</v>
      </c>
      <c r="D562" s="3">
        <v>60000</v>
      </c>
      <c r="E562">
        <v>0</v>
      </c>
      <c r="F562" s="6" t="s">
        <v>31</v>
      </c>
      <c r="G562" s="6" t="s">
        <v>21</v>
      </c>
      <c r="H562" s="6" t="s">
        <v>15</v>
      </c>
      <c r="I562">
        <v>0</v>
      </c>
      <c r="J562" t="s">
        <v>16</v>
      </c>
      <c r="K5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62" s="6" t="s">
        <v>32</v>
      </c>
      <c r="M562" s="7">
        <v>40</v>
      </c>
      <c r="N562" t="s">
        <v>18</v>
      </c>
      <c r="O562" s="9" t="str">
        <f>IF(Table1_1[[#This Row],[Purchased Bike]]="yes","1","0")</f>
        <v>0</v>
      </c>
      <c r="P562" s="4" t="str">
        <f>IF(Table1_1[[#This Row],[Income]]&lt;=30000,"Low ",IF(Table1_1[[#This Row],[Income]]&lt;=70000,"Middle","High"))</f>
        <v>Middle</v>
      </c>
      <c r="Q562" s="6" t="str">
        <f>IF(Table1_1[[#This Row],[Age]]&lt;30,"Young",IF(Table1_1[[#This Row],[Age]]&lt;50,"Middle aged","Senior citizen"))</f>
        <v>Middle aged</v>
      </c>
      <c r="R562" s="7">
        <f>IF(Table1_1[[#This Row],[Marriedarital SingletatuSingle]]="M",Table1_1[[#This Row],[Children]]+2,Table1_1[[#This Row],[Children]]+1)</f>
        <v>1</v>
      </c>
      <c r="S562" s="4" t="str">
        <f>IF(Table1_1[[#This Row],[Cars]]=0,"No","Yes")</f>
        <v>No</v>
      </c>
      <c r="T562" s="6" t="str">
        <f>IF(AND(Table1_1[[#This Row],[Income]]&gt;50000,Table1_1[[#This Row],[Home Owner]]="Yes"),"High stability","Low stability")</f>
        <v>High stability</v>
      </c>
      <c r="U562" s="3">
        <f>Table1_1[[#This Row],[Income]]/Table1_1[[#This Row],[Family size]]</f>
        <v>60000</v>
      </c>
      <c r="V562" s="6" t="str">
        <f>IF(Table1_1[[#This Row],[Occupation]]="Skilled manual","Blue collar",IF(Table1_1[[#This Row],[Occupation]]="Manual","Blue collar","White collar"))</f>
        <v>White collar</v>
      </c>
    </row>
    <row r="563" spans="1:22" x14ac:dyDescent="0.3">
      <c r="A563" t="s">
        <v>597</v>
      </c>
      <c r="B563" s="6" t="s">
        <v>1042</v>
      </c>
      <c r="C563" s="6" t="s">
        <v>1045</v>
      </c>
      <c r="D563" s="3">
        <v>20000</v>
      </c>
      <c r="E563">
        <v>2</v>
      </c>
      <c r="F563" s="6" t="s">
        <v>29</v>
      </c>
      <c r="G563" s="6" t="s">
        <v>20</v>
      </c>
      <c r="H563" s="6" t="s">
        <v>18</v>
      </c>
      <c r="I563">
        <v>0</v>
      </c>
      <c r="J563" t="s">
        <v>16</v>
      </c>
      <c r="K5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63" s="6" t="s">
        <v>32</v>
      </c>
      <c r="M563" s="7">
        <v>48</v>
      </c>
      <c r="N563" t="s">
        <v>18</v>
      </c>
      <c r="O563" s="9" t="str">
        <f>IF(Table1_1[[#This Row],[Purchased Bike]]="yes","1","0")</f>
        <v>0</v>
      </c>
      <c r="P563" s="4" t="str">
        <f>IF(Table1_1[[#This Row],[Income]]&lt;=30000,"Low ",IF(Table1_1[[#This Row],[Income]]&lt;=70000,"Middle","High"))</f>
        <v xml:space="preserve">Low </v>
      </c>
      <c r="Q563" s="6" t="str">
        <f>IF(Table1_1[[#This Row],[Age]]&lt;30,"Young",IF(Table1_1[[#This Row],[Age]]&lt;50,"Middle aged","Senior citizen"))</f>
        <v>Middle aged</v>
      </c>
      <c r="R563" s="7">
        <f>IF(Table1_1[[#This Row],[Marriedarital SingletatuSingle]]="M",Table1_1[[#This Row],[Children]]+2,Table1_1[[#This Row],[Children]]+1)</f>
        <v>3</v>
      </c>
      <c r="S563" s="4" t="str">
        <f>IF(Table1_1[[#This Row],[Cars]]=0,"No","Yes")</f>
        <v>No</v>
      </c>
      <c r="T563" s="6" t="str">
        <f>IF(AND(Table1_1[[#This Row],[Income]]&gt;50000,Table1_1[[#This Row],[Home Owner]]="Yes"),"High stability","Low stability")</f>
        <v>Low stability</v>
      </c>
      <c r="U563" s="3">
        <f>Table1_1[[#This Row],[Income]]/Table1_1[[#This Row],[Family size]]</f>
        <v>6666.666666666667</v>
      </c>
      <c r="V563" s="6" t="str">
        <f>IF(Table1_1[[#This Row],[Occupation]]="Skilled manual","Blue collar",IF(Table1_1[[#This Row],[Occupation]]="Manual","Blue collar","White collar"))</f>
        <v>White collar</v>
      </c>
    </row>
    <row r="564" spans="1:22" x14ac:dyDescent="0.3">
      <c r="A564" t="s">
        <v>598</v>
      </c>
      <c r="B564" s="6" t="s">
        <v>1042</v>
      </c>
      <c r="C564" s="6" t="s">
        <v>1045</v>
      </c>
      <c r="D564" s="3">
        <v>70000</v>
      </c>
      <c r="E564">
        <v>2</v>
      </c>
      <c r="F564" s="6" t="s">
        <v>31</v>
      </c>
      <c r="G564" s="6" t="s">
        <v>21</v>
      </c>
      <c r="H564" s="6" t="s">
        <v>15</v>
      </c>
      <c r="I564">
        <v>0</v>
      </c>
      <c r="J564" t="s">
        <v>22</v>
      </c>
      <c r="K5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64" s="6" t="s">
        <v>32</v>
      </c>
      <c r="M564" s="7">
        <v>34</v>
      </c>
      <c r="N564" t="s">
        <v>15</v>
      </c>
      <c r="O564" s="9" t="str">
        <f>IF(Table1_1[[#This Row],[Purchased Bike]]="yes","1","0")</f>
        <v>1</v>
      </c>
      <c r="P564" s="4" t="str">
        <f>IF(Table1_1[[#This Row],[Income]]&lt;=30000,"Low ",IF(Table1_1[[#This Row],[Income]]&lt;=70000,"Middle","High"))</f>
        <v>Middle</v>
      </c>
      <c r="Q564" s="6" t="str">
        <f>IF(Table1_1[[#This Row],[Age]]&lt;30,"Young",IF(Table1_1[[#This Row],[Age]]&lt;50,"Middle aged","Senior citizen"))</f>
        <v>Middle aged</v>
      </c>
      <c r="R564" s="7">
        <f>IF(Table1_1[[#This Row],[Marriedarital SingletatuSingle]]="M",Table1_1[[#This Row],[Children]]+2,Table1_1[[#This Row],[Children]]+1)</f>
        <v>3</v>
      </c>
      <c r="S564" s="4" t="str">
        <f>IF(Table1_1[[#This Row],[Cars]]=0,"No","Yes")</f>
        <v>No</v>
      </c>
      <c r="T564" s="6" t="str">
        <f>IF(AND(Table1_1[[#This Row],[Income]]&gt;50000,Table1_1[[#This Row],[Home Owner]]="Yes"),"High stability","Low stability")</f>
        <v>High stability</v>
      </c>
      <c r="U564" s="3">
        <f>Table1_1[[#This Row],[Income]]/Table1_1[[#This Row],[Family size]]</f>
        <v>23333.333333333332</v>
      </c>
      <c r="V564" s="6" t="str">
        <f>IF(Table1_1[[#This Row],[Occupation]]="Skilled manual","Blue collar",IF(Table1_1[[#This Row],[Occupation]]="Manual","Blue collar","White collar"))</f>
        <v>White collar</v>
      </c>
    </row>
    <row r="565" spans="1:22" x14ac:dyDescent="0.3">
      <c r="A565" t="s">
        <v>599</v>
      </c>
      <c r="B565" s="6" t="s">
        <v>1044</v>
      </c>
      <c r="C565" s="6" t="s">
        <v>1045</v>
      </c>
      <c r="D565" s="3">
        <v>30000</v>
      </c>
      <c r="E565">
        <v>0</v>
      </c>
      <c r="F565" s="6" t="s">
        <v>19</v>
      </c>
      <c r="G565" s="6" t="s">
        <v>14</v>
      </c>
      <c r="H565" s="6" t="s">
        <v>15</v>
      </c>
      <c r="I565">
        <v>1</v>
      </c>
      <c r="J565" t="s">
        <v>23</v>
      </c>
      <c r="K5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65" s="6" t="s">
        <v>32</v>
      </c>
      <c r="M565" s="7">
        <v>28</v>
      </c>
      <c r="N565" t="s">
        <v>18</v>
      </c>
      <c r="O565" s="9" t="str">
        <f>IF(Table1_1[[#This Row],[Purchased Bike]]="yes","1","0")</f>
        <v>0</v>
      </c>
      <c r="P565" s="4" t="str">
        <f>IF(Table1_1[[#This Row],[Income]]&lt;=30000,"Low ",IF(Table1_1[[#This Row],[Income]]&lt;=70000,"Middle","High"))</f>
        <v xml:space="preserve">Low </v>
      </c>
      <c r="Q565" s="6" t="str">
        <f>IF(Table1_1[[#This Row],[Age]]&lt;30,"Young",IF(Table1_1[[#This Row],[Age]]&lt;50,"Middle aged","Senior citizen"))</f>
        <v>Young</v>
      </c>
      <c r="R565" s="7">
        <f>IF(Table1_1[[#This Row],[Marriedarital SingletatuSingle]]="M",Table1_1[[#This Row],[Children]]+2,Table1_1[[#This Row],[Children]]+1)</f>
        <v>1</v>
      </c>
      <c r="S565" s="4" t="str">
        <f>IF(Table1_1[[#This Row],[Cars]]=0,"No","Yes")</f>
        <v>Yes</v>
      </c>
      <c r="T565" s="6" t="str">
        <f>IF(AND(Table1_1[[#This Row],[Income]]&gt;50000,Table1_1[[#This Row],[Home Owner]]="Yes"),"High stability","Low stability")</f>
        <v>Low stability</v>
      </c>
      <c r="U565" s="3">
        <f>Table1_1[[#This Row],[Income]]/Table1_1[[#This Row],[Family size]]</f>
        <v>30000</v>
      </c>
      <c r="V565" s="6" t="str">
        <f>IF(Table1_1[[#This Row],[Occupation]]="Skilled manual","Blue collar",IF(Table1_1[[#This Row],[Occupation]]="Manual","Blue collar","White collar"))</f>
        <v>Blue collar</v>
      </c>
    </row>
    <row r="566" spans="1:22" x14ac:dyDescent="0.3">
      <c r="A566" t="s">
        <v>600</v>
      </c>
      <c r="B566" s="6" t="s">
        <v>1044</v>
      </c>
      <c r="C566" s="6" t="s">
        <v>1046</v>
      </c>
      <c r="D566" s="3">
        <v>30000</v>
      </c>
      <c r="E566">
        <v>0</v>
      </c>
      <c r="F566" s="6" t="s">
        <v>19</v>
      </c>
      <c r="G566" s="6" t="s">
        <v>14</v>
      </c>
      <c r="H566" s="6" t="s">
        <v>15</v>
      </c>
      <c r="I566">
        <v>1</v>
      </c>
      <c r="J566" t="s">
        <v>23</v>
      </c>
      <c r="K5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66" s="6" t="s">
        <v>32</v>
      </c>
      <c r="M566" s="7">
        <v>27</v>
      </c>
      <c r="N566" t="s">
        <v>18</v>
      </c>
      <c r="O566" s="9" t="str">
        <f>IF(Table1_1[[#This Row],[Purchased Bike]]="yes","1","0")</f>
        <v>0</v>
      </c>
      <c r="P566" s="4" t="str">
        <f>IF(Table1_1[[#This Row],[Income]]&lt;=30000,"Low ",IF(Table1_1[[#This Row],[Income]]&lt;=70000,"Middle","High"))</f>
        <v xml:space="preserve">Low </v>
      </c>
      <c r="Q566" s="6" t="str">
        <f>IF(Table1_1[[#This Row],[Age]]&lt;30,"Young",IF(Table1_1[[#This Row],[Age]]&lt;50,"Middle aged","Senior citizen"))</f>
        <v>Young</v>
      </c>
      <c r="R566" s="7">
        <f>IF(Table1_1[[#This Row],[Marriedarital SingletatuSingle]]="M",Table1_1[[#This Row],[Children]]+2,Table1_1[[#This Row],[Children]]+1)</f>
        <v>1</v>
      </c>
      <c r="S566" s="4" t="str">
        <f>IF(Table1_1[[#This Row],[Cars]]=0,"No","Yes")</f>
        <v>Yes</v>
      </c>
      <c r="T566" s="6" t="str">
        <f>IF(AND(Table1_1[[#This Row],[Income]]&gt;50000,Table1_1[[#This Row],[Home Owner]]="Yes"),"High stability","Low stability")</f>
        <v>Low stability</v>
      </c>
      <c r="U566" s="3">
        <f>Table1_1[[#This Row],[Income]]/Table1_1[[#This Row],[Family size]]</f>
        <v>30000</v>
      </c>
      <c r="V566" s="6" t="str">
        <f>IF(Table1_1[[#This Row],[Occupation]]="Skilled manual","Blue collar",IF(Table1_1[[#This Row],[Occupation]]="Manual","Blue collar","White collar"))</f>
        <v>Blue collar</v>
      </c>
    </row>
    <row r="567" spans="1:22" x14ac:dyDescent="0.3">
      <c r="A567" t="s">
        <v>601</v>
      </c>
      <c r="B567" s="6" t="s">
        <v>1042</v>
      </c>
      <c r="C567" s="6" t="s">
        <v>1046</v>
      </c>
      <c r="D567" s="3">
        <v>40000</v>
      </c>
      <c r="E567">
        <v>3</v>
      </c>
      <c r="F567" s="6" t="s">
        <v>19</v>
      </c>
      <c r="G567" s="6" t="s">
        <v>21</v>
      </c>
      <c r="H567" s="6" t="s">
        <v>18</v>
      </c>
      <c r="I567">
        <v>2</v>
      </c>
      <c r="J567" t="s">
        <v>23</v>
      </c>
      <c r="K5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67" s="6" t="s">
        <v>32</v>
      </c>
      <c r="M567" s="7">
        <v>54</v>
      </c>
      <c r="N567" t="s">
        <v>15</v>
      </c>
      <c r="O567" s="9" t="str">
        <f>IF(Table1_1[[#This Row],[Purchased Bike]]="yes","1","0")</f>
        <v>1</v>
      </c>
      <c r="P567" s="4" t="str">
        <f>IF(Table1_1[[#This Row],[Income]]&lt;=30000,"Low ",IF(Table1_1[[#This Row],[Income]]&lt;=70000,"Middle","High"))</f>
        <v>Middle</v>
      </c>
      <c r="Q567" s="6" t="str">
        <f>IF(Table1_1[[#This Row],[Age]]&lt;30,"Young",IF(Table1_1[[#This Row],[Age]]&lt;50,"Middle aged","Senior citizen"))</f>
        <v>Senior citizen</v>
      </c>
      <c r="R567" s="7">
        <f>IF(Table1_1[[#This Row],[Marriedarital SingletatuSingle]]="M",Table1_1[[#This Row],[Children]]+2,Table1_1[[#This Row],[Children]]+1)</f>
        <v>4</v>
      </c>
      <c r="S567" s="4" t="str">
        <f>IF(Table1_1[[#This Row],[Cars]]=0,"No","Yes")</f>
        <v>Yes</v>
      </c>
      <c r="T567" s="6" t="str">
        <f>IF(AND(Table1_1[[#This Row],[Income]]&gt;50000,Table1_1[[#This Row],[Home Owner]]="Yes"),"High stability","Low stability")</f>
        <v>Low stability</v>
      </c>
      <c r="U567" s="3">
        <f>Table1_1[[#This Row],[Income]]/Table1_1[[#This Row],[Family size]]</f>
        <v>10000</v>
      </c>
      <c r="V567" s="6" t="str">
        <f>IF(Table1_1[[#This Row],[Occupation]]="Skilled manual","Blue collar",IF(Table1_1[[#This Row],[Occupation]]="Manual","Blue collar","White collar"))</f>
        <v>White collar</v>
      </c>
    </row>
    <row r="568" spans="1:22" x14ac:dyDescent="0.3">
      <c r="A568" t="s">
        <v>602</v>
      </c>
      <c r="B568" s="6" t="s">
        <v>1042</v>
      </c>
      <c r="C568" s="6" t="s">
        <v>1045</v>
      </c>
      <c r="D568" s="3">
        <v>60000</v>
      </c>
      <c r="E568">
        <v>2</v>
      </c>
      <c r="F568" s="6" t="s">
        <v>31</v>
      </c>
      <c r="G568" s="6" t="s">
        <v>28</v>
      </c>
      <c r="H568" s="6" t="s">
        <v>15</v>
      </c>
      <c r="I568">
        <v>2</v>
      </c>
      <c r="J568" t="s">
        <v>23</v>
      </c>
      <c r="K5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68" s="6" t="s">
        <v>32</v>
      </c>
      <c r="M568" s="7">
        <v>70</v>
      </c>
      <c r="N568" t="s">
        <v>18</v>
      </c>
      <c r="O568" s="9" t="str">
        <f>IF(Table1_1[[#This Row],[Purchased Bike]]="yes","1","0")</f>
        <v>0</v>
      </c>
      <c r="P568" s="4" t="str">
        <f>IF(Table1_1[[#This Row],[Income]]&lt;=30000,"Low ",IF(Table1_1[[#This Row],[Income]]&lt;=70000,"Middle","High"))</f>
        <v>Middle</v>
      </c>
      <c r="Q568" s="6" t="str">
        <f>IF(Table1_1[[#This Row],[Age]]&lt;30,"Young",IF(Table1_1[[#This Row],[Age]]&lt;50,"Middle aged","Senior citizen"))</f>
        <v>Senior citizen</v>
      </c>
      <c r="R568" s="7">
        <f>IF(Table1_1[[#This Row],[Marriedarital SingletatuSingle]]="M",Table1_1[[#This Row],[Children]]+2,Table1_1[[#This Row],[Children]]+1)</f>
        <v>3</v>
      </c>
      <c r="S568" s="4" t="str">
        <f>IF(Table1_1[[#This Row],[Cars]]=0,"No","Yes")</f>
        <v>Yes</v>
      </c>
      <c r="T568" s="6" t="str">
        <f>IF(AND(Table1_1[[#This Row],[Income]]&gt;50000,Table1_1[[#This Row],[Home Owner]]="Yes"),"High stability","Low stability")</f>
        <v>High stability</v>
      </c>
      <c r="U568" s="3">
        <f>Table1_1[[#This Row],[Income]]/Table1_1[[#This Row],[Family size]]</f>
        <v>20000</v>
      </c>
      <c r="V568" s="6" t="str">
        <f>IF(Table1_1[[#This Row],[Occupation]]="Skilled manual","Blue collar",IF(Table1_1[[#This Row],[Occupation]]="Manual","Blue collar","White collar"))</f>
        <v>White collar</v>
      </c>
    </row>
    <row r="569" spans="1:22" x14ac:dyDescent="0.3">
      <c r="A569" t="s">
        <v>603</v>
      </c>
      <c r="B569" s="6" t="s">
        <v>1042</v>
      </c>
      <c r="C569" s="6" t="s">
        <v>1046</v>
      </c>
      <c r="D569" s="3">
        <v>40000</v>
      </c>
      <c r="E569">
        <v>1</v>
      </c>
      <c r="F569" s="6" t="s">
        <v>19</v>
      </c>
      <c r="G569" s="6" t="s">
        <v>20</v>
      </c>
      <c r="H569" s="6" t="s">
        <v>15</v>
      </c>
      <c r="I569">
        <v>1</v>
      </c>
      <c r="J569" t="s">
        <v>26</v>
      </c>
      <c r="K5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69" s="6" t="s">
        <v>32</v>
      </c>
      <c r="M569" s="7">
        <v>48</v>
      </c>
      <c r="N569" t="s">
        <v>15</v>
      </c>
      <c r="O569" s="9" t="str">
        <f>IF(Table1_1[[#This Row],[Purchased Bike]]="yes","1","0")</f>
        <v>1</v>
      </c>
      <c r="P569" s="4" t="str">
        <f>IF(Table1_1[[#This Row],[Income]]&lt;=30000,"Low ",IF(Table1_1[[#This Row],[Income]]&lt;=70000,"Middle","High"))</f>
        <v>Middle</v>
      </c>
      <c r="Q569" s="6" t="str">
        <f>IF(Table1_1[[#This Row],[Age]]&lt;30,"Young",IF(Table1_1[[#This Row],[Age]]&lt;50,"Middle aged","Senior citizen"))</f>
        <v>Middle aged</v>
      </c>
      <c r="R569" s="7">
        <f>IF(Table1_1[[#This Row],[Marriedarital SingletatuSingle]]="M",Table1_1[[#This Row],[Children]]+2,Table1_1[[#This Row],[Children]]+1)</f>
        <v>2</v>
      </c>
      <c r="S569" s="4" t="str">
        <f>IF(Table1_1[[#This Row],[Cars]]=0,"No","Yes")</f>
        <v>Yes</v>
      </c>
      <c r="T569" s="6" t="str">
        <f>IF(AND(Table1_1[[#This Row],[Income]]&gt;50000,Table1_1[[#This Row],[Home Owner]]="Yes"),"High stability","Low stability")</f>
        <v>Low stability</v>
      </c>
      <c r="U569" s="3">
        <f>Table1_1[[#This Row],[Income]]/Table1_1[[#This Row],[Family size]]</f>
        <v>20000</v>
      </c>
      <c r="V569" s="6" t="str">
        <f>IF(Table1_1[[#This Row],[Occupation]]="Skilled manual","Blue collar",IF(Table1_1[[#This Row],[Occupation]]="Manual","Blue collar","White collar"))</f>
        <v>White collar</v>
      </c>
    </row>
    <row r="570" spans="1:22" x14ac:dyDescent="0.3">
      <c r="A570" t="s">
        <v>604</v>
      </c>
      <c r="B570" s="6" t="s">
        <v>1042</v>
      </c>
      <c r="C570" s="6" t="s">
        <v>1046</v>
      </c>
      <c r="D570" s="3">
        <v>70000</v>
      </c>
      <c r="E570">
        <v>1</v>
      </c>
      <c r="F570" s="6" t="s">
        <v>19</v>
      </c>
      <c r="G570" s="6" t="s">
        <v>14</v>
      </c>
      <c r="H570" s="6" t="s">
        <v>15</v>
      </c>
      <c r="I570">
        <v>1</v>
      </c>
      <c r="J570" t="s">
        <v>22</v>
      </c>
      <c r="K5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70" s="6" t="s">
        <v>32</v>
      </c>
      <c r="M570" s="7">
        <v>44</v>
      </c>
      <c r="N570" t="s">
        <v>15</v>
      </c>
      <c r="O570" s="9" t="str">
        <f>IF(Table1_1[[#This Row],[Purchased Bike]]="yes","1","0")</f>
        <v>1</v>
      </c>
      <c r="P570" s="4" t="str">
        <f>IF(Table1_1[[#This Row],[Income]]&lt;=30000,"Low ",IF(Table1_1[[#This Row],[Income]]&lt;=70000,"Middle","High"))</f>
        <v>Middle</v>
      </c>
      <c r="Q570" s="6" t="str">
        <f>IF(Table1_1[[#This Row],[Age]]&lt;30,"Young",IF(Table1_1[[#This Row],[Age]]&lt;50,"Middle aged","Senior citizen"))</f>
        <v>Middle aged</v>
      </c>
      <c r="R570" s="7">
        <f>IF(Table1_1[[#This Row],[Marriedarital SingletatuSingle]]="M",Table1_1[[#This Row],[Children]]+2,Table1_1[[#This Row],[Children]]+1)</f>
        <v>2</v>
      </c>
      <c r="S570" s="4" t="str">
        <f>IF(Table1_1[[#This Row],[Cars]]=0,"No","Yes")</f>
        <v>Yes</v>
      </c>
      <c r="T570" s="6" t="str">
        <f>IF(AND(Table1_1[[#This Row],[Income]]&gt;50000,Table1_1[[#This Row],[Home Owner]]="Yes"),"High stability","Low stability")</f>
        <v>High stability</v>
      </c>
      <c r="U570" s="3">
        <f>Table1_1[[#This Row],[Income]]/Table1_1[[#This Row],[Family size]]</f>
        <v>35000</v>
      </c>
      <c r="V570" s="6" t="str">
        <f>IF(Table1_1[[#This Row],[Occupation]]="Skilled manual","Blue collar",IF(Table1_1[[#This Row],[Occupation]]="Manual","Blue collar","White collar"))</f>
        <v>Blue collar</v>
      </c>
    </row>
    <row r="571" spans="1:22" x14ac:dyDescent="0.3">
      <c r="A571" t="s">
        <v>605</v>
      </c>
      <c r="B571" s="6" t="s">
        <v>1044</v>
      </c>
      <c r="C571" s="6" t="s">
        <v>1046</v>
      </c>
      <c r="D571" s="3">
        <v>50000</v>
      </c>
      <c r="E571">
        <v>3</v>
      </c>
      <c r="F571" s="6" t="s">
        <v>31</v>
      </c>
      <c r="G571" s="6" t="s">
        <v>28</v>
      </c>
      <c r="H571" s="6" t="s">
        <v>15</v>
      </c>
      <c r="I571">
        <v>2</v>
      </c>
      <c r="J571" t="s">
        <v>30</v>
      </c>
      <c r="K5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71" s="6" t="s">
        <v>32</v>
      </c>
      <c r="M571" s="7">
        <v>69</v>
      </c>
      <c r="N571" t="s">
        <v>18</v>
      </c>
      <c r="O571" s="9" t="str">
        <f>IF(Table1_1[[#This Row],[Purchased Bike]]="yes","1","0")</f>
        <v>0</v>
      </c>
      <c r="P571" s="4" t="str">
        <f>IF(Table1_1[[#This Row],[Income]]&lt;=30000,"Low ",IF(Table1_1[[#This Row],[Income]]&lt;=70000,"Middle","High"))</f>
        <v>Middle</v>
      </c>
      <c r="Q571" s="6" t="str">
        <f>IF(Table1_1[[#This Row],[Age]]&lt;30,"Young",IF(Table1_1[[#This Row],[Age]]&lt;50,"Middle aged","Senior citizen"))</f>
        <v>Senior citizen</v>
      </c>
      <c r="R571" s="7">
        <f>IF(Table1_1[[#This Row],[Marriedarital SingletatuSingle]]="M",Table1_1[[#This Row],[Children]]+2,Table1_1[[#This Row],[Children]]+1)</f>
        <v>4</v>
      </c>
      <c r="S571" s="4" t="str">
        <f>IF(Table1_1[[#This Row],[Cars]]=0,"No","Yes")</f>
        <v>Yes</v>
      </c>
      <c r="T571" s="6" t="str">
        <f>IF(AND(Table1_1[[#This Row],[Income]]&gt;50000,Table1_1[[#This Row],[Home Owner]]="Yes"),"High stability","Low stability")</f>
        <v>Low stability</v>
      </c>
      <c r="U571" s="3">
        <f>Table1_1[[#This Row],[Income]]/Table1_1[[#This Row],[Family size]]</f>
        <v>12500</v>
      </c>
      <c r="V571" s="6" t="str">
        <f>IF(Table1_1[[#This Row],[Occupation]]="Skilled manual","Blue collar",IF(Table1_1[[#This Row],[Occupation]]="Manual","Blue collar","White collar"))</f>
        <v>White collar</v>
      </c>
    </row>
    <row r="572" spans="1:22" x14ac:dyDescent="0.3">
      <c r="A572" t="s">
        <v>606</v>
      </c>
      <c r="B572" s="6" t="s">
        <v>1042</v>
      </c>
      <c r="C572" s="6" t="s">
        <v>1046</v>
      </c>
      <c r="D572" s="3">
        <v>70000</v>
      </c>
      <c r="E572">
        <v>3</v>
      </c>
      <c r="F572" s="6" t="s">
        <v>29</v>
      </c>
      <c r="G572" s="6" t="s">
        <v>14</v>
      </c>
      <c r="H572" s="6" t="s">
        <v>15</v>
      </c>
      <c r="I572">
        <v>2</v>
      </c>
      <c r="J572" t="s">
        <v>23</v>
      </c>
      <c r="K5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72" s="6" t="s">
        <v>32</v>
      </c>
      <c r="M572" s="7">
        <v>52</v>
      </c>
      <c r="N572" t="s">
        <v>18</v>
      </c>
      <c r="O572" s="9" t="str">
        <f>IF(Table1_1[[#This Row],[Purchased Bike]]="yes","1","0")</f>
        <v>0</v>
      </c>
      <c r="P572" s="4" t="str">
        <f>IF(Table1_1[[#This Row],[Income]]&lt;=30000,"Low ",IF(Table1_1[[#This Row],[Income]]&lt;=70000,"Middle","High"))</f>
        <v>Middle</v>
      </c>
      <c r="Q572" s="6" t="str">
        <f>IF(Table1_1[[#This Row],[Age]]&lt;30,"Young",IF(Table1_1[[#This Row],[Age]]&lt;50,"Middle aged","Senior citizen"))</f>
        <v>Senior citizen</v>
      </c>
      <c r="R572" s="7">
        <f>IF(Table1_1[[#This Row],[Marriedarital SingletatuSingle]]="M",Table1_1[[#This Row],[Children]]+2,Table1_1[[#This Row],[Children]]+1)</f>
        <v>4</v>
      </c>
      <c r="S572" s="4" t="str">
        <f>IF(Table1_1[[#This Row],[Cars]]=0,"No","Yes")</f>
        <v>Yes</v>
      </c>
      <c r="T572" s="6" t="str">
        <f>IF(AND(Table1_1[[#This Row],[Income]]&gt;50000,Table1_1[[#This Row],[Home Owner]]="Yes"),"High stability","Low stability")</f>
        <v>High stability</v>
      </c>
      <c r="U572" s="3">
        <f>Table1_1[[#This Row],[Income]]/Table1_1[[#This Row],[Family size]]</f>
        <v>17500</v>
      </c>
      <c r="V572" s="6" t="str">
        <f>IF(Table1_1[[#This Row],[Occupation]]="Skilled manual","Blue collar",IF(Table1_1[[#This Row],[Occupation]]="Manual","Blue collar","White collar"))</f>
        <v>Blue collar</v>
      </c>
    </row>
    <row r="573" spans="1:22" x14ac:dyDescent="0.3">
      <c r="A573" t="s">
        <v>607</v>
      </c>
      <c r="B573" s="6" t="s">
        <v>1042</v>
      </c>
      <c r="C573" s="6" t="s">
        <v>1046</v>
      </c>
      <c r="D573" s="3">
        <v>40000</v>
      </c>
      <c r="E573">
        <v>2</v>
      </c>
      <c r="F573" s="6" t="s">
        <v>29</v>
      </c>
      <c r="G573" s="6" t="s">
        <v>14</v>
      </c>
      <c r="H573" s="6" t="s">
        <v>15</v>
      </c>
      <c r="I573">
        <v>2</v>
      </c>
      <c r="J573" t="s">
        <v>22</v>
      </c>
      <c r="K5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73" s="6" t="s">
        <v>32</v>
      </c>
      <c r="M573" s="7">
        <v>55</v>
      </c>
      <c r="N573" t="s">
        <v>18</v>
      </c>
      <c r="O573" s="9" t="str">
        <f>IF(Table1_1[[#This Row],[Purchased Bike]]="yes","1","0")</f>
        <v>0</v>
      </c>
      <c r="P573" s="4" t="str">
        <f>IF(Table1_1[[#This Row],[Income]]&lt;=30000,"Low ",IF(Table1_1[[#This Row],[Income]]&lt;=70000,"Middle","High"))</f>
        <v>Middle</v>
      </c>
      <c r="Q573" s="6" t="str">
        <f>IF(Table1_1[[#This Row],[Age]]&lt;30,"Young",IF(Table1_1[[#This Row],[Age]]&lt;50,"Middle aged","Senior citizen"))</f>
        <v>Senior citizen</v>
      </c>
      <c r="R573" s="7">
        <f>IF(Table1_1[[#This Row],[Marriedarital SingletatuSingle]]="M",Table1_1[[#This Row],[Children]]+2,Table1_1[[#This Row],[Children]]+1)</f>
        <v>3</v>
      </c>
      <c r="S573" s="4" t="str">
        <f>IF(Table1_1[[#This Row],[Cars]]=0,"No","Yes")</f>
        <v>Yes</v>
      </c>
      <c r="T573" s="6" t="str">
        <f>IF(AND(Table1_1[[#This Row],[Income]]&gt;50000,Table1_1[[#This Row],[Home Owner]]="Yes"),"High stability","Low stability")</f>
        <v>Low stability</v>
      </c>
      <c r="U573" s="3">
        <f>Table1_1[[#This Row],[Income]]/Table1_1[[#This Row],[Family size]]</f>
        <v>13333.333333333334</v>
      </c>
      <c r="V573" s="6" t="str">
        <f>IF(Table1_1[[#This Row],[Occupation]]="Skilled manual","Blue collar",IF(Table1_1[[#This Row],[Occupation]]="Manual","Blue collar","White collar"))</f>
        <v>Blue collar</v>
      </c>
    </row>
    <row r="574" spans="1:22" x14ac:dyDescent="0.3">
      <c r="A574" t="s">
        <v>608</v>
      </c>
      <c r="B574" s="6" t="s">
        <v>1044</v>
      </c>
      <c r="C574" s="6" t="s">
        <v>1046</v>
      </c>
      <c r="D574" s="3">
        <v>30000</v>
      </c>
      <c r="E574">
        <v>0</v>
      </c>
      <c r="F574" s="6" t="s">
        <v>27</v>
      </c>
      <c r="G574" s="6" t="s">
        <v>14</v>
      </c>
      <c r="H574" s="6" t="s">
        <v>15</v>
      </c>
      <c r="I574">
        <v>2</v>
      </c>
      <c r="J574" t="s">
        <v>23</v>
      </c>
      <c r="K5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74" s="6" t="s">
        <v>32</v>
      </c>
      <c r="M574" s="7">
        <v>30</v>
      </c>
      <c r="N574" t="s">
        <v>18</v>
      </c>
      <c r="O574" s="9" t="str">
        <f>IF(Table1_1[[#This Row],[Purchased Bike]]="yes","1","0")</f>
        <v>0</v>
      </c>
      <c r="P574" s="4" t="str">
        <f>IF(Table1_1[[#This Row],[Income]]&lt;=30000,"Low ",IF(Table1_1[[#This Row],[Income]]&lt;=70000,"Middle","High"))</f>
        <v xml:space="preserve">Low </v>
      </c>
      <c r="Q574" s="6" t="str">
        <f>IF(Table1_1[[#This Row],[Age]]&lt;30,"Young",IF(Table1_1[[#This Row],[Age]]&lt;50,"Middle aged","Senior citizen"))</f>
        <v>Middle aged</v>
      </c>
      <c r="R574" s="7">
        <f>IF(Table1_1[[#This Row],[Marriedarital SingletatuSingle]]="M",Table1_1[[#This Row],[Children]]+2,Table1_1[[#This Row],[Children]]+1)</f>
        <v>1</v>
      </c>
      <c r="S574" s="4" t="str">
        <f>IF(Table1_1[[#This Row],[Cars]]=0,"No","Yes")</f>
        <v>Yes</v>
      </c>
      <c r="T574" s="6" t="str">
        <f>IF(AND(Table1_1[[#This Row],[Income]]&gt;50000,Table1_1[[#This Row],[Home Owner]]="Yes"),"High stability","Low stability")</f>
        <v>Low stability</v>
      </c>
      <c r="U574" s="3">
        <f>Table1_1[[#This Row],[Income]]/Table1_1[[#This Row],[Family size]]</f>
        <v>30000</v>
      </c>
      <c r="V574" s="6" t="str">
        <f>IF(Table1_1[[#This Row],[Occupation]]="Skilled manual","Blue collar",IF(Table1_1[[#This Row],[Occupation]]="Manual","Blue collar","White collar"))</f>
        <v>Blue collar</v>
      </c>
    </row>
    <row r="575" spans="1:22" x14ac:dyDescent="0.3">
      <c r="A575" t="s">
        <v>609</v>
      </c>
      <c r="B575" s="6" t="s">
        <v>1042</v>
      </c>
      <c r="C575" s="6" t="s">
        <v>1046</v>
      </c>
      <c r="D575" s="3">
        <v>60000</v>
      </c>
      <c r="E575">
        <v>3</v>
      </c>
      <c r="F575" s="6" t="s">
        <v>31</v>
      </c>
      <c r="G575" s="6" t="s">
        <v>28</v>
      </c>
      <c r="H575" s="6" t="s">
        <v>15</v>
      </c>
      <c r="I575">
        <v>2</v>
      </c>
      <c r="J575" t="s">
        <v>26</v>
      </c>
      <c r="K5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75" s="6" t="s">
        <v>32</v>
      </c>
      <c r="M575" s="7">
        <v>63</v>
      </c>
      <c r="N575" t="s">
        <v>18</v>
      </c>
      <c r="O575" s="9" t="str">
        <f>IF(Table1_1[[#This Row],[Purchased Bike]]="yes","1","0")</f>
        <v>0</v>
      </c>
      <c r="P575" s="4" t="str">
        <f>IF(Table1_1[[#This Row],[Income]]&lt;=30000,"Low ",IF(Table1_1[[#This Row],[Income]]&lt;=70000,"Middle","High"))</f>
        <v>Middle</v>
      </c>
      <c r="Q575" s="6" t="str">
        <f>IF(Table1_1[[#This Row],[Age]]&lt;30,"Young",IF(Table1_1[[#This Row],[Age]]&lt;50,"Middle aged","Senior citizen"))</f>
        <v>Senior citizen</v>
      </c>
      <c r="R575" s="7">
        <f>IF(Table1_1[[#This Row],[Marriedarital SingletatuSingle]]="M",Table1_1[[#This Row],[Children]]+2,Table1_1[[#This Row],[Children]]+1)</f>
        <v>4</v>
      </c>
      <c r="S575" s="4" t="str">
        <f>IF(Table1_1[[#This Row],[Cars]]=0,"No","Yes")</f>
        <v>Yes</v>
      </c>
      <c r="T575" s="6" t="str">
        <f>IF(AND(Table1_1[[#This Row],[Income]]&gt;50000,Table1_1[[#This Row],[Home Owner]]="Yes"),"High stability","Low stability")</f>
        <v>High stability</v>
      </c>
      <c r="U575" s="3">
        <f>Table1_1[[#This Row],[Income]]/Table1_1[[#This Row],[Family size]]</f>
        <v>15000</v>
      </c>
      <c r="V575" s="6" t="str">
        <f>IF(Table1_1[[#This Row],[Occupation]]="Skilled manual","Blue collar",IF(Table1_1[[#This Row],[Occupation]]="Manual","Blue collar","White collar"))</f>
        <v>White collar</v>
      </c>
    </row>
    <row r="576" spans="1:22" x14ac:dyDescent="0.3">
      <c r="A576" t="s">
        <v>610</v>
      </c>
      <c r="B576" s="6" t="s">
        <v>1044</v>
      </c>
      <c r="C576" s="6" t="s">
        <v>1045</v>
      </c>
      <c r="D576" s="3">
        <v>80000</v>
      </c>
      <c r="E576">
        <v>0</v>
      </c>
      <c r="F576" s="6" t="s">
        <v>13</v>
      </c>
      <c r="G576" s="6" t="s">
        <v>28</v>
      </c>
      <c r="H576" s="6" t="s">
        <v>15</v>
      </c>
      <c r="I576">
        <v>1</v>
      </c>
      <c r="J576" t="s">
        <v>26</v>
      </c>
      <c r="K5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76" s="6" t="s">
        <v>32</v>
      </c>
      <c r="M576" s="7">
        <v>34</v>
      </c>
      <c r="N576" t="s">
        <v>15</v>
      </c>
      <c r="O576" s="9" t="str">
        <f>IF(Table1_1[[#This Row],[Purchased Bike]]="yes","1","0")</f>
        <v>1</v>
      </c>
      <c r="P576" s="4" t="str">
        <f>IF(Table1_1[[#This Row],[Income]]&lt;=30000,"Low ",IF(Table1_1[[#This Row],[Income]]&lt;=70000,"Middle","High"))</f>
        <v>High</v>
      </c>
      <c r="Q576" s="6" t="str">
        <f>IF(Table1_1[[#This Row],[Age]]&lt;30,"Young",IF(Table1_1[[#This Row],[Age]]&lt;50,"Middle aged","Senior citizen"))</f>
        <v>Middle aged</v>
      </c>
      <c r="R576" s="7">
        <f>IF(Table1_1[[#This Row],[Marriedarital SingletatuSingle]]="M",Table1_1[[#This Row],[Children]]+2,Table1_1[[#This Row],[Children]]+1)</f>
        <v>1</v>
      </c>
      <c r="S576" s="4" t="str">
        <f>IF(Table1_1[[#This Row],[Cars]]=0,"No","Yes")</f>
        <v>Yes</v>
      </c>
      <c r="T576" s="6" t="str">
        <f>IF(AND(Table1_1[[#This Row],[Income]]&gt;50000,Table1_1[[#This Row],[Home Owner]]="Yes"),"High stability","Low stability")</f>
        <v>High stability</v>
      </c>
      <c r="U576" s="3">
        <f>Table1_1[[#This Row],[Income]]/Table1_1[[#This Row],[Family size]]</f>
        <v>80000</v>
      </c>
      <c r="V576" s="6" t="str">
        <f>IF(Table1_1[[#This Row],[Occupation]]="Skilled manual","Blue collar",IF(Table1_1[[#This Row],[Occupation]]="Manual","Blue collar","White collar"))</f>
        <v>White collar</v>
      </c>
    </row>
    <row r="577" spans="1:22" x14ac:dyDescent="0.3">
      <c r="A577" t="s">
        <v>611</v>
      </c>
      <c r="B577" s="6" t="s">
        <v>1044</v>
      </c>
      <c r="C577" s="6" t="s">
        <v>1046</v>
      </c>
      <c r="D577" s="3">
        <v>60000</v>
      </c>
      <c r="E577">
        <v>2</v>
      </c>
      <c r="F577" s="6" t="s">
        <v>19</v>
      </c>
      <c r="G577" s="6" t="s">
        <v>21</v>
      </c>
      <c r="H577" s="6" t="s">
        <v>15</v>
      </c>
      <c r="I577">
        <v>1</v>
      </c>
      <c r="J577" t="s">
        <v>30</v>
      </c>
      <c r="K5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77" s="6" t="s">
        <v>32</v>
      </c>
      <c r="M577" s="7">
        <v>56</v>
      </c>
      <c r="N577" t="s">
        <v>18</v>
      </c>
      <c r="O577" s="9" t="str">
        <f>IF(Table1_1[[#This Row],[Purchased Bike]]="yes","1","0")</f>
        <v>0</v>
      </c>
      <c r="P577" s="4" t="str">
        <f>IF(Table1_1[[#This Row],[Income]]&lt;=30000,"Low ",IF(Table1_1[[#This Row],[Income]]&lt;=70000,"Middle","High"))</f>
        <v>Middle</v>
      </c>
      <c r="Q577" s="6" t="str">
        <f>IF(Table1_1[[#This Row],[Age]]&lt;30,"Young",IF(Table1_1[[#This Row],[Age]]&lt;50,"Middle aged","Senior citizen"))</f>
        <v>Senior citizen</v>
      </c>
      <c r="R577" s="7">
        <f>IF(Table1_1[[#This Row],[Marriedarital SingletatuSingle]]="M",Table1_1[[#This Row],[Children]]+2,Table1_1[[#This Row],[Children]]+1)</f>
        <v>3</v>
      </c>
      <c r="S577" s="4" t="str">
        <f>IF(Table1_1[[#This Row],[Cars]]=0,"No","Yes")</f>
        <v>Yes</v>
      </c>
      <c r="T577" s="6" t="str">
        <f>IF(AND(Table1_1[[#This Row],[Income]]&gt;50000,Table1_1[[#This Row],[Home Owner]]="Yes"),"High stability","Low stability")</f>
        <v>High stability</v>
      </c>
      <c r="U577" s="3">
        <f>Table1_1[[#This Row],[Income]]/Table1_1[[#This Row],[Family size]]</f>
        <v>20000</v>
      </c>
      <c r="V577" s="6" t="str">
        <f>IF(Table1_1[[#This Row],[Occupation]]="Skilled manual","Blue collar",IF(Table1_1[[#This Row],[Occupation]]="Manual","Blue collar","White collar"))</f>
        <v>White collar</v>
      </c>
    </row>
    <row r="578" spans="1:22" x14ac:dyDescent="0.3">
      <c r="A578" t="s">
        <v>612</v>
      </c>
      <c r="B578" s="6" t="s">
        <v>1044</v>
      </c>
      <c r="C578" s="6" t="s">
        <v>1045</v>
      </c>
      <c r="D578" s="3">
        <v>40000</v>
      </c>
      <c r="E578">
        <v>0</v>
      </c>
      <c r="F578" s="6" t="s">
        <v>27</v>
      </c>
      <c r="G578" s="6" t="s">
        <v>14</v>
      </c>
      <c r="H578" s="6" t="s">
        <v>15</v>
      </c>
      <c r="I578">
        <v>1</v>
      </c>
      <c r="J578" t="s">
        <v>23</v>
      </c>
      <c r="K5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78" s="6" t="s">
        <v>32</v>
      </c>
      <c r="M578" s="7">
        <v>31</v>
      </c>
      <c r="N578" t="s">
        <v>18</v>
      </c>
      <c r="O578" s="9" t="str">
        <f>IF(Table1_1[[#This Row],[Purchased Bike]]="yes","1","0")</f>
        <v>0</v>
      </c>
      <c r="P578" s="4" t="str">
        <f>IF(Table1_1[[#This Row],[Income]]&lt;=30000,"Low ",IF(Table1_1[[#This Row],[Income]]&lt;=70000,"Middle","High"))</f>
        <v>Middle</v>
      </c>
      <c r="Q578" s="6" t="str">
        <f>IF(Table1_1[[#This Row],[Age]]&lt;30,"Young",IF(Table1_1[[#This Row],[Age]]&lt;50,"Middle aged","Senior citizen"))</f>
        <v>Middle aged</v>
      </c>
      <c r="R578" s="7">
        <f>IF(Table1_1[[#This Row],[Marriedarital SingletatuSingle]]="M",Table1_1[[#This Row],[Children]]+2,Table1_1[[#This Row],[Children]]+1)</f>
        <v>1</v>
      </c>
      <c r="S578" s="4" t="str">
        <f>IF(Table1_1[[#This Row],[Cars]]=0,"No","Yes")</f>
        <v>Yes</v>
      </c>
      <c r="T578" s="6" t="str">
        <f>IF(AND(Table1_1[[#This Row],[Income]]&gt;50000,Table1_1[[#This Row],[Home Owner]]="Yes"),"High stability","Low stability")</f>
        <v>Low stability</v>
      </c>
      <c r="U578" s="3">
        <f>Table1_1[[#This Row],[Income]]/Table1_1[[#This Row],[Family size]]</f>
        <v>40000</v>
      </c>
      <c r="V578" s="6" t="str">
        <f>IF(Table1_1[[#This Row],[Occupation]]="Skilled manual","Blue collar",IF(Table1_1[[#This Row],[Occupation]]="Manual","Blue collar","White collar"))</f>
        <v>Blue collar</v>
      </c>
    </row>
    <row r="579" spans="1:22" x14ac:dyDescent="0.3">
      <c r="A579" t="s">
        <v>613</v>
      </c>
      <c r="B579" s="6" t="s">
        <v>1042</v>
      </c>
      <c r="C579" s="6" t="s">
        <v>1046</v>
      </c>
      <c r="D579" s="3">
        <v>120000</v>
      </c>
      <c r="E579">
        <v>1</v>
      </c>
      <c r="F579" s="6" t="s">
        <v>13</v>
      </c>
      <c r="G579" s="6" t="s">
        <v>28</v>
      </c>
      <c r="H579" s="6" t="s">
        <v>15</v>
      </c>
      <c r="I579">
        <v>4</v>
      </c>
      <c r="J579" t="s">
        <v>16</v>
      </c>
      <c r="K5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79" s="6" t="s">
        <v>32</v>
      </c>
      <c r="M579" s="7">
        <v>38</v>
      </c>
      <c r="N579" t="s">
        <v>18</v>
      </c>
      <c r="O579" s="9" t="str">
        <f>IF(Table1_1[[#This Row],[Purchased Bike]]="yes","1","0")</f>
        <v>0</v>
      </c>
      <c r="P579" s="4" t="str">
        <f>IF(Table1_1[[#This Row],[Income]]&lt;=30000,"Low ",IF(Table1_1[[#This Row],[Income]]&lt;=70000,"Middle","High"))</f>
        <v>High</v>
      </c>
      <c r="Q579" s="6" t="str">
        <f>IF(Table1_1[[#This Row],[Age]]&lt;30,"Young",IF(Table1_1[[#This Row],[Age]]&lt;50,"Middle aged","Senior citizen"))</f>
        <v>Middle aged</v>
      </c>
      <c r="R579" s="7">
        <f>IF(Table1_1[[#This Row],[Marriedarital SingletatuSingle]]="M",Table1_1[[#This Row],[Children]]+2,Table1_1[[#This Row],[Children]]+1)</f>
        <v>2</v>
      </c>
      <c r="S579" s="4" t="str">
        <f>IF(Table1_1[[#This Row],[Cars]]=0,"No","Yes")</f>
        <v>Yes</v>
      </c>
      <c r="T579" s="6" t="str">
        <f>IF(AND(Table1_1[[#This Row],[Income]]&gt;50000,Table1_1[[#This Row],[Home Owner]]="Yes"),"High stability","Low stability")</f>
        <v>High stability</v>
      </c>
      <c r="U579" s="3">
        <f>Table1_1[[#This Row],[Income]]/Table1_1[[#This Row],[Family size]]</f>
        <v>60000</v>
      </c>
      <c r="V579" s="6" t="str">
        <f>IF(Table1_1[[#This Row],[Occupation]]="Skilled manual","Blue collar",IF(Table1_1[[#This Row],[Occupation]]="Manual","Blue collar","White collar"))</f>
        <v>White collar</v>
      </c>
    </row>
    <row r="580" spans="1:22" x14ac:dyDescent="0.3">
      <c r="A580" t="s">
        <v>614</v>
      </c>
      <c r="B580" s="6" t="s">
        <v>1042</v>
      </c>
      <c r="C580" s="6" t="s">
        <v>1046</v>
      </c>
      <c r="D580" s="3">
        <v>60000</v>
      </c>
      <c r="E580">
        <v>4</v>
      </c>
      <c r="F580" s="6" t="s">
        <v>13</v>
      </c>
      <c r="G580" s="6" t="s">
        <v>28</v>
      </c>
      <c r="H580" s="6" t="s">
        <v>15</v>
      </c>
      <c r="I580">
        <v>2</v>
      </c>
      <c r="J580" t="s">
        <v>22</v>
      </c>
      <c r="K5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80" s="6" t="s">
        <v>32</v>
      </c>
      <c r="M580" s="7">
        <v>59</v>
      </c>
      <c r="N580" t="s">
        <v>18</v>
      </c>
      <c r="O580" s="9" t="str">
        <f>IF(Table1_1[[#This Row],[Purchased Bike]]="yes","1","0")</f>
        <v>0</v>
      </c>
      <c r="P580" s="4" t="str">
        <f>IF(Table1_1[[#This Row],[Income]]&lt;=30000,"Low ",IF(Table1_1[[#This Row],[Income]]&lt;=70000,"Middle","High"))</f>
        <v>Middle</v>
      </c>
      <c r="Q580" s="6" t="str">
        <f>IF(Table1_1[[#This Row],[Age]]&lt;30,"Young",IF(Table1_1[[#This Row],[Age]]&lt;50,"Middle aged","Senior citizen"))</f>
        <v>Senior citizen</v>
      </c>
      <c r="R580" s="7">
        <f>IF(Table1_1[[#This Row],[Marriedarital SingletatuSingle]]="M",Table1_1[[#This Row],[Children]]+2,Table1_1[[#This Row],[Children]]+1)</f>
        <v>5</v>
      </c>
      <c r="S580" s="4" t="str">
        <f>IF(Table1_1[[#This Row],[Cars]]=0,"No","Yes")</f>
        <v>Yes</v>
      </c>
      <c r="T580" s="6" t="str">
        <f>IF(AND(Table1_1[[#This Row],[Income]]&gt;50000,Table1_1[[#This Row],[Home Owner]]="Yes"),"High stability","Low stability")</f>
        <v>High stability</v>
      </c>
      <c r="U580" s="3">
        <f>Table1_1[[#This Row],[Income]]/Table1_1[[#This Row],[Family size]]</f>
        <v>12000</v>
      </c>
      <c r="V580" s="6" t="str">
        <f>IF(Table1_1[[#This Row],[Occupation]]="Skilled manual","Blue collar",IF(Table1_1[[#This Row],[Occupation]]="Manual","Blue collar","White collar"))</f>
        <v>White collar</v>
      </c>
    </row>
    <row r="581" spans="1:22" x14ac:dyDescent="0.3">
      <c r="A581" t="s">
        <v>615</v>
      </c>
      <c r="B581" s="6" t="s">
        <v>1044</v>
      </c>
      <c r="C581" s="6" t="s">
        <v>1045</v>
      </c>
      <c r="D581" s="3">
        <v>40000</v>
      </c>
      <c r="E581">
        <v>3</v>
      </c>
      <c r="F581" s="6" t="s">
        <v>19</v>
      </c>
      <c r="G581" s="6" t="s">
        <v>20</v>
      </c>
      <c r="H581" s="6" t="s">
        <v>18</v>
      </c>
      <c r="I581">
        <v>2</v>
      </c>
      <c r="J581" t="s">
        <v>16</v>
      </c>
      <c r="K5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81" s="6" t="s">
        <v>32</v>
      </c>
      <c r="M581" s="7">
        <v>32</v>
      </c>
      <c r="N581" t="s">
        <v>18</v>
      </c>
      <c r="O581" s="9" t="str">
        <f>IF(Table1_1[[#This Row],[Purchased Bike]]="yes","1","0")</f>
        <v>0</v>
      </c>
      <c r="P581" s="4" t="str">
        <f>IF(Table1_1[[#This Row],[Income]]&lt;=30000,"Low ",IF(Table1_1[[#This Row],[Income]]&lt;=70000,"Middle","High"))</f>
        <v>Middle</v>
      </c>
      <c r="Q581" s="6" t="str">
        <f>IF(Table1_1[[#This Row],[Age]]&lt;30,"Young",IF(Table1_1[[#This Row],[Age]]&lt;50,"Middle aged","Senior citizen"))</f>
        <v>Middle aged</v>
      </c>
      <c r="R581" s="7">
        <f>IF(Table1_1[[#This Row],[Marriedarital SingletatuSingle]]="M",Table1_1[[#This Row],[Children]]+2,Table1_1[[#This Row],[Children]]+1)</f>
        <v>4</v>
      </c>
      <c r="S581" s="4" t="str">
        <f>IF(Table1_1[[#This Row],[Cars]]=0,"No","Yes")</f>
        <v>Yes</v>
      </c>
      <c r="T581" s="6" t="str">
        <f>IF(AND(Table1_1[[#This Row],[Income]]&gt;50000,Table1_1[[#This Row],[Home Owner]]="Yes"),"High stability","Low stability")</f>
        <v>Low stability</v>
      </c>
      <c r="U581" s="3">
        <f>Table1_1[[#This Row],[Income]]/Table1_1[[#This Row],[Family size]]</f>
        <v>10000</v>
      </c>
      <c r="V581" s="6" t="str">
        <f>IF(Table1_1[[#This Row],[Occupation]]="Skilled manual","Blue collar",IF(Table1_1[[#This Row],[Occupation]]="Manual","Blue collar","White collar"))</f>
        <v>White collar</v>
      </c>
    </row>
    <row r="582" spans="1:22" x14ac:dyDescent="0.3">
      <c r="A582" t="s">
        <v>616</v>
      </c>
      <c r="B582" s="6" t="s">
        <v>1042</v>
      </c>
      <c r="C582" s="6" t="s">
        <v>1045</v>
      </c>
      <c r="D582" s="3">
        <v>60000</v>
      </c>
      <c r="E582">
        <v>3</v>
      </c>
      <c r="F582" s="6" t="s">
        <v>31</v>
      </c>
      <c r="G582" s="6" t="s">
        <v>28</v>
      </c>
      <c r="H582" s="6" t="s">
        <v>15</v>
      </c>
      <c r="I582">
        <v>2</v>
      </c>
      <c r="J582" t="s">
        <v>30</v>
      </c>
      <c r="K5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82" s="6" t="s">
        <v>32</v>
      </c>
      <c r="M582" s="7">
        <v>69</v>
      </c>
      <c r="N582" t="s">
        <v>18</v>
      </c>
      <c r="O582" s="9" t="str">
        <f>IF(Table1_1[[#This Row],[Purchased Bike]]="yes","1","0")</f>
        <v>0</v>
      </c>
      <c r="P582" s="4" t="str">
        <f>IF(Table1_1[[#This Row],[Income]]&lt;=30000,"Low ",IF(Table1_1[[#This Row],[Income]]&lt;=70000,"Middle","High"))</f>
        <v>Middle</v>
      </c>
      <c r="Q582" s="6" t="str">
        <f>IF(Table1_1[[#This Row],[Age]]&lt;30,"Young",IF(Table1_1[[#This Row],[Age]]&lt;50,"Middle aged","Senior citizen"))</f>
        <v>Senior citizen</v>
      </c>
      <c r="R582" s="7">
        <f>IF(Table1_1[[#This Row],[Marriedarital SingletatuSingle]]="M",Table1_1[[#This Row],[Children]]+2,Table1_1[[#This Row],[Children]]+1)</f>
        <v>4</v>
      </c>
      <c r="S582" s="4" t="str">
        <f>IF(Table1_1[[#This Row],[Cars]]=0,"No","Yes")</f>
        <v>Yes</v>
      </c>
      <c r="T582" s="6" t="str">
        <f>IF(AND(Table1_1[[#This Row],[Income]]&gt;50000,Table1_1[[#This Row],[Home Owner]]="Yes"),"High stability","Low stability")</f>
        <v>High stability</v>
      </c>
      <c r="U582" s="3">
        <f>Table1_1[[#This Row],[Income]]/Table1_1[[#This Row],[Family size]]</f>
        <v>15000</v>
      </c>
      <c r="V582" s="6" t="str">
        <f>IF(Table1_1[[#This Row],[Occupation]]="Skilled manual","Blue collar",IF(Table1_1[[#This Row],[Occupation]]="Manual","Blue collar","White collar"))</f>
        <v>White collar</v>
      </c>
    </row>
    <row r="583" spans="1:22" x14ac:dyDescent="0.3">
      <c r="A583" t="s">
        <v>617</v>
      </c>
      <c r="B583" s="6" t="s">
        <v>1042</v>
      </c>
      <c r="C583" s="6" t="s">
        <v>1046</v>
      </c>
      <c r="D583" s="3">
        <v>40000</v>
      </c>
      <c r="E583">
        <v>0</v>
      </c>
      <c r="F583" s="6" t="s">
        <v>19</v>
      </c>
      <c r="G583" s="6" t="s">
        <v>14</v>
      </c>
      <c r="H583" s="6" t="s">
        <v>15</v>
      </c>
      <c r="I583">
        <v>1</v>
      </c>
      <c r="J583" t="s">
        <v>23</v>
      </c>
      <c r="K5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83" s="6" t="s">
        <v>32</v>
      </c>
      <c r="M583" s="7">
        <v>28</v>
      </c>
      <c r="N583" t="s">
        <v>18</v>
      </c>
      <c r="O583" s="9" t="str">
        <f>IF(Table1_1[[#This Row],[Purchased Bike]]="yes","1","0")</f>
        <v>0</v>
      </c>
      <c r="P583" s="4" t="str">
        <f>IF(Table1_1[[#This Row],[Income]]&lt;=30000,"Low ",IF(Table1_1[[#This Row],[Income]]&lt;=70000,"Middle","High"))</f>
        <v>Middle</v>
      </c>
      <c r="Q583" s="6" t="str">
        <f>IF(Table1_1[[#This Row],[Age]]&lt;30,"Young",IF(Table1_1[[#This Row],[Age]]&lt;50,"Middle aged","Senior citizen"))</f>
        <v>Young</v>
      </c>
      <c r="R583" s="7">
        <f>IF(Table1_1[[#This Row],[Marriedarital SingletatuSingle]]="M",Table1_1[[#This Row],[Children]]+2,Table1_1[[#This Row],[Children]]+1)</f>
        <v>1</v>
      </c>
      <c r="S583" s="4" t="str">
        <f>IF(Table1_1[[#This Row],[Cars]]=0,"No","Yes")</f>
        <v>Yes</v>
      </c>
      <c r="T583" s="6" t="str">
        <f>IF(AND(Table1_1[[#This Row],[Income]]&gt;50000,Table1_1[[#This Row],[Home Owner]]="Yes"),"High stability","Low stability")</f>
        <v>Low stability</v>
      </c>
      <c r="U583" s="3">
        <f>Table1_1[[#This Row],[Income]]/Table1_1[[#This Row],[Family size]]</f>
        <v>40000</v>
      </c>
      <c r="V583" s="6" t="str">
        <f>IF(Table1_1[[#This Row],[Occupation]]="Skilled manual","Blue collar",IF(Table1_1[[#This Row],[Occupation]]="Manual","Blue collar","White collar"))</f>
        <v>Blue collar</v>
      </c>
    </row>
    <row r="584" spans="1:22" x14ac:dyDescent="0.3">
      <c r="A584" t="s">
        <v>618</v>
      </c>
      <c r="B584" s="6" t="s">
        <v>1042</v>
      </c>
      <c r="C584" s="6" t="s">
        <v>1046</v>
      </c>
      <c r="D584" s="3">
        <v>80000</v>
      </c>
      <c r="E584">
        <v>4</v>
      </c>
      <c r="F584" s="6" t="s">
        <v>31</v>
      </c>
      <c r="G584" s="6" t="s">
        <v>14</v>
      </c>
      <c r="H584" s="6" t="s">
        <v>15</v>
      </c>
      <c r="I584">
        <v>0</v>
      </c>
      <c r="J584" t="s">
        <v>26</v>
      </c>
      <c r="K5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84" s="6" t="s">
        <v>32</v>
      </c>
      <c r="M584" s="7">
        <v>47</v>
      </c>
      <c r="N584" t="s">
        <v>18</v>
      </c>
      <c r="O584" s="9" t="str">
        <f>IF(Table1_1[[#This Row],[Purchased Bike]]="yes","1","0")</f>
        <v>0</v>
      </c>
      <c r="P584" s="4" t="str">
        <f>IF(Table1_1[[#This Row],[Income]]&lt;=30000,"Low ",IF(Table1_1[[#This Row],[Income]]&lt;=70000,"Middle","High"))</f>
        <v>High</v>
      </c>
      <c r="Q584" s="6" t="str">
        <f>IF(Table1_1[[#This Row],[Age]]&lt;30,"Young",IF(Table1_1[[#This Row],[Age]]&lt;50,"Middle aged","Senior citizen"))</f>
        <v>Middle aged</v>
      </c>
      <c r="R584" s="7">
        <f>IF(Table1_1[[#This Row],[Marriedarital SingletatuSingle]]="M",Table1_1[[#This Row],[Children]]+2,Table1_1[[#This Row],[Children]]+1)</f>
        <v>5</v>
      </c>
      <c r="S584" s="4" t="str">
        <f>IF(Table1_1[[#This Row],[Cars]]=0,"No","Yes")</f>
        <v>No</v>
      </c>
      <c r="T584" s="6" t="str">
        <f>IF(AND(Table1_1[[#This Row],[Income]]&gt;50000,Table1_1[[#This Row],[Home Owner]]="Yes"),"High stability","Low stability")</f>
        <v>High stability</v>
      </c>
      <c r="U584" s="3">
        <f>Table1_1[[#This Row],[Income]]/Table1_1[[#This Row],[Family size]]</f>
        <v>16000</v>
      </c>
      <c r="V584" s="6" t="str">
        <f>IF(Table1_1[[#This Row],[Occupation]]="Skilled manual","Blue collar",IF(Table1_1[[#This Row],[Occupation]]="Manual","Blue collar","White collar"))</f>
        <v>Blue collar</v>
      </c>
    </row>
    <row r="585" spans="1:22" x14ac:dyDescent="0.3">
      <c r="A585" t="s">
        <v>619</v>
      </c>
      <c r="B585" s="6" t="s">
        <v>1042</v>
      </c>
      <c r="C585" s="6" t="s">
        <v>1046</v>
      </c>
      <c r="D585" s="3">
        <v>60000</v>
      </c>
      <c r="E585">
        <v>3</v>
      </c>
      <c r="F585" s="6" t="s">
        <v>13</v>
      </c>
      <c r="G585" s="6" t="s">
        <v>28</v>
      </c>
      <c r="H585" s="6" t="s">
        <v>15</v>
      </c>
      <c r="I585">
        <v>2</v>
      </c>
      <c r="J585" t="s">
        <v>30</v>
      </c>
      <c r="K5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85" s="6" t="s">
        <v>32</v>
      </c>
      <c r="M585" s="7">
        <v>66</v>
      </c>
      <c r="N585" t="s">
        <v>18</v>
      </c>
      <c r="O585" s="9" t="str">
        <f>IF(Table1_1[[#This Row],[Purchased Bike]]="yes","1","0")</f>
        <v>0</v>
      </c>
      <c r="P585" s="4" t="str">
        <f>IF(Table1_1[[#This Row],[Income]]&lt;=30000,"Low ",IF(Table1_1[[#This Row],[Income]]&lt;=70000,"Middle","High"))</f>
        <v>Middle</v>
      </c>
      <c r="Q585" s="6" t="str">
        <f>IF(Table1_1[[#This Row],[Age]]&lt;30,"Young",IF(Table1_1[[#This Row],[Age]]&lt;50,"Middle aged","Senior citizen"))</f>
        <v>Senior citizen</v>
      </c>
      <c r="R585" s="7">
        <f>IF(Table1_1[[#This Row],[Marriedarital SingletatuSingle]]="M",Table1_1[[#This Row],[Children]]+2,Table1_1[[#This Row],[Children]]+1)</f>
        <v>4</v>
      </c>
      <c r="S585" s="4" t="str">
        <f>IF(Table1_1[[#This Row],[Cars]]=0,"No","Yes")</f>
        <v>Yes</v>
      </c>
      <c r="T585" s="6" t="str">
        <f>IF(AND(Table1_1[[#This Row],[Income]]&gt;50000,Table1_1[[#This Row],[Home Owner]]="Yes"),"High stability","Low stability")</f>
        <v>High stability</v>
      </c>
      <c r="U585" s="3">
        <f>Table1_1[[#This Row],[Income]]/Table1_1[[#This Row],[Family size]]</f>
        <v>15000</v>
      </c>
      <c r="V585" s="6" t="str">
        <f>IF(Table1_1[[#This Row],[Occupation]]="Skilled manual","Blue collar",IF(Table1_1[[#This Row],[Occupation]]="Manual","Blue collar","White collar"))</f>
        <v>White collar</v>
      </c>
    </row>
    <row r="586" spans="1:22" x14ac:dyDescent="0.3">
      <c r="A586" t="s">
        <v>620</v>
      </c>
      <c r="B586" s="6" t="s">
        <v>1044</v>
      </c>
      <c r="C586" s="6" t="s">
        <v>1046</v>
      </c>
      <c r="D586" s="3">
        <v>70000</v>
      </c>
      <c r="E586">
        <v>2</v>
      </c>
      <c r="F586" s="6" t="s">
        <v>13</v>
      </c>
      <c r="G586" s="6" t="s">
        <v>14</v>
      </c>
      <c r="H586" s="6" t="s">
        <v>18</v>
      </c>
      <c r="I586">
        <v>1</v>
      </c>
      <c r="J586" t="s">
        <v>16</v>
      </c>
      <c r="K5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86" s="6" t="s">
        <v>32</v>
      </c>
      <c r="M586" s="7">
        <v>37</v>
      </c>
      <c r="N586" t="s">
        <v>15</v>
      </c>
      <c r="O586" s="9" t="str">
        <f>IF(Table1_1[[#This Row],[Purchased Bike]]="yes","1","0")</f>
        <v>1</v>
      </c>
      <c r="P586" s="4" t="str">
        <f>IF(Table1_1[[#This Row],[Income]]&lt;=30000,"Low ",IF(Table1_1[[#This Row],[Income]]&lt;=70000,"Middle","High"))</f>
        <v>Middle</v>
      </c>
      <c r="Q586" s="6" t="str">
        <f>IF(Table1_1[[#This Row],[Age]]&lt;30,"Young",IF(Table1_1[[#This Row],[Age]]&lt;50,"Middle aged","Senior citizen"))</f>
        <v>Middle aged</v>
      </c>
      <c r="R586" s="7">
        <f>IF(Table1_1[[#This Row],[Marriedarital SingletatuSingle]]="M",Table1_1[[#This Row],[Children]]+2,Table1_1[[#This Row],[Children]]+1)</f>
        <v>3</v>
      </c>
      <c r="S586" s="4" t="str">
        <f>IF(Table1_1[[#This Row],[Cars]]=0,"No","Yes")</f>
        <v>Yes</v>
      </c>
      <c r="T586" s="6" t="str">
        <f>IF(AND(Table1_1[[#This Row],[Income]]&gt;50000,Table1_1[[#This Row],[Home Owner]]="Yes"),"High stability","Low stability")</f>
        <v>Low stability</v>
      </c>
      <c r="U586" s="3">
        <f>Table1_1[[#This Row],[Income]]/Table1_1[[#This Row],[Family size]]</f>
        <v>23333.333333333332</v>
      </c>
      <c r="V586" s="6" t="str">
        <f>IF(Table1_1[[#This Row],[Occupation]]="Skilled manual","Blue collar",IF(Table1_1[[#This Row],[Occupation]]="Manual","Blue collar","White collar"))</f>
        <v>Blue collar</v>
      </c>
    </row>
    <row r="587" spans="1:22" x14ac:dyDescent="0.3">
      <c r="A587" t="s">
        <v>621</v>
      </c>
      <c r="B587" s="6" t="s">
        <v>1044</v>
      </c>
      <c r="C587" s="6" t="s">
        <v>1046</v>
      </c>
      <c r="D587" s="3">
        <v>120000</v>
      </c>
      <c r="E587">
        <v>2</v>
      </c>
      <c r="F587" s="6" t="s">
        <v>13</v>
      </c>
      <c r="G587" s="6" t="s">
        <v>28</v>
      </c>
      <c r="H587" s="6" t="s">
        <v>18</v>
      </c>
      <c r="I587">
        <v>3</v>
      </c>
      <c r="J587" t="s">
        <v>16</v>
      </c>
      <c r="K5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87" s="6" t="s">
        <v>32</v>
      </c>
      <c r="M587" s="7">
        <v>39</v>
      </c>
      <c r="N587" t="s">
        <v>15</v>
      </c>
      <c r="O587" s="9" t="str">
        <f>IF(Table1_1[[#This Row],[Purchased Bike]]="yes","1","0")</f>
        <v>1</v>
      </c>
      <c r="P587" s="4" t="str">
        <f>IF(Table1_1[[#This Row],[Income]]&lt;=30000,"Low ",IF(Table1_1[[#This Row],[Income]]&lt;=70000,"Middle","High"))</f>
        <v>High</v>
      </c>
      <c r="Q587" s="6" t="str">
        <f>IF(Table1_1[[#This Row],[Age]]&lt;30,"Young",IF(Table1_1[[#This Row],[Age]]&lt;50,"Middle aged","Senior citizen"))</f>
        <v>Middle aged</v>
      </c>
      <c r="R587" s="7">
        <f>IF(Table1_1[[#This Row],[Marriedarital SingletatuSingle]]="M",Table1_1[[#This Row],[Children]]+2,Table1_1[[#This Row],[Children]]+1)</f>
        <v>3</v>
      </c>
      <c r="S587" s="4" t="str">
        <f>IF(Table1_1[[#This Row],[Cars]]=0,"No","Yes")</f>
        <v>Yes</v>
      </c>
      <c r="T587" s="6" t="str">
        <f>IF(AND(Table1_1[[#This Row],[Income]]&gt;50000,Table1_1[[#This Row],[Home Owner]]="Yes"),"High stability","Low stability")</f>
        <v>Low stability</v>
      </c>
      <c r="U587" s="3">
        <f>Table1_1[[#This Row],[Income]]/Table1_1[[#This Row],[Family size]]</f>
        <v>40000</v>
      </c>
      <c r="V587" s="6" t="str">
        <f>IF(Table1_1[[#This Row],[Occupation]]="Skilled manual","Blue collar",IF(Table1_1[[#This Row],[Occupation]]="Manual","Blue collar","White collar"))</f>
        <v>White collar</v>
      </c>
    </row>
    <row r="588" spans="1:22" x14ac:dyDescent="0.3">
      <c r="A588" t="s">
        <v>622</v>
      </c>
      <c r="B588" s="6" t="s">
        <v>1042</v>
      </c>
      <c r="C588" s="6" t="s">
        <v>1046</v>
      </c>
      <c r="D588" s="3">
        <v>60000</v>
      </c>
      <c r="E588">
        <v>2</v>
      </c>
      <c r="F588" s="6" t="s">
        <v>27</v>
      </c>
      <c r="G588" s="6" t="s">
        <v>21</v>
      </c>
      <c r="H588" s="6" t="s">
        <v>18</v>
      </c>
      <c r="I588">
        <v>2</v>
      </c>
      <c r="J588" t="s">
        <v>26</v>
      </c>
      <c r="K5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88" s="6" t="s">
        <v>32</v>
      </c>
      <c r="M588" s="7">
        <v>51</v>
      </c>
      <c r="N588" t="s">
        <v>18</v>
      </c>
      <c r="O588" s="9" t="str">
        <f>IF(Table1_1[[#This Row],[Purchased Bike]]="yes","1","0")</f>
        <v>0</v>
      </c>
      <c r="P588" s="4" t="str">
        <f>IF(Table1_1[[#This Row],[Income]]&lt;=30000,"Low ",IF(Table1_1[[#This Row],[Income]]&lt;=70000,"Middle","High"))</f>
        <v>Middle</v>
      </c>
      <c r="Q588" s="6" t="str">
        <f>IF(Table1_1[[#This Row],[Age]]&lt;30,"Young",IF(Table1_1[[#This Row],[Age]]&lt;50,"Middle aged","Senior citizen"))</f>
        <v>Senior citizen</v>
      </c>
      <c r="R588" s="7">
        <f>IF(Table1_1[[#This Row],[Marriedarital SingletatuSingle]]="M",Table1_1[[#This Row],[Children]]+2,Table1_1[[#This Row],[Children]]+1)</f>
        <v>3</v>
      </c>
      <c r="S588" s="4" t="str">
        <f>IF(Table1_1[[#This Row],[Cars]]=0,"No","Yes")</f>
        <v>Yes</v>
      </c>
      <c r="T588" s="6" t="str">
        <f>IF(AND(Table1_1[[#This Row],[Income]]&gt;50000,Table1_1[[#This Row],[Home Owner]]="Yes"),"High stability","Low stability")</f>
        <v>Low stability</v>
      </c>
      <c r="U588" s="3">
        <f>Table1_1[[#This Row],[Income]]/Table1_1[[#This Row],[Family size]]</f>
        <v>20000</v>
      </c>
      <c r="V588" s="6" t="str">
        <f>IF(Table1_1[[#This Row],[Occupation]]="Skilled manual","Blue collar",IF(Table1_1[[#This Row],[Occupation]]="Manual","Blue collar","White collar"))</f>
        <v>White collar</v>
      </c>
    </row>
    <row r="589" spans="1:22" x14ac:dyDescent="0.3">
      <c r="A589" t="s">
        <v>623</v>
      </c>
      <c r="B589" s="6" t="s">
        <v>1042</v>
      </c>
      <c r="C589" s="6" t="s">
        <v>1045</v>
      </c>
      <c r="D589" s="3">
        <v>130000</v>
      </c>
      <c r="E589">
        <v>0</v>
      </c>
      <c r="F589" s="6" t="s">
        <v>31</v>
      </c>
      <c r="G589" s="6" t="s">
        <v>28</v>
      </c>
      <c r="H589" s="6" t="s">
        <v>15</v>
      </c>
      <c r="I589">
        <v>3</v>
      </c>
      <c r="J589" t="s">
        <v>26</v>
      </c>
      <c r="K5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89" s="6" t="s">
        <v>32</v>
      </c>
      <c r="M589" s="7">
        <v>40</v>
      </c>
      <c r="N589" t="s">
        <v>18</v>
      </c>
      <c r="O589" s="9" t="str">
        <f>IF(Table1_1[[#This Row],[Purchased Bike]]="yes","1","0")</f>
        <v>0</v>
      </c>
      <c r="P589" s="4" t="str">
        <f>IF(Table1_1[[#This Row],[Income]]&lt;=30000,"Low ",IF(Table1_1[[#This Row],[Income]]&lt;=70000,"Middle","High"))</f>
        <v>High</v>
      </c>
      <c r="Q589" s="6" t="str">
        <f>IF(Table1_1[[#This Row],[Age]]&lt;30,"Young",IF(Table1_1[[#This Row],[Age]]&lt;50,"Middle aged","Senior citizen"))</f>
        <v>Middle aged</v>
      </c>
      <c r="R589" s="7">
        <f>IF(Table1_1[[#This Row],[Marriedarital SingletatuSingle]]="M",Table1_1[[#This Row],[Children]]+2,Table1_1[[#This Row],[Children]]+1)</f>
        <v>1</v>
      </c>
      <c r="S589" s="4" t="str">
        <f>IF(Table1_1[[#This Row],[Cars]]=0,"No","Yes")</f>
        <v>Yes</v>
      </c>
      <c r="T589" s="6" t="str">
        <f>IF(AND(Table1_1[[#This Row],[Income]]&gt;50000,Table1_1[[#This Row],[Home Owner]]="Yes"),"High stability","Low stability")</f>
        <v>High stability</v>
      </c>
      <c r="U589" s="3">
        <f>Table1_1[[#This Row],[Income]]/Table1_1[[#This Row],[Family size]]</f>
        <v>130000</v>
      </c>
      <c r="V589" s="6" t="str">
        <f>IF(Table1_1[[#This Row],[Occupation]]="Skilled manual","Blue collar",IF(Table1_1[[#This Row],[Occupation]]="Manual","Blue collar","White collar"))</f>
        <v>White collar</v>
      </c>
    </row>
    <row r="590" spans="1:22" x14ac:dyDescent="0.3">
      <c r="A590" t="s">
        <v>624</v>
      </c>
      <c r="B590" s="6" t="s">
        <v>1042</v>
      </c>
      <c r="C590" s="6" t="s">
        <v>1045</v>
      </c>
      <c r="D590" s="3">
        <v>90000</v>
      </c>
      <c r="E590">
        <v>2</v>
      </c>
      <c r="F590" s="6" t="s">
        <v>27</v>
      </c>
      <c r="G590" s="6" t="s">
        <v>21</v>
      </c>
      <c r="H590" s="6" t="s">
        <v>15</v>
      </c>
      <c r="I590">
        <v>1</v>
      </c>
      <c r="J590" t="s">
        <v>30</v>
      </c>
      <c r="K5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90" s="6" t="s">
        <v>32</v>
      </c>
      <c r="M590" s="7">
        <v>51</v>
      </c>
      <c r="N590" t="s">
        <v>15</v>
      </c>
      <c r="O590" s="9" t="str">
        <f>IF(Table1_1[[#This Row],[Purchased Bike]]="yes","1","0")</f>
        <v>1</v>
      </c>
      <c r="P590" s="4" t="str">
        <f>IF(Table1_1[[#This Row],[Income]]&lt;=30000,"Low ",IF(Table1_1[[#This Row],[Income]]&lt;=70000,"Middle","High"))</f>
        <v>High</v>
      </c>
      <c r="Q590" s="6" t="str">
        <f>IF(Table1_1[[#This Row],[Age]]&lt;30,"Young",IF(Table1_1[[#This Row],[Age]]&lt;50,"Middle aged","Senior citizen"))</f>
        <v>Senior citizen</v>
      </c>
      <c r="R590" s="7">
        <f>IF(Table1_1[[#This Row],[Marriedarital SingletatuSingle]]="M",Table1_1[[#This Row],[Children]]+2,Table1_1[[#This Row],[Children]]+1)</f>
        <v>3</v>
      </c>
      <c r="S590" s="4" t="str">
        <f>IF(Table1_1[[#This Row],[Cars]]=0,"No","Yes")</f>
        <v>Yes</v>
      </c>
      <c r="T590" s="6" t="str">
        <f>IF(AND(Table1_1[[#This Row],[Income]]&gt;50000,Table1_1[[#This Row],[Home Owner]]="Yes"),"High stability","Low stability")</f>
        <v>High stability</v>
      </c>
      <c r="U590" s="3">
        <f>Table1_1[[#This Row],[Income]]/Table1_1[[#This Row],[Family size]]</f>
        <v>30000</v>
      </c>
      <c r="V590" s="6" t="str">
        <f>IF(Table1_1[[#This Row],[Occupation]]="Skilled manual","Blue collar",IF(Table1_1[[#This Row],[Occupation]]="Manual","Blue collar","White collar"))</f>
        <v>White collar</v>
      </c>
    </row>
    <row r="591" spans="1:22" x14ac:dyDescent="0.3">
      <c r="A591" t="s">
        <v>625</v>
      </c>
      <c r="B591" s="6" t="s">
        <v>1044</v>
      </c>
      <c r="C591" s="6" t="s">
        <v>1046</v>
      </c>
      <c r="D591" s="3">
        <v>60000</v>
      </c>
      <c r="E591">
        <v>2</v>
      </c>
      <c r="F591" s="6" t="s">
        <v>13</v>
      </c>
      <c r="G591" s="6" t="s">
        <v>28</v>
      </c>
      <c r="H591" s="6" t="s">
        <v>15</v>
      </c>
      <c r="I591">
        <v>0</v>
      </c>
      <c r="J591" t="s">
        <v>30</v>
      </c>
      <c r="K5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91" s="6" t="s">
        <v>32</v>
      </c>
      <c r="M591" s="7">
        <v>57</v>
      </c>
      <c r="N591" t="s">
        <v>18</v>
      </c>
      <c r="O591" s="9" t="str">
        <f>IF(Table1_1[[#This Row],[Purchased Bike]]="yes","1","0")</f>
        <v>0</v>
      </c>
      <c r="P591" s="4" t="str">
        <f>IF(Table1_1[[#This Row],[Income]]&lt;=30000,"Low ",IF(Table1_1[[#This Row],[Income]]&lt;=70000,"Middle","High"))</f>
        <v>Middle</v>
      </c>
      <c r="Q591" s="6" t="str">
        <f>IF(Table1_1[[#This Row],[Age]]&lt;30,"Young",IF(Table1_1[[#This Row],[Age]]&lt;50,"Middle aged","Senior citizen"))</f>
        <v>Senior citizen</v>
      </c>
      <c r="R591" s="7">
        <f>IF(Table1_1[[#This Row],[Marriedarital SingletatuSingle]]="M",Table1_1[[#This Row],[Children]]+2,Table1_1[[#This Row],[Children]]+1)</f>
        <v>3</v>
      </c>
      <c r="S591" s="4" t="str">
        <f>IF(Table1_1[[#This Row],[Cars]]=0,"No","Yes")</f>
        <v>No</v>
      </c>
      <c r="T591" s="6" t="str">
        <f>IF(AND(Table1_1[[#This Row],[Income]]&gt;50000,Table1_1[[#This Row],[Home Owner]]="Yes"),"High stability","Low stability")</f>
        <v>High stability</v>
      </c>
      <c r="U591" s="3">
        <f>Table1_1[[#This Row],[Income]]/Table1_1[[#This Row],[Family size]]</f>
        <v>20000</v>
      </c>
      <c r="V591" s="6" t="str">
        <f>IF(Table1_1[[#This Row],[Occupation]]="Skilled manual","Blue collar",IF(Table1_1[[#This Row],[Occupation]]="Manual","Blue collar","White collar"))</f>
        <v>White collar</v>
      </c>
    </row>
    <row r="592" spans="1:22" x14ac:dyDescent="0.3">
      <c r="A592" t="s">
        <v>626</v>
      </c>
      <c r="B592" s="6" t="s">
        <v>1042</v>
      </c>
      <c r="C592" s="6" t="s">
        <v>1045</v>
      </c>
      <c r="D592" s="3">
        <v>60000</v>
      </c>
      <c r="E592">
        <v>1</v>
      </c>
      <c r="F592" s="6" t="s">
        <v>31</v>
      </c>
      <c r="G592" s="6" t="s">
        <v>21</v>
      </c>
      <c r="H592" s="6" t="s">
        <v>18</v>
      </c>
      <c r="I592">
        <v>0</v>
      </c>
      <c r="J592" t="s">
        <v>16</v>
      </c>
      <c r="K5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592" s="6" t="s">
        <v>32</v>
      </c>
      <c r="M592" s="7">
        <v>35</v>
      </c>
      <c r="N592" t="s">
        <v>15</v>
      </c>
      <c r="O592" s="9" t="str">
        <f>IF(Table1_1[[#This Row],[Purchased Bike]]="yes","1","0")</f>
        <v>1</v>
      </c>
      <c r="P592" s="4" t="str">
        <f>IF(Table1_1[[#This Row],[Income]]&lt;=30000,"Low ",IF(Table1_1[[#This Row],[Income]]&lt;=70000,"Middle","High"))</f>
        <v>Middle</v>
      </c>
      <c r="Q592" s="6" t="str">
        <f>IF(Table1_1[[#This Row],[Age]]&lt;30,"Young",IF(Table1_1[[#This Row],[Age]]&lt;50,"Middle aged","Senior citizen"))</f>
        <v>Middle aged</v>
      </c>
      <c r="R592" s="7">
        <f>IF(Table1_1[[#This Row],[Marriedarital SingletatuSingle]]="M",Table1_1[[#This Row],[Children]]+2,Table1_1[[#This Row],[Children]]+1)</f>
        <v>2</v>
      </c>
      <c r="S592" s="4" t="str">
        <f>IF(Table1_1[[#This Row],[Cars]]=0,"No","Yes")</f>
        <v>No</v>
      </c>
      <c r="T592" s="6" t="str">
        <f>IF(AND(Table1_1[[#This Row],[Income]]&gt;50000,Table1_1[[#This Row],[Home Owner]]="Yes"),"High stability","Low stability")</f>
        <v>Low stability</v>
      </c>
      <c r="U592" s="3">
        <f>Table1_1[[#This Row],[Income]]/Table1_1[[#This Row],[Family size]]</f>
        <v>30000</v>
      </c>
      <c r="V592" s="6" t="str">
        <f>IF(Table1_1[[#This Row],[Occupation]]="Skilled manual","Blue collar",IF(Table1_1[[#This Row],[Occupation]]="Manual","Blue collar","White collar"))</f>
        <v>White collar</v>
      </c>
    </row>
    <row r="593" spans="1:22" x14ac:dyDescent="0.3">
      <c r="A593" t="s">
        <v>627</v>
      </c>
      <c r="B593" s="6" t="s">
        <v>1042</v>
      </c>
      <c r="C593" s="6" t="s">
        <v>1046</v>
      </c>
      <c r="D593" s="3">
        <v>40000</v>
      </c>
      <c r="E593">
        <v>4</v>
      </c>
      <c r="F593" s="6" t="s">
        <v>27</v>
      </c>
      <c r="G593" s="6" t="s">
        <v>21</v>
      </c>
      <c r="H593" s="6" t="s">
        <v>18</v>
      </c>
      <c r="I593">
        <v>2</v>
      </c>
      <c r="J593" t="s">
        <v>30</v>
      </c>
      <c r="K5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593" s="6" t="s">
        <v>32</v>
      </c>
      <c r="M593" s="7">
        <v>61</v>
      </c>
      <c r="N593" t="s">
        <v>15</v>
      </c>
      <c r="O593" s="9" t="str">
        <f>IF(Table1_1[[#This Row],[Purchased Bike]]="yes","1","0")</f>
        <v>1</v>
      </c>
      <c r="P593" s="4" t="str">
        <f>IF(Table1_1[[#This Row],[Income]]&lt;=30000,"Low ",IF(Table1_1[[#This Row],[Income]]&lt;=70000,"Middle","High"))</f>
        <v>Middle</v>
      </c>
      <c r="Q593" s="6" t="str">
        <f>IF(Table1_1[[#This Row],[Age]]&lt;30,"Young",IF(Table1_1[[#This Row],[Age]]&lt;50,"Middle aged","Senior citizen"))</f>
        <v>Senior citizen</v>
      </c>
      <c r="R593" s="7">
        <f>IF(Table1_1[[#This Row],[Marriedarital SingletatuSingle]]="M",Table1_1[[#This Row],[Children]]+2,Table1_1[[#This Row],[Children]]+1)</f>
        <v>5</v>
      </c>
      <c r="S593" s="4" t="str">
        <f>IF(Table1_1[[#This Row],[Cars]]=0,"No","Yes")</f>
        <v>Yes</v>
      </c>
      <c r="T593" s="6" t="str">
        <f>IF(AND(Table1_1[[#This Row],[Income]]&gt;50000,Table1_1[[#This Row],[Home Owner]]="Yes"),"High stability","Low stability")</f>
        <v>Low stability</v>
      </c>
      <c r="U593" s="3">
        <f>Table1_1[[#This Row],[Income]]/Table1_1[[#This Row],[Family size]]</f>
        <v>8000</v>
      </c>
      <c r="V593" s="6" t="str">
        <f>IF(Table1_1[[#This Row],[Occupation]]="Skilled manual","Blue collar",IF(Table1_1[[#This Row],[Occupation]]="Manual","Blue collar","White collar"))</f>
        <v>White collar</v>
      </c>
    </row>
    <row r="594" spans="1:22" x14ac:dyDescent="0.3">
      <c r="A594" t="s">
        <v>628</v>
      </c>
      <c r="B594" s="6" t="s">
        <v>1044</v>
      </c>
      <c r="C594" s="6" t="s">
        <v>1045</v>
      </c>
      <c r="D594" s="3">
        <v>80000</v>
      </c>
      <c r="E594">
        <v>5</v>
      </c>
      <c r="F594" s="6" t="s">
        <v>19</v>
      </c>
      <c r="G594" s="6" t="s">
        <v>21</v>
      </c>
      <c r="H594" s="6" t="s">
        <v>15</v>
      </c>
      <c r="I594">
        <v>2</v>
      </c>
      <c r="J594" t="s">
        <v>23</v>
      </c>
      <c r="K5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94" s="6" t="s">
        <v>32</v>
      </c>
      <c r="M594" s="7">
        <v>44</v>
      </c>
      <c r="N594" t="s">
        <v>18</v>
      </c>
      <c r="O594" s="9" t="str">
        <f>IF(Table1_1[[#This Row],[Purchased Bike]]="yes","1","0")</f>
        <v>0</v>
      </c>
      <c r="P594" s="4" t="str">
        <f>IF(Table1_1[[#This Row],[Income]]&lt;=30000,"Low ",IF(Table1_1[[#This Row],[Income]]&lt;=70000,"Middle","High"))</f>
        <v>High</v>
      </c>
      <c r="Q594" s="6" t="str">
        <f>IF(Table1_1[[#This Row],[Age]]&lt;30,"Young",IF(Table1_1[[#This Row],[Age]]&lt;50,"Middle aged","Senior citizen"))</f>
        <v>Middle aged</v>
      </c>
      <c r="R594" s="7">
        <f>IF(Table1_1[[#This Row],[Marriedarital SingletatuSingle]]="M",Table1_1[[#This Row],[Children]]+2,Table1_1[[#This Row],[Children]]+1)</f>
        <v>6</v>
      </c>
      <c r="S594" s="4" t="str">
        <f>IF(Table1_1[[#This Row],[Cars]]=0,"No","Yes")</f>
        <v>Yes</v>
      </c>
      <c r="T594" s="6" t="str">
        <f>IF(AND(Table1_1[[#This Row],[Income]]&gt;50000,Table1_1[[#This Row],[Home Owner]]="Yes"),"High stability","Low stability")</f>
        <v>High stability</v>
      </c>
      <c r="U594" s="3">
        <f>Table1_1[[#This Row],[Income]]/Table1_1[[#This Row],[Family size]]</f>
        <v>13333.333333333334</v>
      </c>
      <c r="V594" s="6" t="str">
        <f>IF(Table1_1[[#This Row],[Occupation]]="Skilled manual","Blue collar",IF(Table1_1[[#This Row],[Occupation]]="Manual","Blue collar","White collar"))</f>
        <v>White collar</v>
      </c>
    </row>
    <row r="595" spans="1:22" x14ac:dyDescent="0.3">
      <c r="A595" t="s">
        <v>629</v>
      </c>
      <c r="B595" s="6" t="s">
        <v>1044</v>
      </c>
      <c r="C595" s="6" t="s">
        <v>1045</v>
      </c>
      <c r="D595" s="3">
        <v>70000</v>
      </c>
      <c r="E595">
        <v>2</v>
      </c>
      <c r="F595" s="6" t="s">
        <v>19</v>
      </c>
      <c r="G595" s="6" t="s">
        <v>21</v>
      </c>
      <c r="H595" s="6" t="s">
        <v>15</v>
      </c>
      <c r="I595">
        <v>0</v>
      </c>
      <c r="J595" t="s">
        <v>23</v>
      </c>
      <c r="K5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95" s="6" t="s">
        <v>32</v>
      </c>
      <c r="M595" s="7">
        <v>49</v>
      </c>
      <c r="N595" t="s">
        <v>15</v>
      </c>
      <c r="O595" s="9" t="str">
        <f>IF(Table1_1[[#This Row],[Purchased Bike]]="yes","1","0")</f>
        <v>1</v>
      </c>
      <c r="P595" s="4" t="str">
        <f>IF(Table1_1[[#This Row],[Income]]&lt;=30000,"Low ",IF(Table1_1[[#This Row],[Income]]&lt;=70000,"Middle","High"))</f>
        <v>Middle</v>
      </c>
      <c r="Q595" s="6" t="str">
        <f>IF(Table1_1[[#This Row],[Age]]&lt;30,"Young",IF(Table1_1[[#This Row],[Age]]&lt;50,"Middle aged","Senior citizen"))</f>
        <v>Middle aged</v>
      </c>
      <c r="R595" s="7">
        <f>IF(Table1_1[[#This Row],[Marriedarital SingletatuSingle]]="M",Table1_1[[#This Row],[Children]]+2,Table1_1[[#This Row],[Children]]+1)</f>
        <v>3</v>
      </c>
      <c r="S595" s="4" t="str">
        <f>IF(Table1_1[[#This Row],[Cars]]=0,"No","Yes")</f>
        <v>No</v>
      </c>
      <c r="T595" s="6" t="str">
        <f>IF(AND(Table1_1[[#This Row],[Income]]&gt;50000,Table1_1[[#This Row],[Home Owner]]="Yes"),"High stability","Low stability")</f>
        <v>High stability</v>
      </c>
      <c r="U595" s="3">
        <f>Table1_1[[#This Row],[Income]]/Table1_1[[#This Row],[Family size]]</f>
        <v>23333.333333333332</v>
      </c>
      <c r="V595" s="6" t="str">
        <f>IF(Table1_1[[#This Row],[Occupation]]="Skilled manual","Blue collar",IF(Table1_1[[#This Row],[Occupation]]="Manual","Blue collar","White collar"))</f>
        <v>White collar</v>
      </c>
    </row>
    <row r="596" spans="1:22" x14ac:dyDescent="0.3">
      <c r="A596" t="s">
        <v>630</v>
      </c>
      <c r="B596" s="6" t="s">
        <v>1042</v>
      </c>
      <c r="C596" s="6" t="s">
        <v>1046</v>
      </c>
      <c r="D596" s="3">
        <v>80000</v>
      </c>
      <c r="E596">
        <v>4</v>
      </c>
      <c r="F596" s="6" t="s">
        <v>31</v>
      </c>
      <c r="G596" s="6" t="s">
        <v>28</v>
      </c>
      <c r="H596" s="6" t="s">
        <v>15</v>
      </c>
      <c r="I596">
        <v>2</v>
      </c>
      <c r="J596" t="s">
        <v>23</v>
      </c>
      <c r="K5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596" s="6" t="s">
        <v>32</v>
      </c>
      <c r="M596" s="7">
        <v>70</v>
      </c>
      <c r="N596" t="s">
        <v>18</v>
      </c>
      <c r="O596" s="9" t="str">
        <f>IF(Table1_1[[#This Row],[Purchased Bike]]="yes","1","0")</f>
        <v>0</v>
      </c>
      <c r="P596" s="4" t="str">
        <f>IF(Table1_1[[#This Row],[Income]]&lt;=30000,"Low ",IF(Table1_1[[#This Row],[Income]]&lt;=70000,"Middle","High"))</f>
        <v>High</v>
      </c>
      <c r="Q596" s="6" t="str">
        <f>IF(Table1_1[[#This Row],[Age]]&lt;30,"Young",IF(Table1_1[[#This Row],[Age]]&lt;50,"Middle aged","Senior citizen"))</f>
        <v>Senior citizen</v>
      </c>
      <c r="R596" s="7">
        <f>IF(Table1_1[[#This Row],[Marriedarital SingletatuSingle]]="M",Table1_1[[#This Row],[Children]]+2,Table1_1[[#This Row],[Children]]+1)</f>
        <v>5</v>
      </c>
      <c r="S596" s="4" t="str">
        <f>IF(Table1_1[[#This Row],[Cars]]=0,"No","Yes")</f>
        <v>Yes</v>
      </c>
      <c r="T596" s="6" t="str">
        <f>IF(AND(Table1_1[[#This Row],[Income]]&gt;50000,Table1_1[[#This Row],[Home Owner]]="Yes"),"High stability","Low stability")</f>
        <v>High stability</v>
      </c>
      <c r="U596" s="3">
        <f>Table1_1[[#This Row],[Income]]/Table1_1[[#This Row],[Family size]]</f>
        <v>16000</v>
      </c>
      <c r="V596" s="6" t="str">
        <f>IF(Table1_1[[#This Row],[Occupation]]="Skilled manual","Blue collar",IF(Table1_1[[#This Row],[Occupation]]="Manual","Blue collar","White collar"))</f>
        <v>White collar</v>
      </c>
    </row>
    <row r="597" spans="1:22" x14ac:dyDescent="0.3">
      <c r="A597" t="s">
        <v>631</v>
      </c>
      <c r="B597" s="6" t="s">
        <v>1044</v>
      </c>
      <c r="C597" s="6" t="s">
        <v>1045</v>
      </c>
      <c r="D597" s="3">
        <v>20000</v>
      </c>
      <c r="E597">
        <v>3</v>
      </c>
      <c r="F597" s="6" t="s">
        <v>27</v>
      </c>
      <c r="G597" s="6" t="s">
        <v>14</v>
      </c>
      <c r="H597" s="6" t="s">
        <v>15</v>
      </c>
      <c r="I597">
        <v>2</v>
      </c>
      <c r="J597" t="s">
        <v>22</v>
      </c>
      <c r="K5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97" s="6" t="s">
        <v>32</v>
      </c>
      <c r="M597" s="7">
        <v>78</v>
      </c>
      <c r="N597" t="s">
        <v>18</v>
      </c>
      <c r="O597" s="9" t="str">
        <f>IF(Table1_1[[#This Row],[Purchased Bike]]="yes","1","0")</f>
        <v>0</v>
      </c>
      <c r="P597" s="4" t="str">
        <f>IF(Table1_1[[#This Row],[Income]]&lt;=30000,"Low ",IF(Table1_1[[#This Row],[Income]]&lt;=70000,"Middle","High"))</f>
        <v xml:space="preserve">Low </v>
      </c>
      <c r="Q597" s="6" t="str">
        <f>IF(Table1_1[[#This Row],[Age]]&lt;30,"Young",IF(Table1_1[[#This Row],[Age]]&lt;50,"Middle aged","Senior citizen"))</f>
        <v>Senior citizen</v>
      </c>
      <c r="R597" s="7">
        <f>IF(Table1_1[[#This Row],[Marriedarital SingletatuSingle]]="M",Table1_1[[#This Row],[Children]]+2,Table1_1[[#This Row],[Children]]+1)</f>
        <v>4</v>
      </c>
      <c r="S597" s="4" t="str">
        <f>IF(Table1_1[[#This Row],[Cars]]=0,"No","Yes")</f>
        <v>Yes</v>
      </c>
      <c r="T597" s="6" t="str">
        <f>IF(AND(Table1_1[[#This Row],[Income]]&gt;50000,Table1_1[[#This Row],[Home Owner]]="Yes"),"High stability","Low stability")</f>
        <v>Low stability</v>
      </c>
      <c r="U597" s="3">
        <f>Table1_1[[#This Row],[Income]]/Table1_1[[#This Row],[Family size]]</f>
        <v>5000</v>
      </c>
      <c r="V597" s="6" t="str">
        <f>IF(Table1_1[[#This Row],[Occupation]]="Skilled manual","Blue collar",IF(Table1_1[[#This Row],[Occupation]]="Manual","Blue collar","White collar"))</f>
        <v>Blue collar</v>
      </c>
    </row>
    <row r="598" spans="1:22" x14ac:dyDescent="0.3">
      <c r="A598" t="s">
        <v>632</v>
      </c>
      <c r="B598" s="6" t="s">
        <v>1042</v>
      </c>
      <c r="C598" s="6" t="s">
        <v>1045</v>
      </c>
      <c r="D598" s="3">
        <v>90000</v>
      </c>
      <c r="E598">
        <v>4</v>
      </c>
      <c r="F598" s="6" t="s">
        <v>19</v>
      </c>
      <c r="G598" s="6" t="s">
        <v>21</v>
      </c>
      <c r="H598" s="6" t="s">
        <v>15</v>
      </c>
      <c r="I598">
        <v>1</v>
      </c>
      <c r="J598" t="s">
        <v>26</v>
      </c>
      <c r="K5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598" s="6" t="s">
        <v>32</v>
      </c>
      <c r="M598" s="7">
        <v>45</v>
      </c>
      <c r="N598" t="s">
        <v>18</v>
      </c>
      <c r="O598" s="9" t="str">
        <f>IF(Table1_1[[#This Row],[Purchased Bike]]="yes","1","0")</f>
        <v>0</v>
      </c>
      <c r="P598" s="4" t="str">
        <f>IF(Table1_1[[#This Row],[Income]]&lt;=30000,"Low ",IF(Table1_1[[#This Row],[Income]]&lt;=70000,"Middle","High"))</f>
        <v>High</v>
      </c>
      <c r="Q598" s="6" t="str">
        <f>IF(Table1_1[[#This Row],[Age]]&lt;30,"Young",IF(Table1_1[[#This Row],[Age]]&lt;50,"Middle aged","Senior citizen"))</f>
        <v>Middle aged</v>
      </c>
      <c r="R598" s="7">
        <f>IF(Table1_1[[#This Row],[Marriedarital SingletatuSingle]]="M",Table1_1[[#This Row],[Children]]+2,Table1_1[[#This Row],[Children]]+1)</f>
        <v>5</v>
      </c>
      <c r="S598" s="4" t="str">
        <f>IF(Table1_1[[#This Row],[Cars]]=0,"No","Yes")</f>
        <v>Yes</v>
      </c>
      <c r="T598" s="6" t="str">
        <f>IF(AND(Table1_1[[#This Row],[Income]]&gt;50000,Table1_1[[#This Row],[Home Owner]]="Yes"),"High stability","Low stability")</f>
        <v>High stability</v>
      </c>
      <c r="U598" s="3">
        <f>Table1_1[[#This Row],[Income]]/Table1_1[[#This Row],[Family size]]</f>
        <v>18000</v>
      </c>
      <c r="V598" s="6" t="str">
        <f>IF(Table1_1[[#This Row],[Occupation]]="Skilled manual","Blue collar",IF(Table1_1[[#This Row],[Occupation]]="Manual","Blue collar","White collar"))</f>
        <v>White collar</v>
      </c>
    </row>
    <row r="599" spans="1:22" x14ac:dyDescent="0.3">
      <c r="A599" t="s">
        <v>633</v>
      </c>
      <c r="B599" s="6" t="s">
        <v>1044</v>
      </c>
      <c r="C599" s="6" t="s">
        <v>1046</v>
      </c>
      <c r="D599" s="3">
        <v>40000</v>
      </c>
      <c r="E599">
        <v>2</v>
      </c>
      <c r="F599" s="6" t="s">
        <v>27</v>
      </c>
      <c r="G599" s="6" t="s">
        <v>21</v>
      </c>
      <c r="H599" s="6" t="s">
        <v>18</v>
      </c>
      <c r="I599">
        <v>1</v>
      </c>
      <c r="J599" t="s">
        <v>22</v>
      </c>
      <c r="K5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599" s="6" t="s">
        <v>32</v>
      </c>
      <c r="M599" s="7">
        <v>58</v>
      </c>
      <c r="N599" t="s">
        <v>15</v>
      </c>
      <c r="O599" s="9" t="str">
        <f>IF(Table1_1[[#This Row],[Purchased Bike]]="yes","1","0")</f>
        <v>1</v>
      </c>
      <c r="P599" s="4" t="str">
        <f>IF(Table1_1[[#This Row],[Income]]&lt;=30000,"Low ",IF(Table1_1[[#This Row],[Income]]&lt;=70000,"Middle","High"))</f>
        <v>Middle</v>
      </c>
      <c r="Q599" s="6" t="str">
        <f>IF(Table1_1[[#This Row],[Age]]&lt;30,"Young",IF(Table1_1[[#This Row],[Age]]&lt;50,"Middle aged","Senior citizen"))</f>
        <v>Senior citizen</v>
      </c>
      <c r="R599" s="7">
        <f>IF(Table1_1[[#This Row],[Marriedarital SingletatuSingle]]="M",Table1_1[[#This Row],[Children]]+2,Table1_1[[#This Row],[Children]]+1)</f>
        <v>3</v>
      </c>
      <c r="S599" s="4" t="str">
        <f>IF(Table1_1[[#This Row],[Cars]]=0,"No","Yes")</f>
        <v>Yes</v>
      </c>
      <c r="T599" s="6" t="str">
        <f>IF(AND(Table1_1[[#This Row],[Income]]&gt;50000,Table1_1[[#This Row],[Home Owner]]="Yes"),"High stability","Low stability")</f>
        <v>Low stability</v>
      </c>
      <c r="U599" s="3">
        <f>Table1_1[[#This Row],[Income]]/Table1_1[[#This Row],[Family size]]</f>
        <v>13333.333333333334</v>
      </c>
      <c r="V599" s="6" t="str">
        <f>IF(Table1_1[[#This Row],[Occupation]]="Skilled manual","Blue collar",IF(Table1_1[[#This Row],[Occupation]]="Manual","Blue collar","White collar"))</f>
        <v>White collar</v>
      </c>
    </row>
    <row r="600" spans="1:22" x14ac:dyDescent="0.3">
      <c r="A600" t="s">
        <v>634</v>
      </c>
      <c r="B600" s="6" t="s">
        <v>1042</v>
      </c>
      <c r="C600" s="6" t="s">
        <v>1046</v>
      </c>
      <c r="D600" s="3">
        <v>130000</v>
      </c>
      <c r="E600">
        <v>1</v>
      </c>
      <c r="F600" s="6" t="s">
        <v>31</v>
      </c>
      <c r="G600" s="6" t="s">
        <v>28</v>
      </c>
      <c r="H600" s="6" t="s">
        <v>15</v>
      </c>
      <c r="I600">
        <v>4</v>
      </c>
      <c r="J600" t="s">
        <v>16</v>
      </c>
      <c r="K6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00" s="6" t="s">
        <v>32</v>
      </c>
      <c r="M600" s="7">
        <v>41</v>
      </c>
      <c r="N600" t="s">
        <v>18</v>
      </c>
      <c r="O600" s="9" t="str">
        <f>IF(Table1_1[[#This Row],[Purchased Bike]]="yes","1","0")</f>
        <v>0</v>
      </c>
      <c r="P600" s="4" t="str">
        <f>IF(Table1_1[[#This Row],[Income]]&lt;=30000,"Low ",IF(Table1_1[[#This Row],[Income]]&lt;=70000,"Middle","High"))</f>
        <v>High</v>
      </c>
      <c r="Q600" s="6" t="str">
        <f>IF(Table1_1[[#This Row],[Age]]&lt;30,"Young",IF(Table1_1[[#This Row],[Age]]&lt;50,"Middle aged","Senior citizen"))</f>
        <v>Middle aged</v>
      </c>
      <c r="R600" s="7">
        <f>IF(Table1_1[[#This Row],[Marriedarital SingletatuSingle]]="M",Table1_1[[#This Row],[Children]]+2,Table1_1[[#This Row],[Children]]+1)</f>
        <v>2</v>
      </c>
      <c r="S600" s="4" t="str">
        <f>IF(Table1_1[[#This Row],[Cars]]=0,"No","Yes")</f>
        <v>Yes</v>
      </c>
      <c r="T600" s="6" t="str">
        <f>IF(AND(Table1_1[[#This Row],[Income]]&gt;50000,Table1_1[[#This Row],[Home Owner]]="Yes"),"High stability","Low stability")</f>
        <v>High stability</v>
      </c>
      <c r="U600" s="3">
        <f>Table1_1[[#This Row],[Income]]/Table1_1[[#This Row],[Family size]]</f>
        <v>65000</v>
      </c>
      <c r="V600" s="6" t="str">
        <f>IF(Table1_1[[#This Row],[Occupation]]="Skilled manual","Blue collar",IF(Table1_1[[#This Row],[Occupation]]="Manual","Blue collar","White collar"))</f>
        <v>White collar</v>
      </c>
    </row>
    <row r="601" spans="1:22" x14ac:dyDescent="0.3">
      <c r="A601" t="s">
        <v>635</v>
      </c>
      <c r="B601" s="6" t="s">
        <v>1042</v>
      </c>
      <c r="C601" s="6" t="s">
        <v>1045</v>
      </c>
      <c r="D601" s="3">
        <v>60000</v>
      </c>
      <c r="E601">
        <v>2</v>
      </c>
      <c r="F601" s="6" t="s">
        <v>19</v>
      </c>
      <c r="G601" s="6" t="s">
        <v>21</v>
      </c>
      <c r="H601" s="6" t="s">
        <v>15</v>
      </c>
      <c r="I601">
        <v>1</v>
      </c>
      <c r="J601" t="s">
        <v>22</v>
      </c>
      <c r="K6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01" s="6" t="s">
        <v>32</v>
      </c>
      <c r="M601" s="7">
        <v>57</v>
      </c>
      <c r="N601" t="s">
        <v>15</v>
      </c>
      <c r="O601" s="9" t="str">
        <f>IF(Table1_1[[#This Row],[Purchased Bike]]="yes","1","0")</f>
        <v>1</v>
      </c>
      <c r="P601" s="4" t="str">
        <f>IF(Table1_1[[#This Row],[Income]]&lt;=30000,"Low ",IF(Table1_1[[#This Row],[Income]]&lt;=70000,"Middle","High"))</f>
        <v>Middle</v>
      </c>
      <c r="Q601" s="6" t="str">
        <f>IF(Table1_1[[#This Row],[Age]]&lt;30,"Young",IF(Table1_1[[#This Row],[Age]]&lt;50,"Middle aged","Senior citizen"))</f>
        <v>Senior citizen</v>
      </c>
      <c r="R601" s="7">
        <f>IF(Table1_1[[#This Row],[Marriedarital SingletatuSingle]]="M",Table1_1[[#This Row],[Children]]+2,Table1_1[[#This Row],[Children]]+1)</f>
        <v>3</v>
      </c>
      <c r="S601" s="4" t="str">
        <f>IF(Table1_1[[#This Row],[Cars]]=0,"No","Yes")</f>
        <v>Yes</v>
      </c>
      <c r="T601" s="6" t="str">
        <f>IF(AND(Table1_1[[#This Row],[Income]]&gt;50000,Table1_1[[#This Row],[Home Owner]]="Yes"),"High stability","Low stability")</f>
        <v>High stability</v>
      </c>
      <c r="U601" s="3">
        <f>Table1_1[[#This Row],[Income]]/Table1_1[[#This Row],[Family size]]</f>
        <v>20000</v>
      </c>
      <c r="V601" s="6" t="str">
        <f>IF(Table1_1[[#This Row],[Occupation]]="Skilled manual","Blue collar",IF(Table1_1[[#This Row],[Occupation]]="Manual","Blue collar","White collar"))</f>
        <v>White collar</v>
      </c>
    </row>
    <row r="602" spans="1:22" x14ac:dyDescent="0.3">
      <c r="A602" t="s">
        <v>636</v>
      </c>
      <c r="B602" s="6" t="s">
        <v>1042</v>
      </c>
      <c r="C602" s="6" t="s">
        <v>1046</v>
      </c>
      <c r="D602" s="3">
        <v>30000</v>
      </c>
      <c r="E602">
        <v>2</v>
      </c>
      <c r="F602" s="6" t="s">
        <v>27</v>
      </c>
      <c r="G602" s="6" t="s">
        <v>14</v>
      </c>
      <c r="H602" s="6" t="s">
        <v>18</v>
      </c>
      <c r="I602">
        <v>2</v>
      </c>
      <c r="J602" t="s">
        <v>16</v>
      </c>
      <c r="K60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02" s="6" t="s">
        <v>32</v>
      </c>
      <c r="M602" s="7">
        <v>49</v>
      </c>
      <c r="N602" t="s">
        <v>18</v>
      </c>
      <c r="O602" s="9" t="str">
        <f>IF(Table1_1[[#This Row],[Purchased Bike]]="yes","1","0")</f>
        <v>0</v>
      </c>
      <c r="P602" s="4" t="str">
        <f>IF(Table1_1[[#This Row],[Income]]&lt;=30000,"Low ",IF(Table1_1[[#This Row],[Income]]&lt;=70000,"Middle","High"))</f>
        <v xml:space="preserve">Low </v>
      </c>
      <c r="Q602" s="6" t="str">
        <f>IF(Table1_1[[#This Row],[Age]]&lt;30,"Young",IF(Table1_1[[#This Row],[Age]]&lt;50,"Middle aged","Senior citizen"))</f>
        <v>Middle aged</v>
      </c>
      <c r="R602" s="7">
        <f>IF(Table1_1[[#This Row],[Marriedarital SingletatuSingle]]="M",Table1_1[[#This Row],[Children]]+2,Table1_1[[#This Row],[Children]]+1)</f>
        <v>3</v>
      </c>
      <c r="S602" s="4" t="str">
        <f>IF(Table1_1[[#This Row],[Cars]]=0,"No","Yes")</f>
        <v>Yes</v>
      </c>
      <c r="T602" s="6" t="str">
        <f>IF(AND(Table1_1[[#This Row],[Income]]&gt;50000,Table1_1[[#This Row],[Home Owner]]="Yes"),"High stability","Low stability")</f>
        <v>Low stability</v>
      </c>
      <c r="U602" s="3">
        <f>Table1_1[[#This Row],[Income]]/Table1_1[[#This Row],[Family size]]</f>
        <v>10000</v>
      </c>
      <c r="V602" s="6" t="str">
        <f>IF(Table1_1[[#This Row],[Occupation]]="Skilled manual","Blue collar",IF(Table1_1[[#This Row],[Occupation]]="Manual","Blue collar","White collar"))</f>
        <v>Blue collar</v>
      </c>
    </row>
    <row r="603" spans="1:22" x14ac:dyDescent="0.3">
      <c r="A603" t="s">
        <v>637</v>
      </c>
      <c r="B603" s="6" t="s">
        <v>1044</v>
      </c>
      <c r="C603" s="6" t="s">
        <v>1046</v>
      </c>
      <c r="D603" s="3">
        <v>80000</v>
      </c>
      <c r="E603">
        <v>4</v>
      </c>
      <c r="F603" s="6" t="s">
        <v>19</v>
      </c>
      <c r="G603" s="6" t="s">
        <v>21</v>
      </c>
      <c r="H603" s="6" t="s">
        <v>18</v>
      </c>
      <c r="I603">
        <v>2</v>
      </c>
      <c r="J603" t="s">
        <v>16</v>
      </c>
      <c r="K60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03" s="6" t="s">
        <v>32</v>
      </c>
      <c r="M603" s="7">
        <v>43</v>
      </c>
      <c r="N603" t="s">
        <v>18</v>
      </c>
      <c r="O603" s="9" t="str">
        <f>IF(Table1_1[[#This Row],[Purchased Bike]]="yes","1","0")</f>
        <v>0</v>
      </c>
      <c r="P603" s="4" t="str">
        <f>IF(Table1_1[[#This Row],[Income]]&lt;=30000,"Low ",IF(Table1_1[[#This Row],[Income]]&lt;=70000,"Middle","High"))</f>
        <v>High</v>
      </c>
      <c r="Q603" s="6" t="str">
        <f>IF(Table1_1[[#This Row],[Age]]&lt;30,"Young",IF(Table1_1[[#This Row],[Age]]&lt;50,"Middle aged","Senior citizen"))</f>
        <v>Middle aged</v>
      </c>
      <c r="R603" s="7">
        <f>IF(Table1_1[[#This Row],[Marriedarital SingletatuSingle]]="M",Table1_1[[#This Row],[Children]]+2,Table1_1[[#This Row],[Children]]+1)</f>
        <v>5</v>
      </c>
      <c r="S603" s="4" t="str">
        <f>IF(Table1_1[[#This Row],[Cars]]=0,"No","Yes")</f>
        <v>Yes</v>
      </c>
      <c r="T603" s="6" t="str">
        <f>IF(AND(Table1_1[[#This Row],[Income]]&gt;50000,Table1_1[[#This Row],[Home Owner]]="Yes"),"High stability","Low stability")</f>
        <v>Low stability</v>
      </c>
      <c r="U603" s="3">
        <f>Table1_1[[#This Row],[Income]]/Table1_1[[#This Row],[Family size]]</f>
        <v>16000</v>
      </c>
      <c r="V603" s="6" t="str">
        <f>IF(Table1_1[[#This Row],[Occupation]]="Skilled manual","Blue collar",IF(Table1_1[[#This Row],[Occupation]]="Manual","Blue collar","White collar"))</f>
        <v>White collar</v>
      </c>
    </row>
    <row r="604" spans="1:22" x14ac:dyDescent="0.3">
      <c r="A604" t="s">
        <v>638</v>
      </c>
      <c r="B604" s="6" t="s">
        <v>1044</v>
      </c>
      <c r="C604" s="6" t="s">
        <v>1046</v>
      </c>
      <c r="D604" s="3">
        <v>60000</v>
      </c>
      <c r="E604">
        <v>2</v>
      </c>
      <c r="F604" s="6" t="s">
        <v>29</v>
      </c>
      <c r="G604" s="6" t="s">
        <v>14</v>
      </c>
      <c r="H604" s="6" t="s">
        <v>15</v>
      </c>
      <c r="I604">
        <v>2</v>
      </c>
      <c r="J604" t="s">
        <v>23</v>
      </c>
      <c r="K60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04" s="6" t="s">
        <v>32</v>
      </c>
      <c r="M604" s="7">
        <v>52</v>
      </c>
      <c r="N604" t="s">
        <v>15</v>
      </c>
      <c r="O604" s="9" t="str">
        <f>IF(Table1_1[[#This Row],[Purchased Bike]]="yes","1","0")</f>
        <v>1</v>
      </c>
      <c r="P604" s="4" t="str">
        <f>IF(Table1_1[[#This Row],[Income]]&lt;=30000,"Low ",IF(Table1_1[[#This Row],[Income]]&lt;=70000,"Middle","High"))</f>
        <v>Middle</v>
      </c>
      <c r="Q604" s="6" t="str">
        <f>IF(Table1_1[[#This Row],[Age]]&lt;30,"Young",IF(Table1_1[[#This Row],[Age]]&lt;50,"Middle aged","Senior citizen"))</f>
        <v>Senior citizen</v>
      </c>
      <c r="R604" s="7">
        <f>IF(Table1_1[[#This Row],[Marriedarital SingletatuSingle]]="M",Table1_1[[#This Row],[Children]]+2,Table1_1[[#This Row],[Children]]+1)</f>
        <v>3</v>
      </c>
      <c r="S604" s="4" t="str">
        <f>IF(Table1_1[[#This Row],[Cars]]=0,"No","Yes")</f>
        <v>Yes</v>
      </c>
      <c r="T604" s="6" t="str">
        <f>IF(AND(Table1_1[[#This Row],[Income]]&gt;50000,Table1_1[[#This Row],[Home Owner]]="Yes"),"High stability","Low stability")</f>
        <v>High stability</v>
      </c>
      <c r="U604" s="3">
        <f>Table1_1[[#This Row],[Income]]/Table1_1[[#This Row],[Family size]]</f>
        <v>20000</v>
      </c>
      <c r="V604" s="6" t="str">
        <f>IF(Table1_1[[#This Row],[Occupation]]="Skilled manual","Blue collar",IF(Table1_1[[#This Row],[Occupation]]="Manual","Blue collar","White collar"))</f>
        <v>Blue collar</v>
      </c>
    </row>
    <row r="605" spans="1:22" x14ac:dyDescent="0.3">
      <c r="A605" t="s">
        <v>639</v>
      </c>
      <c r="B605" s="6" t="s">
        <v>1042</v>
      </c>
      <c r="C605" s="6" t="s">
        <v>1046</v>
      </c>
      <c r="D605" s="3">
        <v>60000</v>
      </c>
      <c r="E605">
        <v>1</v>
      </c>
      <c r="F605" s="6" t="s">
        <v>31</v>
      </c>
      <c r="G605" s="6" t="s">
        <v>21</v>
      </c>
      <c r="H605" s="6" t="s">
        <v>15</v>
      </c>
      <c r="I605">
        <v>0</v>
      </c>
      <c r="J605" t="s">
        <v>16</v>
      </c>
      <c r="K60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05" s="6" t="s">
        <v>32</v>
      </c>
      <c r="M605" s="7">
        <v>35</v>
      </c>
      <c r="N605" t="s">
        <v>15</v>
      </c>
      <c r="O605" s="9" t="str">
        <f>IF(Table1_1[[#This Row],[Purchased Bike]]="yes","1","0")</f>
        <v>1</v>
      </c>
      <c r="P605" s="4" t="str">
        <f>IF(Table1_1[[#This Row],[Income]]&lt;=30000,"Low ",IF(Table1_1[[#This Row],[Income]]&lt;=70000,"Middle","High"))</f>
        <v>Middle</v>
      </c>
      <c r="Q605" s="6" t="str">
        <f>IF(Table1_1[[#This Row],[Age]]&lt;30,"Young",IF(Table1_1[[#This Row],[Age]]&lt;50,"Middle aged","Senior citizen"))</f>
        <v>Middle aged</v>
      </c>
      <c r="R605" s="7">
        <f>IF(Table1_1[[#This Row],[Marriedarital SingletatuSingle]]="M",Table1_1[[#This Row],[Children]]+2,Table1_1[[#This Row],[Children]]+1)</f>
        <v>2</v>
      </c>
      <c r="S605" s="4" t="str">
        <f>IF(Table1_1[[#This Row],[Cars]]=0,"No","Yes")</f>
        <v>No</v>
      </c>
      <c r="T605" s="6" t="str">
        <f>IF(AND(Table1_1[[#This Row],[Income]]&gt;50000,Table1_1[[#This Row],[Home Owner]]="Yes"),"High stability","Low stability")</f>
        <v>High stability</v>
      </c>
      <c r="U605" s="3">
        <f>Table1_1[[#This Row],[Income]]/Table1_1[[#This Row],[Family size]]</f>
        <v>30000</v>
      </c>
      <c r="V605" s="6" t="str">
        <f>IF(Table1_1[[#This Row],[Occupation]]="Skilled manual","Blue collar",IF(Table1_1[[#This Row],[Occupation]]="Manual","Blue collar","White collar"))</f>
        <v>White collar</v>
      </c>
    </row>
    <row r="606" spans="1:22" x14ac:dyDescent="0.3">
      <c r="A606" t="s">
        <v>640</v>
      </c>
      <c r="B606" s="6" t="s">
        <v>1042</v>
      </c>
      <c r="C606" s="6" t="s">
        <v>1046</v>
      </c>
      <c r="D606" s="3">
        <v>40000</v>
      </c>
      <c r="E606">
        <v>0</v>
      </c>
      <c r="F606" s="6" t="s">
        <v>27</v>
      </c>
      <c r="G606" s="6" t="s">
        <v>14</v>
      </c>
      <c r="H606" s="6" t="s">
        <v>15</v>
      </c>
      <c r="I606">
        <v>2</v>
      </c>
      <c r="J606" t="s">
        <v>23</v>
      </c>
      <c r="K60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06" s="6" t="s">
        <v>32</v>
      </c>
      <c r="M606" s="7">
        <v>27</v>
      </c>
      <c r="N606" t="s">
        <v>18</v>
      </c>
      <c r="O606" s="9" t="str">
        <f>IF(Table1_1[[#This Row],[Purchased Bike]]="yes","1","0")</f>
        <v>0</v>
      </c>
      <c r="P606" s="4" t="str">
        <f>IF(Table1_1[[#This Row],[Income]]&lt;=30000,"Low ",IF(Table1_1[[#This Row],[Income]]&lt;=70000,"Middle","High"))</f>
        <v>Middle</v>
      </c>
      <c r="Q606" s="6" t="str">
        <f>IF(Table1_1[[#This Row],[Age]]&lt;30,"Young",IF(Table1_1[[#This Row],[Age]]&lt;50,"Middle aged","Senior citizen"))</f>
        <v>Young</v>
      </c>
      <c r="R606" s="7">
        <f>IF(Table1_1[[#This Row],[Marriedarital SingletatuSingle]]="M",Table1_1[[#This Row],[Children]]+2,Table1_1[[#This Row],[Children]]+1)</f>
        <v>1</v>
      </c>
      <c r="S606" s="4" t="str">
        <f>IF(Table1_1[[#This Row],[Cars]]=0,"No","Yes")</f>
        <v>Yes</v>
      </c>
      <c r="T606" s="6" t="str">
        <f>IF(AND(Table1_1[[#This Row],[Income]]&gt;50000,Table1_1[[#This Row],[Home Owner]]="Yes"),"High stability","Low stability")</f>
        <v>Low stability</v>
      </c>
      <c r="U606" s="3">
        <f>Table1_1[[#This Row],[Income]]/Table1_1[[#This Row],[Family size]]</f>
        <v>40000</v>
      </c>
      <c r="V606" s="6" t="str">
        <f>IF(Table1_1[[#This Row],[Occupation]]="Skilled manual","Blue collar",IF(Table1_1[[#This Row],[Occupation]]="Manual","Blue collar","White collar"))</f>
        <v>Blue collar</v>
      </c>
    </row>
    <row r="607" spans="1:22" x14ac:dyDescent="0.3">
      <c r="A607" t="s">
        <v>641</v>
      </c>
      <c r="B607" s="6" t="s">
        <v>1044</v>
      </c>
      <c r="C607" s="6" t="s">
        <v>1046</v>
      </c>
      <c r="D607" s="3">
        <v>70000</v>
      </c>
      <c r="E607">
        <v>3</v>
      </c>
      <c r="F607" s="6" t="s">
        <v>27</v>
      </c>
      <c r="G607" s="6" t="s">
        <v>21</v>
      </c>
      <c r="H607" s="6" t="s">
        <v>15</v>
      </c>
      <c r="I607">
        <v>0</v>
      </c>
      <c r="J607" t="s">
        <v>23</v>
      </c>
      <c r="K60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07" s="6" t="s">
        <v>32</v>
      </c>
      <c r="M607" s="7">
        <v>52</v>
      </c>
      <c r="N607" t="s">
        <v>15</v>
      </c>
      <c r="O607" s="9" t="str">
        <f>IF(Table1_1[[#This Row],[Purchased Bike]]="yes","1","0")</f>
        <v>1</v>
      </c>
      <c r="P607" s="4" t="str">
        <f>IF(Table1_1[[#This Row],[Income]]&lt;=30000,"Low ",IF(Table1_1[[#This Row],[Income]]&lt;=70000,"Middle","High"))</f>
        <v>Middle</v>
      </c>
      <c r="Q607" s="6" t="str">
        <f>IF(Table1_1[[#This Row],[Age]]&lt;30,"Young",IF(Table1_1[[#This Row],[Age]]&lt;50,"Middle aged","Senior citizen"))</f>
        <v>Senior citizen</v>
      </c>
      <c r="R607" s="7">
        <f>IF(Table1_1[[#This Row],[Marriedarital SingletatuSingle]]="M",Table1_1[[#This Row],[Children]]+2,Table1_1[[#This Row],[Children]]+1)</f>
        <v>4</v>
      </c>
      <c r="S607" s="4" t="str">
        <f>IF(Table1_1[[#This Row],[Cars]]=0,"No","Yes")</f>
        <v>No</v>
      </c>
      <c r="T607" s="6" t="str">
        <f>IF(AND(Table1_1[[#This Row],[Income]]&gt;50000,Table1_1[[#This Row],[Home Owner]]="Yes"),"High stability","Low stability")</f>
        <v>High stability</v>
      </c>
      <c r="U607" s="3">
        <f>Table1_1[[#This Row],[Income]]/Table1_1[[#This Row],[Family size]]</f>
        <v>17500</v>
      </c>
      <c r="V607" s="6" t="str">
        <f>IF(Table1_1[[#This Row],[Occupation]]="Skilled manual","Blue collar",IF(Table1_1[[#This Row],[Occupation]]="Manual","Blue collar","White collar"))</f>
        <v>White collar</v>
      </c>
    </row>
    <row r="608" spans="1:22" x14ac:dyDescent="0.3">
      <c r="A608" t="s">
        <v>642</v>
      </c>
      <c r="B608" s="6" t="s">
        <v>1044</v>
      </c>
      <c r="C608" s="6" t="s">
        <v>1046</v>
      </c>
      <c r="D608" s="3">
        <v>40000</v>
      </c>
      <c r="E608">
        <v>2</v>
      </c>
      <c r="F608" s="6" t="s">
        <v>13</v>
      </c>
      <c r="G608" s="6" t="s">
        <v>14</v>
      </c>
      <c r="H608" s="6" t="s">
        <v>15</v>
      </c>
      <c r="I608">
        <v>0</v>
      </c>
      <c r="J608" t="s">
        <v>22</v>
      </c>
      <c r="K60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08" s="6" t="s">
        <v>32</v>
      </c>
      <c r="M608" s="7">
        <v>36</v>
      </c>
      <c r="N608" t="s">
        <v>18</v>
      </c>
      <c r="O608" s="9" t="str">
        <f>IF(Table1_1[[#This Row],[Purchased Bike]]="yes","1","0")</f>
        <v>0</v>
      </c>
      <c r="P608" s="4" t="str">
        <f>IF(Table1_1[[#This Row],[Income]]&lt;=30000,"Low ",IF(Table1_1[[#This Row],[Income]]&lt;=70000,"Middle","High"))</f>
        <v>Middle</v>
      </c>
      <c r="Q608" s="6" t="str">
        <f>IF(Table1_1[[#This Row],[Age]]&lt;30,"Young",IF(Table1_1[[#This Row],[Age]]&lt;50,"Middle aged","Senior citizen"))</f>
        <v>Middle aged</v>
      </c>
      <c r="R608" s="7">
        <f>IF(Table1_1[[#This Row],[Marriedarital SingletatuSingle]]="M",Table1_1[[#This Row],[Children]]+2,Table1_1[[#This Row],[Children]]+1)</f>
        <v>3</v>
      </c>
      <c r="S608" s="4" t="str">
        <f>IF(Table1_1[[#This Row],[Cars]]=0,"No","Yes")</f>
        <v>No</v>
      </c>
      <c r="T608" s="6" t="str">
        <f>IF(AND(Table1_1[[#This Row],[Income]]&gt;50000,Table1_1[[#This Row],[Home Owner]]="Yes"),"High stability","Low stability")</f>
        <v>Low stability</v>
      </c>
      <c r="U608" s="3">
        <f>Table1_1[[#This Row],[Income]]/Table1_1[[#This Row],[Family size]]</f>
        <v>13333.333333333334</v>
      </c>
      <c r="V608" s="6" t="str">
        <f>IF(Table1_1[[#This Row],[Occupation]]="Skilled manual","Blue collar",IF(Table1_1[[#This Row],[Occupation]]="Manual","Blue collar","White collar"))</f>
        <v>Blue collar</v>
      </c>
    </row>
    <row r="609" spans="1:22" x14ac:dyDescent="0.3">
      <c r="A609" t="s">
        <v>643</v>
      </c>
      <c r="B609" s="6" t="s">
        <v>1044</v>
      </c>
      <c r="C609" s="6" t="s">
        <v>1045</v>
      </c>
      <c r="D609" s="3">
        <v>70000</v>
      </c>
      <c r="E609">
        <v>5</v>
      </c>
      <c r="F609" s="6" t="s">
        <v>31</v>
      </c>
      <c r="G609" s="6" t="s">
        <v>21</v>
      </c>
      <c r="H609" s="6" t="s">
        <v>15</v>
      </c>
      <c r="I609">
        <v>3</v>
      </c>
      <c r="J609" t="s">
        <v>30</v>
      </c>
      <c r="K60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609" s="6" t="s">
        <v>32</v>
      </c>
      <c r="M609" s="7">
        <v>46</v>
      </c>
      <c r="N609" t="s">
        <v>15</v>
      </c>
      <c r="O609" s="9" t="str">
        <f>IF(Table1_1[[#This Row],[Purchased Bike]]="yes","1","0")</f>
        <v>1</v>
      </c>
      <c r="P609" s="4" t="str">
        <f>IF(Table1_1[[#This Row],[Income]]&lt;=30000,"Low ",IF(Table1_1[[#This Row],[Income]]&lt;=70000,"Middle","High"))</f>
        <v>Middle</v>
      </c>
      <c r="Q609" s="6" t="str">
        <f>IF(Table1_1[[#This Row],[Age]]&lt;30,"Young",IF(Table1_1[[#This Row],[Age]]&lt;50,"Middle aged","Senior citizen"))</f>
        <v>Middle aged</v>
      </c>
      <c r="R609" s="7">
        <f>IF(Table1_1[[#This Row],[Marriedarital SingletatuSingle]]="M",Table1_1[[#This Row],[Children]]+2,Table1_1[[#This Row],[Children]]+1)</f>
        <v>6</v>
      </c>
      <c r="S609" s="4" t="str">
        <f>IF(Table1_1[[#This Row],[Cars]]=0,"No","Yes")</f>
        <v>Yes</v>
      </c>
      <c r="T609" s="6" t="str">
        <f>IF(AND(Table1_1[[#This Row],[Income]]&gt;50000,Table1_1[[#This Row],[Home Owner]]="Yes"),"High stability","Low stability")</f>
        <v>High stability</v>
      </c>
      <c r="U609" s="3">
        <f>Table1_1[[#This Row],[Income]]/Table1_1[[#This Row],[Family size]]</f>
        <v>11666.666666666666</v>
      </c>
      <c r="V609" s="6" t="str">
        <f>IF(Table1_1[[#This Row],[Occupation]]="Skilled manual","Blue collar",IF(Table1_1[[#This Row],[Occupation]]="Manual","Blue collar","White collar"))</f>
        <v>White collar</v>
      </c>
    </row>
    <row r="610" spans="1:22" x14ac:dyDescent="0.3">
      <c r="A610" t="s">
        <v>644</v>
      </c>
      <c r="B610" s="6" t="s">
        <v>1042</v>
      </c>
      <c r="C610" s="6" t="s">
        <v>1046</v>
      </c>
      <c r="D610" s="3">
        <v>60000</v>
      </c>
      <c r="E610">
        <v>3</v>
      </c>
      <c r="F610" s="6" t="s">
        <v>29</v>
      </c>
      <c r="G610" s="6" t="s">
        <v>14</v>
      </c>
      <c r="H610" s="6" t="s">
        <v>15</v>
      </c>
      <c r="I610">
        <v>2</v>
      </c>
      <c r="J610" t="s">
        <v>23</v>
      </c>
      <c r="K6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10" s="6" t="s">
        <v>32</v>
      </c>
      <c r="M610" s="7">
        <v>52</v>
      </c>
      <c r="N610" t="s">
        <v>15</v>
      </c>
      <c r="O610" s="9" t="str">
        <f>IF(Table1_1[[#This Row],[Purchased Bike]]="yes","1","0")</f>
        <v>1</v>
      </c>
      <c r="P610" s="4" t="str">
        <f>IF(Table1_1[[#This Row],[Income]]&lt;=30000,"Low ",IF(Table1_1[[#This Row],[Income]]&lt;=70000,"Middle","High"))</f>
        <v>Middle</v>
      </c>
      <c r="Q610" s="6" t="str">
        <f>IF(Table1_1[[#This Row],[Age]]&lt;30,"Young",IF(Table1_1[[#This Row],[Age]]&lt;50,"Middle aged","Senior citizen"))</f>
        <v>Senior citizen</v>
      </c>
      <c r="R610" s="7">
        <f>IF(Table1_1[[#This Row],[Marriedarital SingletatuSingle]]="M",Table1_1[[#This Row],[Children]]+2,Table1_1[[#This Row],[Children]]+1)</f>
        <v>4</v>
      </c>
      <c r="S610" s="4" t="str">
        <f>IF(Table1_1[[#This Row],[Cars]]=0,"No","Yes")</f>
        <v>Yes</v>
      </c>
      <c r="T610" s="6" t="str">
        <f>IF(AND(Table1_1[[#This Row],[Income]]&gt;50000,Table1_1[[#This Row],[Home Owner]]="Yes"),"High stability","Low stability")</f>
        <v>High stability</v>
      </c>
      <c r="U610" s="3">
        <f>Table1_1[[#This Row],[Income]]/Table1_1[[#This Row],[Family size]]</f>
        <v>15000</v>
      </c>
      <c r="V610" s="6" t="str">
        <f>IF(Table1_1[[#This Row],[Occupation]]="Skilled manual","Blue collar",IF(Table1_1[[#This Row],[Occupation]]="Manual","Blue collar","White collar"))</f>
        <v>Blue collar</v>
      </c>
    </row>
    <row r="611" spans="1:22" x14ac:dyDescent="0.3">
      <c r="A611" t="s">
        <v>645</v>
      </c>
      <c r="B611" s="6" t="s">
        <v>1042</v>
      </c>
      <c r="C611" s="6" t="s">
        <v>1046</v>
      </c>
      <c r="D611" s="3">
        <v>70000</v>
      </c>
      <c r="E611">
        <v>0</v>
      </c>
      <c r="F611" s="6" t="s">
        <v>13</v>
      </c>
      <c r="G611" s="6" t="s">
        <v>21</v>
      </c>
      <c r="H611" s="6" t="s">
        <v>18</v>
      </c>
      <c r="I611">
        <v>1</v>
      </c>
      <c r="J611" t="s">
        <v>16</v>
      </c>
      <c r="K6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11" s="6" t="s">
        <v>32</v>
      </c>
      <c r="M611" s="7">
        <v>43</v>
      </c>
      <c r="N611" t="s">
        <v>18</v>
      </c>
      <c r="O611" s="9" t="str">
        <f>IF(Table1_1[[#This Row],[Purchased Bike]]="yes","1","0")</f>
        <v>0</v>
      </c>
      <c r="P611" s="4" t="str">
        <f>IF(Table1_1[[#This Row],[Income]]&lt;=30000,"Low ",IF(Table1_1[[#This Row],[Income]]&lt;=70000,"Middle","High"))</f>
        <v>Middle</v>
      </c>
      <c r="Q611" s="6" t="str">
        <f>IF(Table1_1[[#This Row],[Age]]&lt;30,"Young",IF(Table1_1[[#This Row],[Age]]&lt;50,"Middle aged","Senior citizen"))</f>
        <v>Middle aged</v>
      </c>
      <c r="R611" s="7">
        <f>IF(Table1_1[[#This Row],[Marriedarital SingletatuSingle]]="M",Table1_1[[#This Row],[Children]]+2,Table1_1[[#This Row],[Children]]+1)</f>
        <v>1</v>
      </c>
      <c r="S611" s="4" t="str">
        <f>IF(Table1_1[[#This Row],[Cars]]=0,"No","Yes")</f>
        <v>Yes</v>
      </c>
      <c r="T611" s="6" t="str">
        <f>IF(AND(Table1_1[[#This Row],[Income]]&gt;50000,Table1_1[[#This Row],[Home Owner]]="Yes"),"High stability","Low stability")</f>
        <v>Low stability</v>
      </c>
      <c r="U611" s="3">
        <f>Table1_1[[#This Row],[Income]]/Table1_1[[#This Row],[Family size]]</f>
        <v>70000</v>
      </c>
      <c r="V611" s="6" t="str">
        <f>IF(Table1_1[[#This Row],[Occupation]]="Skilled manual","Blue collar",IF(Table1_1[[#This Row],[Occupation]]="Manual","Blue collar","White collar"))</f>
        <v>White collar</v>
      </c>
    </row>
    <row r="612" spans="1:22" x14ac:dyDescent="0.3">
      <c r="A612" t="s">
        <v>646</v>
      </c>
      <c r="B612" s="6" t="s">
        <v>1042</v>
      </c>
      <c r="C612" s="6" t="s">
        <v>1046</v>
      </c>
      <c r="D612" s="3">
        <v>60000</v>
      </c>
      <c r="E612">
        <v>1</v>
      </c>
      <c r="F612" s="6" t="s">
        <v>19</v>
      </c>
      <c r="G612" s="6" t="s">
        <v>14</v>
      </c>
      <c r="H612" s="6" t="s">
        <v>15</v>
      </c>
      <c r="I612">
        <v>1</v>
      </c>
      <c r="J612" t="s">
        <v>22</v>
      </c>
      <c r="K6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12" s="6" t="s">
        <v>32</v>
      </c>
      <c r="M612" s="7">
        <v>44</v>
      </c>
      <c r="N612" t="s">
        <v>18</v>
      </c>
      <c r="O612" s="9" t="str">
        <f>IF(Table1_1[[#This Row],[Purchased Bike]]="yes","1","0")</f>
        <v>0</v>
      </c>
      <c r="P612" s="4" t="str">
        <f>IF(Table1_1[[#This Row],[Income]]&lt;=30000,"Low ",IF(Table1_1[[#This Row],[Income]]&lt;=70000,"Middle","High"))</f>
        <v>Middle</v>
      </c>
      <c r="Q612" s="6" t="str">
        <f>IF(Table1_1[[#This Row],[Age]]&lt;30,"Young",IF(Table1_1[[#This Row],[Age]]&lt;50,"Middle aged","Senior citizen"))</f>
        <v>Middle aged</v>
      </c>
      <c r="R612" s="7">
        <f>IF(Table1_1[[#This Row],[Marriedarital SingletatuSingle]]="M",Table1_1[[#This Row],[Children]]+2,Table1_1[[#This Row],[Children]]+1)</f>
        <v>2</v>
      </c>
      <c r="S612" s="4" t="str">
        <f>IF(Table1_1[[#This Row],[Cars]]=0,"No","Yes")</f>
        <v>Yes</v>
      </c>
      <c r="T612" s="6" t="str">
        <f>IF(AND(Table1_1[[#This Row],[Income]]&gt;50000,Table1_1[[#This Row],[Home Owner]]="Yes"),"High stability","Low stability")</f>
        <v>High stability</v>
      </c>
      <c r="U612" s="3">
        <f>Table1_1[[#This Row],[Income]]/Table1_1[[#This Row],[Family size]]</f>
        <v>30000</v>
      </c>
      <c r="V612" s="6" t="str">
        <f>IF(Table1_1[[#This Row],[Occupation]]="Skilled manual","Blue collar",IF(Table1_1[[#This Row],[Occupation]]="Manual","Blue collar","White collar"))</f>
        <v>Blue collar</v>
      </c>
    </row>
    <row r="613" spans="1:22" x14ac:dyDescent="0.3">
      <c r="A613" t="s">
        <v>647</v>
      </c>
      <c r="B613" s="6" t="s">
        <v>1042</v>
      </c>
      <c r="C613" s="6" t="s">
        <v>1045</v>
      </c>
      <c r="D613" s="3">
        <v>80000</v>
      </c>
      <c r="E613">
        <v>0</v>
      </c>
      <c r="F613" s="6" t="s">
        <v>13</v>
      </c>
      <c r="G613" s="6" t="s">
        <v>28</v>
      </c>
      <c r="H613" s="6" t="s">
        <v>15</v>
      </c>
      <c r="I613">
        <v>1</v>
      </c>
      <c r="J613" t="s">
        <v>26</v>
      </c>
      <c r="K6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13" s="6" t="s">
        <v>32</v>
      </c>
      <c r="M613" s="7">
        <v>34</v>
      </c>
      <c r="N613" t="s">
        <v>15</v>
      </c>
      <c r="O613" s="9" t="str">
        <f>IF(Table1_1[[#This Row],[Purchased Bike]]="yes","1","0")</f>
        <v>1</v>
      </c>
      <c r="P613" s="4" t="str">
        <f>IF(Table1_1[[#This Row],[Income]]&lt;=30000,"Low ",IF(Table1_1[[#This Row],[Income]]&lt;=70000,"Middle","High"))</f>
        <v>High</v>
      </c>
      <c r="Q613" s="6" t="str">
        <f>IF(Table1_1[[#This Row],[Age]]&lt;30,"Young",IF(Table1_1[[#This Row],[Age]]&lt;50,"Middle aged","Senior citizen"))</f>
        <v>Middle aged</v>
      </c>
      <c r="R613" s="7">
        <f>IF(Table1_1[[#This Row],[Marriedarital SingletatuSingle]]="M",Table1_1[[#This Row],[Children]]+2,Table1_1[[#This Row],[Children]]+1)</f>
        <v>1</v>
      </c>
      <c r="S613" s="4" t="str">
        <f>IF(Table1_1[[#This Row],[Cars]]=0,"No","Yes")</f>
        <v>Yes</v>
      </c>
      <c r="T613" s="6" t="str">
        <f>IF(AND(Table1_1[[#This Row],[Income]]&gt;50000,Table1_1[[#This Row],[Home Owner]]="Yes"),"High stability","Low stability")</f>
        <v>High stability</v>
      </c>
      <c r="U613" s="3">
        <f>Table1_1[[#This Row],[Income]]/Table1_1[[#This Row],[Family size]]</f>
        <v>80000</v>
      </c>
      <c r="V613" s="6" t="str">
        <f>IF(Table1_1[[#This Row],[Occupation]]="Skilled manual","Blue collar",IF(Table1_1[[#This Row],[Occupation]]="Manual","Blue collar","White collar"))</f>
        <v>White collar</v>
      </c>
    </row>
    <row r="614" spans="1:22" x14ac:dyDescent="0.3">
      <c r="A614" t="s">
        <v>648</v>
      </c>
      <c r="B614" s="6" t="s">
        <v>1044</v>
      </c>
      <c r="C614" s="6" t="s">
        <v>1045</v>
      </c>
      <c r="D614" s="3">
        <v>30000</v>
      </c>
      <c r="E614">
        <v>0</v>
      </c>
      <c r="F614" s="6" t="s">
        <v>29</v>
      </c>
      <c r="G614" s="6" t="s">
        <v>20</v>
      </c>
      <c r="H614" s="6" t="s">
        <v>15</v>
      </c>
      <c r="I614">
        <v>2</v>
      </c>
      <c r="J614" t="s">
        <v>23</v>
      </c>
      <c r="K6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14" s="6" t="s">
        <v>32</v>
      </c>
      <c r="M614" s="7">
        <v>27</v>
      </c>
      <c r="N614" t="s">
        <v>18</v>
      </c>
      <c r="O614" s="9" t="str">
        <f>IF(Table1_1[[#This Row],[Purchased Bike]]="yes","1","0")</f>
        <v>0</v>
      </c>
      <c r="P614" s="4" t="str">
        <f>IF(Table1_1[[#This Row],[Income]]&lt;=30000,"Low ",IF(Table1_1[[#This Row],[Income]]&lt;=70000,"Middle","High"))</f>
        <v xml:space="preserve">Low </v>
      </c>
      <c r="Q614" s="6" t="str">
        <f>IF(Table1_1[[#This Row],[Age]]&lt;30,"Young",IF(Table1_1[[#This Row],[Age]]&lt;50,"Middle aged","Senior citizen"))</f>
        <v>Young</v>
      </c>
      <c r="R614" s="7">
        <f>IF(Table1_1[[#This Row],[Marriedarital SingletatuSingle]]="M",Table1_1[[#This Row],[Children]]+2,Table1_1[[#This Row],[Children]]+1)</f>
        <v>1</v>
      </c>
      <c r="S614" s="4" t="str">
        <f>IF(Table1_1[[#This Row],[Cars]]=0,"No","Yes")</f>
        <v>Yes</v>
      </c>
      <c r="T614" s="6" t="str">
        <f>IF(AND(Table1_1[[#This Row],[Income]]&gt;50000,Table1_1[[#This Row],[Home Owner]]="Yes"),"High stability","Low stability")</f>
        <v>Low stability</v>
      </c>
      <c r="U614" s="3">
        <f>Table1_1[[#This Row],[Income]]/Table1_1[[#This Row],[Family size]]</f>
        <v>30000</v>
      </c>
      <c r="V614" s="6" t="str">
        <f>IF(Table1_1[[#This Row],[Occupation]]="Skilled manual","Blue collar",IF(Table1_1[[#This Row],[Occupation]]="Manual","Blue collar","White collar"))</f>
        <v>White collar</v>
      </c>
    </row>
    <row r="615" spans="1:22" x14ac:dyDescent="0.3">
      <c r="A615" t="s">
        <v>649</v>
      </c>
      <c r="B615" s="6" t="s">
        <v>1044</v>
      </c>
      <c r="C615" s="6" t="s">
        <v>1046</v>
      </c>
      <c r="D615" s="3">
        <v>110000</v>
      </c>
      <c r="E615">
        <v>1</v>
      </c>
      <c r="F615" s="6" t="s">
        <v>19</v>
      </c>
      <c r="G615" s="6" t="s">
        <v>21</v>
      </c>
      <c r="H615" s="6" t="s">
        <v>15</v>
      </c>
      <c r="I615">
        <v>4</v>
      </c>
      <c r="J615" t="s">
        <v>23</v>
      </c>
      <c r="K6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15" s="6" t="s">
        <v>32</v>
      </c>
      <c r="M615" s="7">
        <v>45</v>
      </c>
      <c r="N615" t="s">
        <v>15</v>
      </c>
      <c r="O615" s="9" t="str">
        <f>IF(Table1_1[[#This Row],[Purchased Bike]]="yes","1","0")</f>
        <v>1</v>
      </c>
      <c r="P615" s="4" t="str">
        <f>IF(Table1_1[[#This Row],[Income]]&lt;=30000,"Low ",IF(Table1_1[[#This Row],[Income]]&lt;=70000,"Middle","High"))</f>
        <v>High</v>
      </c>
      <c r="Q615" s="6" t="str">
        <f>IF(Table1_1[[#This Row],[Age]]&lt;30,"Young",IF(Table1_1[[#This Row],[Age]]&lt;50,"Middle aged","Senior citizen"))</f>
        <v>Middle aged</v>
      </c>
      <c r="R615" s="7">
        <f>IF(Table1_1[[#This Row],[Marriedarital SingletatuSingle]]="M",Table1_1[[#This Row],[Children]]+2,Table1_1[[#This Row],[Children]]+1)</f>
        <v>2</v>
      </c>
      <c r="S615" s="4" t="str">
        <f>IF(Table1_1[[#This Row],[Cars]]=0,"No","Yes")</f>
        <v>Yes</v>
      </c>
      <c r="T615" s="6" t="str">
        <f>IF(AND(Table1_1[[#This Row],[Income]]&gt;50000,Table1_1[[#This Row],[Home Owner]]="Yes"),"High stability","Low stability")</f>
        <v>High stability</v>
      </c>
      <c r="U615" s="3">
        <f>Table1_1[[#This Row],[Income]]/Table1_1[[#This Row],[Family size]]</f>
        <v>55000</v>
      </c>
      <c r="V615" s="6" t="str">
        <f>IF(Table1_1[[#This Row],[Occupation]]="Skilled manual","Blue collar",IF(Table1_1[[#This Row],[Occupation]]="Manual","Blue collar","White collar"))</f>
        <v>White collar</v>
      </c>
    </row>
    <row r="616" spans="1:22" x14ac:dyDescent="0.3">
      <c r="A616" t="s">
        <v>650</v>
      </c>
      <c r="B616" s="6" t="s">
        <v>1042</v>
      </c>
      <c r="C616" s="6" t="s">
        <v>1045</v>
      </c>
      <c r="D616" s="3">
        <v>100000</v>
      </c>
      <c r="E616">
        <v>3</v>
      </c>
      <c r="F616" s="6" t="s">
        <v>19</v>
      </c>
      <c r="G616" s="6" t="s">
        <v>21</v>
      </c>
      <c r="H616" s="6" t="s">
        <v>15</v>
      </c>
      <c r="I616">
        <v>4</v>
      </c>
      <c r="J616" t="s">
        <v>26</v>
      </c>
      <c r="K6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16" s="6" t="s">
        <v>32</v>
      </c>
      <c r="M616" s="7">
        <v>45</v>
      </c>
      <c r="N616" t="s">
        <v>18</v>
      </c>
      <c r="O616" s="9" t="str">
        <f>IF(Table1_1[[#This Row],[Purchased Bike]]="yes","1","0")</f>
        <v>0</v>
      </c>
      <c r="P616" s="4" t="str">
        <f>IF(Table1_1[[#This Row],[Income]]&lt;=30000,"Low ",IF(Table1_1[[#This Row],[Income]]&lt;=70000,"Middle","High"))</f>
        <v>High</v>
      </c>
      <c r="Q616" s="6" t="str">
        <f>IF(Table1_1[[#This Row],[Age]]&lt;30,"Young",IF(Table1_1[[#This Row],[Age]]&lt;50,"Middle aged","Senior citizen"))</f>
        <v>Middle aged</v>
      </c>
      <c r="R616" s="7">
        <f>IF(Table1_1[[#This Row],[Marriedarital SingletatuSingle]]="M",Table1_1[[#This Row],[Children]]+2,Table1_1[[#This Row],[Children]]+1)</f>
        <v>4</v>
      </c>
      <c r="S616" s="4" t="str">
        <f>IF(Table1_1[[#This Row],[Cars]]=0,"No","Yes")</f>
        <v>Yes</v>
      </c>
      <c r="T616" s="6" t="str">
        <f>IF(AND(Table1_1[[#This Row],[Income]]&gt;50000,Table1_1[[#This Row],[Home Owner]]="Yes"),"High stability","Low stability")</f>
        <v>High stability</v>
      </c>
      <c r="U616" s="3">
        <f>Table1_1[[#This Row],[Income]]/Table1_1[[#This Row],[Family size]]</f>
        <v>25000</v>
      </c>
      <c r="V616" s="6" t="str">
        <f>IF(Table1_1[[#This Row],[Occupation]]="Skilled manual","Blue collar",IF(Table1_1[[#This Row],[Occupation]]="Manual","Blue collar","White collar"))</f>
        <v>White collar</v>
      </c>
    </row>
    <row r="617" spans="1:22" x14ac:dyDescent="0.3">
      <c r="A617" t="s">
        <v>651</v>
      </c>
      <c r="B617" s="6" t="s">
        <v>1044</v>
      </c>
      <c r="C617" s="6" t="s">
        <v>1045</v>
      </c>
      <c r="D617" s="3">
        <v>60000</v>
      </c>
      <c r="E617">
        <v>4</v>
      </c>
      <c r="F617" s="6" t="s">
        <v>31</v>
      </c>
      <c r="G617" s="6" t="s">
        <v>14</v>
      </c>
      <c r="H617" s="6" t="s">
        <v>18</v>
      </c>
      <c r="I617">
        <v>0</v>
      </c>
      <c r="J617" t="s">
        <v>16</v>
      </c>
      <c r="K6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17" s="6" t="s">
        <v>32</v>
      </c>
      <c r="M617" s="7">
        <v>47</v>
      </c>
      <c r="N617" t="s">
        <v>15</v>
      </c>
      <c r="O617" s="9" t="str">
        <f>IF(Table1_1[[#This Row],[Purchased Bike]]="yes","1","0")</f>
        <v>1</v>
      </c>
      <c r="P617" s="4" t="str">
        <f>IF(Table1_1[[#This Row],[Income]]&lt;=30000,"Low ",IF(Table1_1[[#This Row],[Income]]&lt;=70000,"Middle","High"))</f>
        <v>Middle</v>
      </c>
      <c r="Q617" s="6" t="str">
        <f>IF(Table1_1[[#This Row],[Age]]&lt;30,"Young",IF(Table1_1[[#This Row],[Age]]&lt;50,"Middle aged","Senior citizen"))</f>
        <v>Middle aged</v>
      </c>
      <c r="R617" s="7">
        <f>IF(Table1_1[[#This Row],[Marriedarital SingletatuSingle]]="M",Table1_1[[#This Row],[Children]]+2,Table1_1[[#This Row],[Children]]+1)</f>
        <v>5</v>
      </c>
      <c r="S617" s="4" t="str">
        <f>IF(Table1_1[[#This Row],[Cars]]=0,"No","Yes")</f>
        <v>No</v>
      </c>
      <c r="T617" s="6" t="str">
        <f>IF(AND(Table1_1[[#This Row],[Income]]&gt;50000,Table1_1[[#This Row],[Home Owner]]="Yes"),"High stability","Low stability")</f>
        <v>Low stability</v>
      </c>
      <c r="U617" s="3">
        <f>Table1_1[[#This Row],[Income]]/Table1_1[[#This Row],[Family size]]</f>
        <v>12000</v>
      </c>
      <c r="V617" s="6" t="str">
        <f>IF(Table1_1[[#This Row],[Occupation]]="Skilled manual","Blue collar",IF(Table1_1[[#This Row],[Occupation]]="Manual","Blue collar","White collar"))</f>
        <v>Blue collar</v>
      </c>
    </row>
    <row r="618" spans="1:22" x14ac:dyDescent="0.3">
      <c r="A618" t="s">
        <v>652</v>
      </c>
      <c r="B618" s="6" t="s">
        <v>1044</v>
      </c>
      <c r="C618" s="6" t="s">
        <v>1045</v>
      </c>
      <c r="D618" s="3">
        <v>80000</v>
      </c>
      <c r="E618">
        <v>4</v>
      </c>
      <c r="F618" s="6" t="s">
        <v>31</v>
      </c>
      <c r="G618" s="6" t="s">
        <v>14</v>
      </c>
      <c r="H618" s="6" t="s">
        <v>15</v>
      </c>
      <c r="I618">
        <v>0</v>
      </c>
      <c r="J618" t="s">
        <v>26</v>
      </c>
      <c r="K6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18" s="6" t="s">
        <v>32</v>
      </c>
      <c r="M618" s="7">
        <v>47</v>
      </c>
      <c r="N618" t="s">
        <v>18</v>
      </c>
      <c r="O618" s="9" t="str">
        <f>IF(Table1_1[[#This Row],[Purchased Bike]]="yes","1","0")</f>
        <v>0</v>
      </c>
      <c r="P618" s="4" t="str">
        <f>IF(Table1_1[[#This Row],[Income]]&lt;=30000,"Low ",IF(Table1_1[[#This Row],[Income]]&lt;=70000,"Middle","High"))</f>
        <v>High</v>
      </c>
      <c r="Q618" s="6" t="str">
        <f>IF(Table1_1[[#This Row],[Age]]&lt;30,"Young",IF(Table1_1[[#This Row],[Age]]&lt;50,"Middle aged","Senior citizen"))</f>
        <v>Middle aged</v>
      </c>
      <c r="R618" s="7">
        <f>IF(Table1_1[[#This Row],[Marriedarital SingletatuSingle]]="M",Table1_1[[#This Row],[Children]]+2,Table1_1[[#This Row],[Children]]+1)</f>
        <v>5</v>
      </c>
      <c r="S618" s="4" t="str">
        <f>IF(Table1_1[[#This Row],[Cars]]=0,"No","Yes")</f>
        <v>No</v>
      </c>
      <c r="T618" s="6" t="str">
        <f>IF(AND(Table1_1[[#This Row],[Income]]&gt;50000,Table1_1[[#This Row],[Home Owner]]="Yes"),"High stability","Low stability")</f>
        <v>High stability</v>
      </c>
      <c r="U618" s="3">
        <f>Table1_1[[#This Row],[Income]]/Table1_1[[#This Row],[Family size]]</f>
        <v>16000</v>
      </c>
      <c r="V618" s="6" t="str">
        <f>IF(Table1_1[[#This Row],[Occupation]]="Skilled manual","Blue collar",IF(Table1_1[[#This Row],[Occupation]]="Manual","Blue collar","White collar"))</f>
        <v>Blue collar</v>
      </c>
    </row>
    <row r="619" spans="1:22" x14ac:dyDescent="0.3">
      <c r="A619" t="s">
        <v>653</v>
      </c>
      <c r="B619" s="6" t="s">
        <v>1042</v>
      </c>
      <c r="C619" s="6" t="s">
        <v>1046</v>
      </c>
      <c r="D619" s="3">
        <v>40000</v>
      </c>
      <c r="E619">
        <v>4</v>
      </c>
      <c r="F619" s="6" t="s">
        <v>27</v>
      </c>
      <c r="G619" s="6" t="s">
        <v>14</v>
      </c>
      <c r="H619" s="6" t="s">
        <v>15</v>
      </c>
      <c r="I619">
        <v>2</v>
      </c>
      <c r="J619" t="s">
        <v>22</v>
      </c>
      <c r="K6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19" s="6" t="s">
        <v>32</v>
      </c>
      <c r="M619" s="7">
        <v>44</v>
      </c>
      <c r="N619" t="s">
        <v>15</v>
      </c>
      <c r="O619" s="9" t="str">
        <f>IF(Table1_1[[#This Row],[Purchased Bike]]="yes","1","0")</f>
        <v>1</v>
      </c>
      <c r="P619" s="4" t="str">
        <f>IF(Table1_1[[#This Row],[Income]]&lt;=30000,"Low ",IF(Table1_1[[#This Row],[Income]]&lt;=70000,"Middle","High"))</f>
        <v>Middle</v>
      </c>
      <c r="Q619" s="6" t="str">
        <f>IF(Table1_1[[#This Row],[Age]]&lt;30,"Young",IF(Table1_1[[#This Row],[Age]]&lt;50,"Middle aged","Senior citizen"))</f>
        <v>Middle aged</v>
      </c>
      <c r="R619" s="7">
        <f>IF(Table1_1[[#This Row],[Marriedarital SingletatuSingle]]="M",Table1_1[[#This Row],[Children]]+2,Table1_1[[#This Row],[Children]]+1)</f>
        <v>5</v>
      </c>
      <c r="S619" s="4" t="str">
        <f>IF(Table1_1[[#This Row],[Cars]]=0,"No","Yes")</f>
        <v>Yes</v>
      </c>
      <c r="T619" s="6" t="str">
        <f>IF(AND(Table1_1[[#This Row],[Income]]&gt;50000,Table1_1[[#This Row],[Home Owner]]="Yes"),"High stability","Low stability")</f>
        <v>Low stability</v>
      </c>
      <c r="U619" s="3">
        <f>Table1_1[[#This Row],[Income]]/Table1_1[[#This Row],[Family size]]</f>
        <v>8000</v>
      </c>
      <c r="V619" s="6" t="str">
        <f>IF(Table1_1[[#This Row],[Occupation]]="Skilled manual","Blue collar",IF(Table1_1[[#This Row],[Occupation]]="Manual","Blue collar","White collar"))</f>
        <v>Blue collar</v>
      </c>
    </row>
    <row r="620" spans="1:22" x14ac:dyDescent="0.3">
      <c r="A620" t="s">
        <v>654</v>
      </c>
      <c r="B620" s="6" t="s">
        <v>1044</v>
      </c>
      <c r="C620" s="6" t="s">
        <v>1045</v>
      </c>
      <c r="D620" s="3">
        <v>20000</v>
      </c>
      <c r="E620">
        <v>3</v>
      </c>
      <c r="F620" s="6" t="s">
        <v>29</v>
      </c>
      <c r="G620" s="6" t="s">
        <v>20</v>
      </c>
      <c r="H620" s="6" t="s">
        <v>18</v>
      </c>
      <c r="I620">
        <v>2</v>
      </c>
      <c r="J620" t="s">
        <v>16</v>
      </c>
      <c r="K6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20" s="6" t="s">
        <v>32</v>
      </c>
      <c r="M620" s="7">
        <v>49</v>
      </c>
      <c r="N620" t="s">
        <v>18</v>
      </c>
      <c r="O620" s="9" t="str">
        <f>IF(Table1_1[[#This Row],[Purchased Bike]]="yes","1","0")</f>
        <v>0</v>
      </c>
      <c r="P620" s="4" t="str">
        <f>IF(Table1_1[[#This Row],[Income]]&lt;=30000,"Low ",IF(Table1_1[[#This Row],[Income]]&lt;=70000,"Middle","High"))</f>
        <v xml:space="preserve">Low </v>
      </c>
      <c r="Q620" s="6" t="str">
        <f>IF(Table1_1[[#This Row],[Age]]&lt;30,"Young",IF(Table1_1[[#This Row],[Age]]&lt;50,"Middle aged","Senior citizen"))</f>
        <v>Middle aged</v>
      </c>
      <c r="R620" s="7">
        <f>IF(Table1_1[[#This Row],[Marriedarital SingletatuSingle]]="M",Table1_1[[#This Row],[Children]]+2,Table1_1[[#This Row],[Children]]+1)</f>
        <v>4</v>
      </c>
      <c r="S620" s="4" t="str">
        <f>IF(Table1_1[[#This Row],[Cars]]=0,"No","Yes")</f>
        <v>Yes</v>
      </c>
      <c r="T620" s="6" t="str">
        <f>IF(AND(Table1_1[[#This Row],[Income]]&gt;50000,Table1_1[[#This Row],[Home Owner]]="Yes"),"High stability","Low stability")</f>
        <v>Low stability</v>
      </c>
      <c r="U620" s="3">
        <f>Table1_1[[#This Row],[Income]]/Table1_1[[#This Row],[Family size]]</f>
        <v>5000</v>
      </c>
      <c r="V620" s="6" t="str">
        <f>IF(Table1_1[[#This Row],[Occupation]]="Skilled manual","Blue collar",IF(Table1_1[[#This Row],[Occupation]]="Manual","Blue collar","White collar"))</f>
        <v>White collar</v>
      </c>
    </row>
    <row r="621" spans="1:22" x14ac:dyDescent="0.3">
      <c r="A621" t="s">
        <v>655</v>
      </c>
      <c r="B621" s="6" t="s">
        <v>1044</v>
      </c>
      <c r="C621" s="6" t="s">
        <v>1045</v>
      </c>
      <c r="D621" s="3">
        <v>40000</v>
      </c>
      <c r="E621">
        <v>0</v>
      </c>
      <c r="F621" s="6" t="s">
        <v>27</v>
      </c>
      <c r="G621" s="6" t="s">
        <v>14</v>
      </c>
      <c r="H621" s="6" t="s">
        <v>15</v>
      </c>
      <c r="I621">
        <v>1</v>
      </c>
      <c r="J621" t="s">
        <v>23</v>
      </c>
      <c r="K6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21" s="6" t="s">
        <v>32</v>
      </c>
      <c r="M621" s="7">
        <v>30</v>
      </c>
      <c r="N621" t="s">
        <v>18</v>
      </c>
      <c r="O621" s="9" t="str">
        <f>IF(Table1_1[[#This Row],[Purchased Bike]]="yes","1","0")</f>
        <v>0</v>
      </c>
      <c r="P621" s="4" t="str">
        <f>IF(Table1_1[[#This Row],[Income]]&lt;=30000,"Low ",IF(Table1_1[[#This Row],[Income]]&lt;=70000,"Middle","High"))</f>
        <v>Middle</v>
      </c>
      <c r="Q621" s="6" t="str">
        <f>IF(Table1_1[[#This Row],[Age]]&lt;30,"Young",IF(Table1_1[[#This Row],[Age]]&lt;50,"Middle aged","Senior citizen"))</f>
        <v>Middle aged</v>
      </c>
      <c r="R621" s="7">
        <f>IF(Table1_1[[#This Row],[Marriedarital SingletatuSingle]]="M",Table1_1[[#This Row],[Children]]+2,Table1_1[[#This Row],[Children]]+1)</f>
        <v>1</v>
      </c>
      <c r="S621" s="4" t="str">
        <f>IF(Table1_1[[#This Row],[Cars]]=0,"No","Yes")</f>
        <v>Yes</v>
      </c>
      <c r="T621" s="6" t="str">
        <f>IF(AND(Table1_1[[#This Row],[Income]]&gt;50000,Table1_1[[#This Row],[Home Owner]]="Yes"),"High stability","Low stability")</f>
        <v>Low stability</v>
      </c>
      <c r="U621" s="3">
        <f>Table1_1[[#This Row],[Income]]/Table1_1[[#This Row],[Family size]]</f>
        <v>40000</v>
      </c>
      <c r="V621" s="6" t="str">
        <f>IF(Table1_1[[#This Row],[Occupation]]="Skilled manual","Blue collar",IF(Table1_1[[#This Row],[Occupation]]="Manual","Blue collar","White collar"))</f>
        <v>Blue collar</v>
      </c>
    </row>
    <row r="622" spans="1:22" x14ac:dyDescent="0.3">
      <c r="A622" t="s">
        <v>656</v>
      </c>
      <c r="B622" s="6" t="s">
        <v>1042</v>
      </c>
      <c r="C622" s="6" t="s">
        <v>1045</v>
      </c>
      <c r="D622" s="3">
        <v>100000</v>
      </c>
      <c r="E622">
        <v>4</v>
      </c>
      <c r="F622" s="6" t="s">
        <v>19</v>
      </c>
      <c r="G622" s="6" t="s">
        <v>21</v>
      </c>
      <c r="H622" s="6" t="s">
        <v>15</v>
      </c>
      <c r="I622">
        <v>4</v>
      </c>
      <c r="J622" t="s">
        <v>22</v>
      </c>
      <c r="K6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22" s="6" t="s">
        <v>32</v>
      </c>
      <c r="M622" s="7">
        <v>41</v>
      </c>
      <c r="N622" t="s">
        <v>15</v>
      </c>
      <c r="O622" s="9" t="str">
        <f>IF(Table1_1[[#This Row],[Purchased Bike]]="yes","1","0")</f>
        <v>1</v>
      </c>
      <c r="P622" s="4" t="str">
        <f>IF(Table1_1[[#This Row],[Income]]&lt;=30000,"Low ",IF(Table1_1[[#This Row],[Income]]&lt;=70000,"Middle","High"))</f>
        <v>High</v>
      </c>
      <c r="Q622" s="6" t="str">
        <f>IF(Table1_1[[#This Row],[Age]]&lt;30,"Young",IF(Table1_1[[#This Row],[Age]]&lt;50,"Middle aged","Senior citizen"))</f>
        <v>Middle aged</v>
      </c>
      <c r="R622" s="7">
        <f>IF(Table1_1[[#This Row],[Marriedarital SingletatuSingle]]="M",Table1_1[[#This Row],[Children]]+2,Table1_1[[#This Row],[Children]]+1)</f>
        <v>5</v>
      </c>
      <c r="S622" s="4" t="str">
        <f>IF(Table1_1[[#This Row],[Cars]]=0,"No","Yes")</f>
        <v>Yes</v>
      </c>
      <c r="T622" s="6" t="str">
        <f>IF(AND(Table1_1[[#This Row],[Income]]&gt;50000,Table1_1[[#This Row],[Home Owner]]="Yes"),"High stability","Low stability")</f>
        <v>High stability</v>
      </c>
      <c r="U622" s="3">
        <f>Table1_1[[#This Row],[Income]]/Table1_1[[#This Row],[Family size]]</f>
        <v>20000</v>
      </c>
      <c r="V622" s="6" t="str">
        <f>IF(Table1_1[[#This Row],[Occupation]]="Skilled manual","Blue collar",IF(Table1_1[[#This Row],[Occupation]]="Manual","Blue collar","White collar"))</f>
        <v>White collar</v>
      </c>
    </row>
    <row r="623" spans="1:22" x14ac:dyDescent="0.3">
      <c r="A623" t="s">
        <v>657</v>
      </c>
      <c r="B623" s="6" t="s">
        <v>1042</v>
      </c>
      <c r="C623" s="6" t="s">
        <v>1046</v>
      </c>
      <c r="D623" s="3">
        <v>70000</v>
      </c>
      <c r="E623">
        <v>4</v>
      </c>
      <c r="F623" s="6" t="s">
        <v>13</v>
      </c>
      <c r="G623" s="6" t="s">
        <v>28</v>
      </c>
      <c r="H623" s="6" t="s">
        <v>15</v>
      </c>
      <c r="I623">
        <v>1</v>
      </c>
      <c r="J623" t="s">
        <v>26</v>
      </c>
      <c r="K6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23" s="6" t="s">
        <v>32</v>
      </c>
      <c r="M623" s="7">
        <v>58</v>
      </c>
      <c r="N623" t="s">
        <v>18</v>
      </c>
      <c r="O623" s="9" t="str">
        <f>IF(Table1_1[[#This Row],[Purchased Bike]]="yes","1","0")</f>
        <v>0</v>
      </c>
      <c r="P623" s="4" t="str">
        <f>IF(Table1_1[[#This Row],[Income]]&lt;=30000,"Low ",IF(Table1_1[[#This Row],[Income]]&lt;=70000,"Middle","High"))</f>
        <v>Middle</v>
      </c>
      <c r="Q623" s="6" t="str">
        <f>IF(Table1_1[[#This Row],[Age]]&lt;30,"Young",IF(Table1_1[[#This Row],[Age]]&lt;50,"Middle aged","Senior citizen"))</f>
        <v>Senior citizen</v>
      </c>
      <c r="R623" s="7">
        <f>IF(Table1_1[[#This Row],[Marriedarital SingletatuSingle]]="M",Table1_1[[#This Row],[Children]]+2,Table1_1[[#This Row],[Children]]+1)</f>
        <v>5</v>
      </c>
      <c r="S623" s="4" t="str">
        <f>IF(Table1_1[[#This Row],[Cars]]=0,"No","Yes")</f>
        <v>Yes</v>
      </c>
      <c r="T623" s="6" t="str">
        <f>IF(AND(Table1_1[[#This Row],[Income]]&gt;50000,Table1_1[[#This Row],[Home Owner]]="Yes"),"High stability","Low stability")</f>
        <v>High stability</v>
      </c>
      <c r="U623" s="3">
        <f>Table1_1[[#This Row],[Income]]/Table1_1[[#This Row],[Family size]]</f>
        <v>14000</v>
      </c>
      <c r="V623" s="6" t="str">
        <f>IF(Table1_1[[#This Row],[Occupation]]="Skilled manual","Blue collar",IF(Table1_1[[#This Row],[Occupation]]="Manual","Blue collar","White collar"))</f>
        <v>White collar</v>
      </c>
    </row>
    <row r="624" spans="1:22" x14ac:dyDescent="0.3">
      <c r="A624" t="s">
        <v>658</v>
      </c>
      <c r="B624" s="6" t="s">
        <v>1042</v>
      </c>
      <c r="C624" s="6" t="s">
        <v>1046</v>
      </c>
      <c r="D624" s="3">
        <v>60000</v>
      </c>
      <c r="E624">
        <v>5</v>
      </c>
      <c r="F624" s="6" t="s">
        <v>13</v>
      </c>
      <c r="G624" s="6" t="s">
        <v>21</v>
      </c>
      <c r="H624" s="6" t="s">
        <v>15</v>
      </c>
      <c r="I624">
        <v>1</v>
      </c>
      <c r="J624" t="s">
        <v>22</v>
      </c>
      <c r="K6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24" s="6" t="s">
        <v>32</v>
      </c>
      <c r="M624" s="7">
        <v>47</v>
      </c>
      <c r="N624" t="s">
        <v>18</v>
      </c>
      <c r="O624" s="9" t="str">
        <f>IF(Table1_1[[#This Row],[Purchased Bike]]="yes","1","0")</f>
        <v>0</v>
      </c>
      <c r="P624" s="4" t="str">
        <f>IF(Table1_1[[#This Row],[Income]]&lt;=30000,"Low ",IF(Table1_1[[#This Row],[Income]]&lt;=70000,"Middle","High"))</f>
        <v>Middle</v>
      </c>
      <c r="Q624" s="6" t="str">
        <f>IF(Table1_1[[#This Row],[Age]]&lt;30,"Young",IF(Table1_1[[#This Row],[Age]]&lt;50,"Middle aged","Senior citizen"))</f>
        <v>Middle aged</v>
      </c>
      <c r="R624" s="7">
        <f>IF(Table1_1[[#This Row],[Marriedarital SingletatuSingle]]="M",Table1_1[[#This Row],[Children]]+2,Table1_1[[#This Row],[Children]]+1)</f>
        <v>6</v>
      </c>
      <c r="S624" s="4" t="str">
        <f>IF(Table1_1[[#This Row],[Cars]]=0,"No","Yes")</f>
        <v>Yes</v>
      </c>
      <c r="T624" s="6" t="str">
        <f>IF(AND(Table1_1[[#This Row],[Income]]&gt;50000,Table1_1[[#This Row],[Home Owner]]="Yes"),"High stability","Low stability")</f>
        <v>High stability</v>
      </c>
      <c r="U624" s="3">
        <f>Table1_1[[#This Row],[Income]]/Table1_1[[#This Row],[Family size]]</f>
        <v>10000</v>
      </c>
      <c r="V624" s="6" t="str">
        <f>IF(Table1_1[[#This Row],[Occupation]]="Skilled manual","Blue collar",IF(Table1_1[[#This Row],[Occupation]]="Manual","Blue collar","White collar"))</f>
        <v>White collar</v>
      </c>
    </row>
    <row r="625" spans="1:22" x14ac:dyDescent="0.3">
      <c r="A625" t="s">
        <v>659</v>
      </c>
      <c r="B625" s="6" t="s">
        <v>1042</v>
      </c>
      <c r="C625" s="6" t="s">
        <v>1045</v>
      </c>
      <c r="D625" s="3">
        <v>70000</v>
      </c>
      <c r="E625">
        <v>4</v>
      </c>
      <c r="F625" s="6" t="s">
        <v>19</v>
      </c>
      <c r="G625" s="6" t="s">
        <v>21</v>
      </c>
      <c r="H625" s="6" t="s">
        <v>15</v>
      </c>
      <c r="I625">
        <v>1</v>
      </c>
      <c r="J625" t="s">
        <v>26</v>
      </c>
      <c r="K6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25" s="6" t="s">
        <v>32</v>
      </c>
      <c r="M625" s="7">
        <v>55</v>
      </c>
      <c r="N625" t="s">
        <v>18</v>
      </c>
      <c r="O625" s="9" t="str">
        <f>IF(Table1_1[[#This Row],[Purchased Bike]]="yes","1","0")</f>
        <v>0</v>
      </c>
      <c r="P625" s="4" t="str">
        <f>IF(Table1_1[[#This Row],[Income]]&lt;=30000,"Low ",IF(Table1_1[[#This Row],[Income]]&lt;=70000,"Middle","High"))</f>
        <v>Middle</v>
      </c>
      <c r="Q625" s="6" t="str">
        <f>IF(Table1_1[[#This Row],[Age]]&lt;30,"Young",IF(Table1_1[[#This Row],[Age]]&lt;50,"Middle aged","Senior citizen"))</f>
        <v>Senior citizen</v>
      </c>
      <c r="R625" s="7">
        <f>IF(Table1_1[[#This Row],[Marriedarital SingletatuSingle]]="M",Table1_1[[#This Row],[Children]]+2,Table1_1[[#This Row],[Children]]+1)</f>
        <v>5</v>
      </c>
      <c r="S625" s="4" t="str">
        <f>IF(Table1_1[[#This Row],[Cars]]=0,"No","Yes")</f>
        <v>Yes</v>
      </c>
      <c r="T625" s="6" t="str">
        <f>IF(AND(Table1_1[[#This Row],[Income]]&gt;50000,Table1_1[[#This Row],[Home Owner]]="Yes"),"High stability","Low stability")</f>
        <v>High stability</v>
      </c>
      <c r="U625" s="3">
        <f>Table1_1[[#This Row],[Income]]/Table1_1[[#This Row],[Family size]]</f>
        <v>14000</v>
      </c>
      <c r="V625" s="6" t="str">
        <f>IF(Table1_1[[#This Row],[Occupation]]="Skilled manual","Blue collar",IF(Table1_1[[#This Row],[Occupation]]="Manual","Blue collar","White collar"))</f>
        <v>White collar</v>
      </c>
    </row>
    <row r="626" spans="1:22" x14ac:dyDescent="0.3">
      <c r="A626" t="s">
        <v>660</v>
      </c>
      <c r="B626" s="6" t="s">
        <v>1044</v>
      </c>
      <c r="C626" s="6" t="s">
        <v>1045</v>
      </c>
      <c r="D626" s="3">
        <v>70000</v>
      </c>
      <c r="E626">
        <v>0</v>
      </c>
      <c r="F626" s="6" t="s">
        <v>19</v>
      </c>
      <c r="G626" s="6" t="s">
        <v>14</v>
      </c>
      <c r="H626" s="6" t="s">
        <v>18</v>
      </c>
      <c r="I626">
        <v>2</v>
      </c>
      <c r="J626" t="s">
        <v>16</v>
      </c>
      <c r="K6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26" s="6" t="s">
        <v>32</v>
      </c>
      <c r="M626" s="7">
        <v>27</v>
      </c>
      <c r="N626" t="s">
        <v>15</v>
      </c>
      <c r="O626" s="9" t="str">
        <f>IF(Table1_1[[#This Row],[Purchased Bike]]="yes","1","0")</f>
        <v>1</v>
      </c>
      <c r="P626" s="4" t="str">
        <f>IF(Table1_1[[#This Row],[Income]]&lt;=30000,"Low ",IF(Table1_1[[#This Row],[Income]]&lt;=70000,"Middle","High"))</f>
        <v>Middle</v>
      </c>
      <c r="Q626" s="6" t="str">
        <f>IF(Table1_1[[#This Row],[Age]]&lt;30,"Young",IF(Table1_1[[#This Row],[Age]]&lt;50,"Middle aged","Senior citizen"))</f>
        <v>Young</v>
      </c>
      <c r="R626" s="7">
        <f>IF(Table1_1[[#This Row],[Marriedarital SingletatuSingle]]="M",Table1_1[[#This Row],[Children]]+2,Table1_1[[#This Row],[Children]]+1)</f>
        <v>1</v>
      </c>
      <c r="S626" s="4" t="str">
        <f>IF(Table1_1[[#This Row],[Cars]]=0,"No","Yes")</f>
        <v>Yes</v>
      </c>
      <c r="T626" s="6" t="str">
        <f>IF(AND(Table1_1[[#This Row],[Income]]&gt;50000,Table1_1[[#This Row],[Home Owner]]="Yes"),"High stability","Low stability")</f>
        <v>Low stability</v>
      </c>
      <c r="U626" s="3">
        <f>Table1_1[[#This Row],[Income]]/Table1_1[[#This Row],[Family size]]</f>
        <v>70000</v>
      </c>
      <c r="V626" s="6" t="str">
        <f>IF(Table1_1[[#This Row],[Occupation]]="Skilled manual","Blue collar",IF(Table1_1[[#This Row],[Occupation]]="Manual","Blue collar","White collar"))</f>
        <v>Blue collar</v>
      </c>
    </row>
    <row r="627" spans="1:22" x14ac:dyDescent="0.3">
      <c r="A627" t="s">
        <v>661</v>
      </c>
      <c r="B627" s="6" t="s">
        <v>1042</v>
      </c>
      <c r="C627" s="6" t="s">
        <v>1046</v>
      </c>
      <c r="D627" s="3">
        <v>60000</v>
      </c>
      <c r="E627">
        <v>3</v>
      </c>
      <c r="F627" s="6" t="s">
        <v>31</v>
      </c>
      <c r="G627" s="6" t="s">
        <v>28</v>
      </c>
      <c r="H627" s="6" t="s">
        <v>15</v>
      </c>
      <c r="I627">
        <v>2</v>
      </c>
      <c r="J627" t="s">
        <v>26</v>
      </c>
      <c r="K6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27" s="6" t="s">
        <v>32</v>
      </c>
      <c r="M627" s="7">
        <v>67</v>
      </c>
      <c r="N627" t="s">
        <v>18</v>
      </c>
      <c r="O627" s="9" t="str">
        <f>IF(Table1_1[[#This Row],[Purchased Bike]]="yes","1","0")</f>
        <v>0</v>
      </c>
      <c r="P627" s="4" t="str">
        <f>IF(Table1_1[[#This Row],[Income]]&lt;=30000,"Low ",IF(Table1_1[[#This Row],[Income]]&lt;=70000,"Middle","High"))</f>
        <v>Middle</v>
      </c>
      <c r="Q627" s="6" t="str">
        <f>IF(Table1_1[[#This Row],[Age]]&lt;30,"Young",IF(Table1_1[[#This Row],[Age]]&lt;50,"Middle aged","Senior citizen"))</f>
        <v>Senior citizen</v>
      </c>
      <c r="R627" s="7">
        <f>IF(Table1_1[[#This Row],[Marriedarital SingletatuSingle]]="M",Table1_1[[#This Row],[Children]]+2,Table1_1[[#This Row],[Children]]+1)</f>
        <v>4</v>
      </c>
      <c r="S627" s="4" t="str">
        <f>IF(Table1_1[[#This Row],[Cars]]=0,"No","Yes")</f>
        <v>Yes</v>
      </c>
      <c r="T627" s="6" t="str">
        <f>IF(AND(Table1_1[[#This Row],[Income]]&gt;50000,Table1_1[[#This Row],[Home Owner]]="Yes"),"High stability","Low stability")</f>
        <v>High stability</v>
      </c>
      <c r="U627" s="3">
        <f>Table1_1[[#This Row],[Income]]/Table1_1[[#This Row],[Family size]]</f>
        <v>15000</v>
      </c>
      <c r="V627" s="6" t="str">
        <f>IF(Table1_1[[#This Row],[Occupation]]="Skilled manual","Blue collar",IF(Table1_1[[#This Row],[Occupation]]="Manual","Blue collar","White collar"))</f>
        <v>White collar</v>
      </c>
    </row>
    <row r="628" spans="1:22" x14ac:dyDescent="0.3">
      <c r="A628" t="s">
        <v>662</v>
      </c>
      <c r="B628" s="6" t="s">
        <v>1042</v>
      </c>
      <c r="C628" s="6" t="s">
        <v>1045</v>
      </c>
      <c r="D628" s="3">
        <v>60000</v>
      </c>
      <c r="E628">
        <v>0</v>
      </c>
      <c r="F628" s="6" t="s">
        <v>19</v>
      </c>
      <c r="G628" s="6" t="s">
        <v>14</v>
      </c>
      <c r="H628" s="6" t="s">
        <v>15</v>
      </c>
      <c r="I628">
        <v>2</v>
      </c>
      <c r="J628" t="s">
        <v>23</v>
      </c>
      <c r="K6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28" s="6" t="s">
        <v>32</v>
      </c>
      <c r="M628" s="7">
        <v>29</v>
      </c>
      <c r="N628" t="s">
        <v>18</v>
      </c>
      <c r="O628" s="9" t="str">
        <f>IF(Table1_1[[#This Row],[Purchased Bike]]="yes","1","0")</f>
        <v>0</v>
      </c>
      <c r="P628" s="4" t="str">
        <f>IF(Table1_1[[#This Row],[Income]]&lt;=30000,"Low ",IF(Table1_1[[#This Row],[Income]]&lt;=70000,"Middle","High"))</f>
        <v>Middle</v>
      </c>
      <c r="Q628" s="6" t="str">
        <f>IF(Table1_1[[#This Row],[Age]]&lt;30,"Young",IF(Table1_1[[#This Row],[Age]]&lt;50,"Middle aged","Senior citizen"))</f>
        <v>Young</v>
      </c>
      <c r="R628" s="7">
        <f>IF(Table1_1[[#This Row],[Marriedarital SingletatuSingle]]="M",Table1_1[[#This Row],[Children]]+2,Table1_1[[#This Row],[Children]]+1)</f>
        <v>1</v>
      </c>
      <c r="S628" s="4" t="str">
        <f>IF(Table1_1[[#This Row],[Cars]]=0,"No","Yes")</f>
        <v>Yes</v>
      </c>
      <c r="T628" s="6" t="str">
        <f>IF(AND(Table1_1[[#This Row],[Income]]&gt;50000,Table1_1[[#This Row],[Home Owner]]="Yes"),"High stability","Low stability")</f>
        <v>High stability</v>
      </c>
      <c r="U628" s="3">
        <f>Table1_1[[#This Row],[Income]]/Table1_1[[#This Row],[Family size]]</f>
        <v>60000</v>
      </c>
      <c r="V628" s="6" t="str">
        <f>IF(Table1_1[[#This Row],[Occupation]]="Skilled manual","Blue collar",IF(Table1_1[[#This Row],[Occupation]]="Manual","Blue collar","White collar"))</f>
        <v>Blue collar</v>
      </c>
    </row>
    <row r="629" spans="1:22" x14ac:dyDescent="0.3">
      <c r="A629" t="s">
        <v>663</v>
      </c>
      <c r="B629" s="6" t="s">
        <v>1042</v>
      </c>
      <c r="C629" s="6" t="s">
        <v>1045</v>
      </c>
      <c r="D629" s="3">
        <v>60000</v>
      </c>
      <c r="E629">
        <v>3</v>
      </c>
      <c r="F629" s="6" t="s">
        <v>31</v>
      </c>
      <c r="G629" s="6" t="s">
        <v>28</v>
      </c>
      <c r="H629" s="6" t="s">
        <v>15</v>
      </c>
      <c r="I629">
        <v>2</v>
      </c>
      <c r="J629" t="s">
        <v>26</v>
      </c>
      <c r="K6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29" s="6" t="s">
        <v>32</v>
      </c>
      <c r="M629" s="7">
        <v>67</v>
      </c>
      <c r="N629" t="s">
        <v>18</v>
      </c>
      <c r="O629" s="9" t="str">
        <f>IF(Table1_1[[#This Row],[Purchased Bike]]="yes","1","0")</f>
        <v>0</v>
      </c>
      <c r="P629" s="4" t="str">
        <f>IF(Table1_1[[#This Row],[Income]]&lt;=30000,"Low ",IF(Table1_1[[#This Row],[Income]]&lt;=70000,"Middle","High"))</f>
        <v>Middle</v>
      </c>
      <c r="Q629" s="6" t="str">
        <f>IF(Table1_1[[#This Row],[Age]]&lt;30,"Young",IF(Table1_1[[#This Row],[Age]]&lt;50,"Middle aged","Senior citizen"))</f>
        <v>Senior citizen</v>
      </c>
      <c r="R629" s="7">
        <f>IF(Table1_1[[#This Row],[Marriedarital SingletatuSingle]]="M",Table1_1[[#This Row],[Children]]+2,Table1_1[[#This Row],[Children]]+1)</f>
        <v>4</v>
      </c>
      <c r="S629" s="4" t="str">
        <f>IF(Table1_1[[#This Row],[Cars]]=0,"No","Yes")</f>
        <v>Yes</v>
      </c>
      <c r="T629" s="6" t="str">
        <f>IF(AND(Table1_1[[#This Row],[Income]]&gt;50000,Table1_1[[#This Row],[Home Owner]]="Yes"),"High stability","Low stability")</f>
        <v>High stability</v>
      </c>
      <c r="U629" s="3">
        <f>Table1_1[[#This Row],[Income]]/Table1_1[[#This Row],[Family size]]</f>
        <v>15000</v>
      </c>
      <c r="V629" s="6" t="str">
        <f>IF(Table1_1[[#This Row],[Occupation]]="Skilled manual","Blue collar",IF(Table1_1[[#This Row],[Occupation]]="Manual","Blue collar","White collar"))</f>
        <v>White collar</v>
      </c>
    </row>
    <row r="630" spans="1:22" x14ac:dyDescent="0.3">
      <c r="A630" t="s">
        <v>664</v>
      </c>
      <c r="B630" s="6" t="s">
        <v>1044</v>
      </c>
      <c r="C630" s="6" t="s">
        <v>1046</v>
      </c>
      <c r="D630" s="3">
        <v>80000</v>
      </c>
      <c r="E630">
        <v>3</v>
      </c>
      <c r="F630" s="6" t="s">
        <v>19</v>
      </c>
      <c r="G630" s="6" t="s">
        <v>21</v>
      </c>
      <c r="H630" s="6" t="s">
        <v>18</v>
      </c>
      <c r="I630">
        <v>1</v>
      </c>
      <c r="J630" t="s">
        <v>26</v>
      </c>
      <c r="K6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30" s="6" t="s">
        <v>32</v>
      </c>
      <c r="M630" s="7">
        <v>51</v>
      </c>
      <c r="N630" t="s">
        <v>15</v>
      </c>
      <c r="O630" s="9" t="str">
        <f>IF(Table1_1[[#This Row],[Purchased Bike]]="yes","1","0")</f>
        <v>1</v>
      </c>
      <c r="P630" s="4" t="str">
        <f>IF(Table1_1[[#This Row],[Income]]&lt;=30000,"Low ",IF(Table1_1[[#This Row],[Income]]&lt;=70000,"Middle","High"))</f>
        <v>High</v>
      </c>
      <c r="Q630" s="6" t="str">
        <f>IF(Table1_1[[#This Row],[Age]]&lt;30,"Young",IF(Table1_1[[#This Row],[Age]]&lt;50,"Middle aged","Senior citizen"))</f>
        <v>Senior citizen</v>
      </c>
      <c r="R630" s="7">
        <f>IF(Table1_1[[#This Row],[Marriedarital SingletatuSingle]]="M",Table1_1[[#This Row],[Children]]+2,Table1_1[[#This Row],[Children]]+1)</f>
        <v>4</v>
      </c>
      <c r="S630" s="4" t="str">
        <f>IF(Table1_1[[#This Row],[Cars]]=0,"No","Yes")</f>
        <v>Yes</v>
      </c>
      <c r="T630" s="6" t="str">
        <f>IF(AND(Table1_1[[#This Row],[Income]]&gt;50000,Table1_1[[#This Row],[Home Owner]]="Yes"),"High stability","Low stability")</f>
        <v>Low stability</v>
      </c>
      <c r="U630" s="3">
        <f>Table1_1[[#This Row],[Income]]/Table1_1[[#This Row],[Family size]]</f>
        <v>20000</v>
      </c>
      <c r="V630" s="6" t="str">
        <f>IF(Table1_1[[#This Row],[Occupation]]="Skilled manual","Blue collar",IF(Table1_1[[#This Row],[Occupation]]="Manual","Blue collar","White collar"))</f>
        <v>White collar</v>
      </c>
    </row>
    <row r="631" spans="1:22" x14ac:dyDescent="0.3">
      <c r="A631" t="s">
        <v>665</v>
      </c>
      <c r="B631" s="6" t="s">
        <v>1042</v>
      </c>
      <c r="C631" s="6" t="s">
        <v>1045</v>
      </c>
      <c r="D631" s="3">
        <v>50000</v>
      </c>
      <c r="E631">
        <v>1</v>
      </c>
      <c r="F631" s="6" t="s">
        <v>31</v>
      </c>
      <c r="G631" s="6" t="s">
        <v>14</v>
      </c>
      <c r="H631" s="6" t="s">
        <v>15</v>
      </c>
      <c r="I631">
        <v>0</v>
      </c>
      <c r="J631" t="s">
        <v>16</v>
      </c>
      <c r="K6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31" s="6" t="s">
        <v>32</v>
      </c>
      <c r="M631" s="7">
        <v>35</v>
      </c>
      <c r="N631" t="s">
        <v>18</v>
      </c>
      <c r="O631" s="9" t="str">
        <f>IF(Table1_1[[#This Row],[Purchased Bike]]="yes","1","0")</f>
        <v>0</v>
      </c>
      <c r="P631" s="4" t="str">
        <f>IF(Table1_1[[#This Row],[Income]]&lt;=30000,"Low ",IF(Table1_1[[#This Row],[Income]]&lt;=70000,"Middle","High"))</f>
        <v>Middle</v>
      </c>
      <c r="Q631" s="6" t="str">
        <f>IF(Table1_1[[#This Row],[Age]]&lt;30,"Young",IF(Table1_1[[#This Row],[Age]]&lt;50,"Middle aged","Senior citizen"))</f>
        <v>Middle aged</v>
      </c>
      <c r="R631" s="7">
        <f>IF(Table1_1[[#This Row],[Marriedarital SingletatuSingle]]="M",Table1_1[[#This Row],[Children]]+2,Table1_1[[#This Row],[Children]]+1)</f>
        <v>2</v>
      </c>
      <c r="S631" s="4" t="str">
        <f>IF(Table1_1[[#This Row],[Cars]]=0,"No","Yes")</f>
        <v>No</v>
      </c>
      <c r="T631" s="6" t="str">
        <f>IF(AND(Table1_1[[#This Row],[Income]]&gt;50000,Table1_1[[#This Row],[Home Owner]]="Yes"),"High stability","Low stability")</f>
        <v>Low stability</v>
      </c>
      <c r="U631" s="3">
        <f>Table1_1[[#This Row],[Income]]/Table1_1[[#This Row],[Family size]]</f>
        <v>25000</v>
      </c>
      <c r="V631" s="6" t="str">
        <f>IF(Table1_1[[#This Row],[Occupation]]="Skilled manual","Blue collar",IF(Table1_1[[#This Row],[Occupation]]="Manual","Blue collar","White collar"))</f>
        <v>Blue collar</v>
      </c>
    </row>
    <row r="632" spans="1:22" x14ac:dyDescent="0.3">
      <c r="A632" t="s">
        <v>666</v>
      </c>
      <c r="B632" s="6" t="s">
        <v>1042</v>
      </c>
      <c r="C632" s="6" t="s">
        <v>1046</v>
      </c>
      <c r="D632" s="3">
        <v>40000</v>
      </c>
      <c r="E632">
        <v>0</v>
      </c>
      <c r="F632" s="6" t="s">
        <v>27</v>
      </c>
      <c r="G632" s="6" t="s">
        <v>14</v>
      </c>
      <c r="H632" s="6" t="s">
        <v>18</v>
      </c>
      <c r="I632">
        <v>2</v>
      </c>
      <c r="J632" t="s">
        <v>26</v>
      </c>
      <c r="K6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32" s="6" t="s">
        <v>32</v>
      </c>
      <c r="M632" s="7">
        <v>30</v>
      </c>
      <c r="N632" t="s">
        <v>18</v>
      </c>
      <c r="O632" s="9" t="str">
        <f>IF(Table1_1[[#This Row],[Purchased Bike]]="yes","1","0")</f>
        <v>0</v>
      </c>
      <c r="P632" s="4" t="str">
        <f>IF(Table1_1[[#This Row],[Income]]&lt;=30000,"Low ",IF(Table1_1[[#This Row],[Income]]&lt;=70000,"Middle","High"))</f>
        <v>Middle</v>
      </c>
      <c r="Q632" s="6" t="str">
        <f>IF(Table1_1[[#This Row],[Age]]&lt;30,"Young",IF(Table1_1[[#This Row],[Age]]&lt;50,"Middle aged","Senior citizen"))</f>
        <v>Middle aged</v>
      </c>
      <c r="R632" s="7">
        <f>IF(Table1_1[[#This Row],[Marriedarital SingletatuSingle]]="M",Table1_1[[#This Row],[Children]]+2,Table1_1[[#This Row],[Children]]+1)</f>
        <v>1</v>
      </c>
      <c r="S632" s="4" t="str">
        <f>IF(Table1_1[[#This Row],[Cars]]=0,"No","Yes")</f>
        <v>Yes</v>
      </c>
      <c r="T632" s="6" t="str">
        <f>IF(AND(Table1_1[[#This Row],[Income]]&gt;50000,Table1_1[[#This Row],[Home Owner]]="Yes"),"High stability","Low stability")</f>
        <v>Low stability</v>
      </c>
      <c r="U632" s="3">
        <f>Table1_1[[#This Row],[Income]]/Table1_1[[#This Row],[Family size]]</f>
        <v>40000</v>
      </c>
      <c r="V632" s="6" t="str">
        <f>IF(Table1_1[[#This Row],[Occupation]]="Skilled manual","Blue collar",IF(Table1_1[[#This Row],[Occupation]]="Manual","Blue collar","White collar"))</f>
        <v>Blue collar</v>
      </c>
    </row>
    <row r="633" spans="1:22" x14ac:dyDescent="0.3">
      <c r="A633" t="s">
        <v>667</v>
      </c>
      <c r="B633" s="6" t="s">
        <v>1044</v>
      </c>
      <c r="C633" s="6" t="s">
        <v>1046</v>
      </c>
      <c r="D633" s="3">
        <v>70000</v>
      </c>
      <c r="E633">
        <v>5</v>
      </c>
      <c r="F633" s="6" t="s">
        <v>19</v>
      </c>
      <c r="G633" s="6" t="s">
        <v>21</v>
      </c>
      <c r="H633" s="6" t="s">
        <v>15</v>
      </c>
      <c r="I633">
        <v>3</v>
      </c>
      <c r="J633" t="s">
        <v>22</v>
      </c>
      <c r="K6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33" s="6" t="s">
        <v>32</v>
      </c>
      <c r="M633" s="7">
        <v>44</v>
      </c>
      <c r="N633" t="s">
        <v>18</v>
      </c>
      <c r="O633" s="9" t="str">
        <f>IF(Table1_1[[#This Row],[Purchased Bike]]="yes","1","0")</f>
        <v>0</v>
      </c>
      <c r="P633" s="4" t="str">
        <f>IF(Table1_1[[#This Row],[Income]]&lt;=30000,"Low ",IF(Table1_1[[#This Row],[Income]]&lt;=70000,"Middle","High"))</f>
        <v>Middle</v>
      </c>
      <c r="Q633" s="6" t="str">
        <f>IF(Table1_1[[#This Row],[Age]]&lt;30,"Young",IF(Table1_1[[#This Row],[Age]]&lt;50,"Middle aged","Senior citizen"))</f>
        <v>Middle aged</v>
      </c>
      <c r="R633" s="7">
        <f>IF(Table1_1[[#This Row],[Marriedarital SingletatuSingle]]="M",Table1_1[[#This Row],[Children]]+2,Table1_1[[#This Row],[Children]]+1)</f>
        <v>6</v>
      </c>
      <c r="S633" s="4" t="str">
        <f>IF(Table1_1[[#This Row],[Cars]]=0,"No","Yes")</f>
        <v>Yes</v>
      </c>
      <c r="T633" s="6" t="str">
        <f>IF(AND(Table1_1[[#This Row],[Income]]&gt;50000,Table1_1[[#This Row],[Home Owner]]="Yes"),"High stability","Low stability")</f>
        <v>High stability</v>
      </c>
      <c r="U633" s="3">
        <f>Table1_1[[#This Row],[Income]]/Table1_1[[#This Row],[Family size]]</f>
        <v>11666.666666666666</v>
      </c>
      <c r="V633" s="6" t="str">
        <f>IF(Table1_1[[#This Row],[Occupation]]="Skilled manual","Blue collar",IF(Table1_1[[#This Row],[Occupation]]="Manual","Blue collar","White collar"))</f>
        <v>White collar</v>
      </c>
    </row>
    <row r="634" spans="1:22" x14ac:dyDescent="0.3">
      <c r="A634" t="s">
        <v>668</v>
      </c>
      <c r="B634" s="6" t="s">
        <v>1044</v>
      </c>
      <c r="C634" s="6" t="s">
        <v>1045</v>
      </c>
      <c r="D634" s="3">
        <v>80000</v>
      </c>
      <c r="E634">
        <v>4</v>
      </c>
      <c r="F634" s="6" t="s">
        <v>31</v>
      </c>
      <c r="G634" s="6" t="s">
        <v>14</v>
      </c>
      <c r="H634" s="6" t="s">
        <v>15</v>
      </c>
      <c r="I634">
        <v>0</v>
      </c>
      <c r="J634" t="s">
        <v>26</v>
      </c>
      <c r="K6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34" s="6" t="s">
        <v>32</v>
      </c>
      <c r="M634" s="7">
        <v>48</v>
      </c>
      <c r="N634" t="s">
        <v>18</v>
      </c>
      <c r="O634" s="9" t="str">
        <f>IF(Table1_1[[#This Row],[Purchased Bike]]="yes","1","0")</f>
        <v>0</v>
      </c>
      <c r="P634" s="4" t="str">
        <f>IF(Table1_1[[#This Row],[Income]]&lt;=30000,"Low ",IF(Table1_1[[#This Row],[Income]]&lt;=70000,"Middle","High"))</f>
        <v>High</v>
      </c>
      <c r="Q634" s="6" t="str">
        <f>IF(Table1_1[[#This Row],[Age]]&lt;30,"Young",IF(Table1_1[[#This Row],[Age]]&lt;50,"Middle aged","Senior citizen"))</f>
        <v>Middle aged</v>
      </c>
      <c r="R634" s="7">
        <f>IF(Table1_1[[#This Row],[Marriedarital SingletatuSingle]]="M",Table1_1[[#This Row],[Children]]+2,Table1_1[[#This Row],[Children]]+1)</f>
        <v>5</v>
      </c>
      <c r="S634" s="4" t="str">
        <f>IF(Table1_1[[#This Row],[Cars]]=0,"No","Yes")</f>
        <v>No</v>
      </c>
      <c r="T634" s="6" t="str">
        <f>IF(AND(Table1_1[[#This Row],[Income]]&gt;50000,Table1_1[[#This Row],[Home Owner]]="Yes"),"High stability","Low stability")</f>
        <v>High stability</v>
      </c>
      <c r="U634" s="3">
        <f>Table1_1[[#This Row],[Income]]/Table1_1[[#This Row],[Family size]]</f>
        <v>16000</v>
      </c>
      <c r="V634" s="6" t="str">
        <f>IF(Table1_1[[#This Row],[Occupation]]="Skilled manual","Blue collar",IF(Table1_1[[#This Row],[Occupation]]="Manual","Blue collar","White collar"))</f>
        <v>Blue collar</v>
      </c>
    </row>
    <row r="635" spans="1:22" x14ac:dyDescent="0.3">
      <c r="A635" t="s">
        <v>669</v>
      </c>
      <c r="B635" s="6" t="s">
        <v>1042</v>
      </c>
      <c r="C635" s="6" t="s">
        <v>1045</v>
      </c>
      <c r="D635" s="3">
        <v>130000</v>
      </c>
      <c r="E635">
        <v>1</v>
      </c>
      <c r="F635" s="6" t="s">
        <v>13</v>
      </c>
      <c r="G635" s="6" t="s">
        <v>28</v>
      </c>
      <c r="H635" s="6" t="s">
        <v>15</v>
      </c>
      <c r="I635">
        <v>2</v>
      </c>
      <c r="J635" t="s">
        <v>16</v>
      </c>
      <c r="K6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35" s="6" t="s">
        <v>32</v>
      </c>
      <c r="M635" s="7">
        <v>45</v>
      </c>
      <c r="N635" t="s">
        <v>15</v>
      </c>
      <c r="O635" s="9" t="str">
        <f>IF(Table1_1[[#This Row],[Purchased Bike]]="yes","1","0")</f>
        <v>1</v>
      </c>
      <c r="P635" s="4" t="str">
        <f>IF(Table1_1[[#This Row],[Income]]&lt;=30000,"Low ",IF(Table1_1[[#This Row],[Income]]&lt;=70000,"Middle","High"))</f>
        <v>High</v>
      </c>
      <c r="Q635" s="6" t="str">
        <f>IF(Table1_1[[#This Row],[Age]]&lt;30,"Young",IF(Table1_1[[#This Row],[Age]]&lt;50,"Middle aged","Senior citizen"))</f>
        <v>Middle aged</v>
      </c>
      <c r="R635" s="7">
        <f>IF(Table1_1[[#This Row],[Marriedarital SingletatuSingle]]="M",Table1_1[[#This Row],[Children]]+2,Table1_1[[#This Row],[Children]]+1)</f>
        <v>2</v>
      </c>
      <c r="S635" s="4" t="str">
        <f>IF(Table1_1[[#This Row],[Cars]]=0,"No","Yes")</f>
        <v>Yes</v>
      </c>
      <c r="T635" s="6" t="str">
        <f>IF(AND(Table1_1[[#This Row],[Income]]&gt;50000,Table1_1[[#This Row],[Home Owner]]="Yes"),"High stability","Low stability")</f>
        <v>High stability</v>
      </c>
      <c r="U635" s="3">
        <f>Table1_1[[#This Row],[Income]]/Table1_1[[#This Row],[Family size]]</f>
        <v>65000</v>
      </c>
      <c r="V635" s="6" t="str">
        <f>IF(Table1_1[[#This Row],[Occupation]]="Skilled manual","Blue collar",IF(Table1_1[[#This Row],[Occupation]]="Manual","Blue collar","White collar"))</f>
        <v>White collar</v>
      </c>
    </row>
    <row r="636" spans="1:22" x14ac:dyDescent="0.3">
      <c r="A636" t="s">
        <v>670</v>
      </c>
      <c r="B636" s="6" t="s">
        <v>1042</v>
      </c>
      <c r="C636" s="6" t="s">
        <v>1046</v>
      </c>
      <c r="D636" s="3">
        <v>60000</v>
      </c>
      <c r="E636">
        <v>3</v>
      </c>
      <c r="F636" s="6" t="s">
        <v>13</v>
      </c>
      <c r="G636" s="6" t="s">
        <v>28</v>
      </c>
      <c r="H636" s="6" t="s">
        <v>18</v>
      </c>
      <c r="I636">
        <v>2</v>
      </c>
      <c r="J636" t="s">
        <v>26</v>
      </c>
      <c r="K6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36" s="6" t="s">
        <v>32</v>
      </c>
      <c r="M636" s="7">
        <v>66</v>
      </c>
      <c r="N636" t="s">
        <v>18</v>
      </c>
      <c r="O636" s="9" t="str">
        <f>IF(Table1_1[[#This Row],[Purchased Bike]]="yes","1","0")</f>
        <v>0</v>
      </c>
      <c r="P636" s="4" t="str">
        <f>IF(Table1_1[[#This Row],[Income]]&lt;=30000,"Low ",IF(Table1_1[[#This Row],[Income]]&lt;=70000,"Middle","High"))</f>
        <v>Middle</v>
      </c>
      <c r="Q636" s="6" t="str">
        <f>IF(Table1_1[[#This Row],[Age]]&lt;30,"Young",IF(Table1_1[[#This Row],[Age]]&lt;50,"Middle aged","Senior citizen"))</f>
        <v>Senior citizen</v>
      </c>
      <c r="R636" s="7">
        <f>IF(Table1_1[[#This Row],[Marriedarital SingletatuSingle]]="M",Table1_1[[#This Row],[Children]]+2,Table1_1[[#This Row],[Children]]+1)</f>
        <v>4</v>
      </c>
      <c r="S636" s="4" t="str">
        <f>IF(Table1_1[[#This Row],[Cars]]=0,"No","Yes")</f>
        <v>Yes</v>
      </c>
      <c r="T636" s="6" t="str">
        <f>IF(AND(Table1_1[[#This Row],[Income]]&gt;50000,Table1_1[[#This Row],[Home Owner]]="Yes"),"High stability","Low stability")</f>
        <v>Low stability</v>
      </c>
      <c r="U636" s="3">
        <f>Table1_1[[#This Row],[Income]]/Table1_1[[#This Row],[Family size]]</f>
        <v>15000</v>
      </c>
      <c r="V636" s="6" t="str">
        <f>IF(Table1_1[[#This Row],[Occupation]]="Skilled manual","Blue collar",IF(Table1_1[[#This Row],[Occupation]]="Manual","Blue collar","White collar"))</f>
        <v>White collar</v>
      </c>
    </row>
    <row r="637" spans="1:22" x14ac:dyDescent="0.3">
      <c r="A637" t="s">
        <v>671</v>
      </c>
      <c r="B637" s="6" t="s">
        <v>1044</v>
      </c>
      <c r="C637" s="6" t="s">
        <v>1045</v>
      </c>
      <c r="D637" s="3">
        <v>30000</v>
      </c>
      <c r="E637">
        <v>2</v>
      </c>
      <c r="F637" s="6" t="s">
        <v>27</v>
      </c>
      <c r="G637" s="6" t="s">
        <v>14</v>
      </c>
      <c r="H637" s="6" t="s">
        <v>18</v>
      </c>
      <c r="I637">
        <v>2</v>
      </c>
      <c r="J637" t="s">
        <v>16</v>
      </c>
      <c r="K6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37" s="6" t="s">
        <v>32</v>
      </c>
      <c r="M637" s="7">
        <v>49</v>
      </c>
      <c r="N637" t="s">
        <v>18</v>
      </c>
      <c r="O637" s="9" t="str">
        <f>IF(Table1_1[[#This Row],[Purchased Bike]]="yes","1","0")</f>
        <v>0</v>
      </c>
      <c r="P637" s="4" t="str">
        <f>IF(Table1_1[[#This Row],[Income]]&lt;=30000,"Low ",IF(Table1_1[[#This Row],[Income]]&lt;=70000,"Middle","High"))</f>
        <v xml:space="preserve">Low </v>
      </c>
      <c r="Q637" s="6" t="str">
        <f>IF(Table1_1[[#This Row],[Age]]&lt;30,"Young",IF(Table1_1[[#This Row],[Age]]&lt;50,"Middle aged","Senior citizen"))</f>
        <v>Middle aged</v>
      </c>
      <c r="R637" s="7">
        <f>IF(Table1_1[[#This Row],[Marriedarital SingletatuSingle]]="M",Table1_1[[#This Row],[Children]]+2,Table1_1[[#This Row],[Children]]+1)</f>
        <v>3</v>
      </c>
      <c r="S637" s="4" t="str">
        <f>IF(Table1_1[[#This Row],[Cars]]=0,"No","Yes")</f>
        <v>Yes</v>
      </c>
      <c r="T637" s="6" t="str">
        <f>IF(AND(Table1_1[[#This Row],[Income]]&gt;50000,Table1_1[[#This Row],[Home Owner]]="Yes"),"High stability","Low stability")</f>
        <v>Low stability</v>
      </c>
      <c r="U637" s="3">
        <f>Table1_1[[#This Row],[Income]]/Table1_1[[#This Row],[Family size]]</f>
        <v>10000</v>
      </c>
      <c r="V637" s="6" t="str">
        <f>IF(Table1_1[[#This Row],[Occupation]]="Skilled manual","Blue collar",IF(Table1_1[[#This Row],[Occupation]]="Manual","Blue collar","White collar"))</f>
        <v>Blue collar</v>
      </c>
    </row>
    <row r="638" spans="1:22" x14ac:dyDescent="0.3">
      <c r="A638" t="s">
        <v>672</v>
      </c>
      <c r="B638" s="6" t="s">
        <v>1044</v>
      </c>
      <c r="C638" s="6" t="s">
        <v>1045</v>
      </c>
      <c r="D638" s="3">
        <v>120000</v>
      </c>
      <c r="E638">
        <v>4</v>
      </c>
      <c r="F638" s="6" t="s">
        <v>19</v>
      </c>
      <c r="G638" s="6" t="s">
        <v>21</v>
      </c>
      <c r="H638" s="6" t="s">
        <v>15</v>
      </c>
      <c r="I638">
        <v>3</v>
      </c>
      <c r="J638" t="s">
        <v>23</v>
      </c>
      <c r="K6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38" s="6" t="s">
        <v>32</v>
      </c>
      <c r="M638" s="7">
        <v>43</v>
      </c>
      <c r="N638" t="s">
        <v>15</v>
      </c>
      <c r="O638" s="9" t="str">
        <f>IF(Table1_1[[#This Row],[Purchased Bike]]="yes","1","0")</f>
        <v>1</v>
      </c>
      <c r="P638" s="4" t="str">
        <f>IF(Table1_1[[#This Row],[Income]]&lt;=30000,"Low ",IF(Table1_1[[#This Row],[Income]]&lt;=70000,"Middle","High"))</f>
        <v>High</v>
      </c>
      <c r="Q638" s="6" t="str">
        <f>IF(Table1_1[[#This Row],[Age]]&lt;30,"Young",IF(Table1_1[[#This Row],[Age]]&lt;50,"Middle aged","Senior citizen"))</f>
        <v>Middle aged</v>
      </c>
      <c r="R638" s="7">
        <f>IF(Table1_1[[#This Row],[Marriedarital SingletatuSingle]]="M",Table1_1[[#This Row],[Children]]+2,Table1_1[[#This Row],[Children]]+1)</f>
        <v>5</v>
      </c>
      <c r="S638" s="4" t="str">
        <f>IF(Table1_1[[#This Row],[Cars]]=0,"No","Yes")</f>
        <v>Yes</v>
      </c>
      <c r="T638" s="6" t="str">
        <f>IF(AND(Table1_1[[#This Row],[Income]]&gt;50000,Table1_1[[#This Row],[Home Owner]]="Yes"),"High stability","Low stability")</f>
        <v>High stability</v>
      </c>
      <c r="U638" s="3">
        <f>Table1_1[[#This Row],[Income]]/Table1_1[[#This Row],[Family size]]</f>
        <v>24000</v>
      </c>
      <c r="V638" s="6" t="str">
        <f>IF(Table1_1[[#This Row],[Occupation]]="Skilled manual","Blue collar",IF(Table1_1[[#This Row],[Occupation]]="Manual","Blue collar","White collar"))</f>
        <v>White collar</v>
      </c>
    </row>
    <row r="639" spans="1:22" x14ac:dyDescent="0.3">
      <c r="A639" t="s">
        <v>673</v>
      </c>
      <c r="B639" s="6" t="s">
        <v>1044</v>
      </c>
      <c r="C639" s="6" t="s">
        <v>1046</v>
      </c>
      <c r="D639" s="3">
        <v>40000</v>
      </c>
      <c r="E639">
        <v>0</v>
      </c>
      <c r="F639" s="6" t="s">
        <v>27</v>
      </c>
      <c r="G639" s="6" t="s">
        <v>14</v>
      </c>
      <c r="H639" s="6" t="s">
        <v>18</v>
      </c>
      <c r="I639">
        <v>2</v>
      </c>
      <c r="J639" t="s">
        <v>26</v>
      </c>
      <c r="K6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39" s="6" t="s">
        <v>32</v>
      </c>
      <c r="M639" s="7">
        <v>30</v>
      </c>
      <c r="N639" t="s">
        <v>18</v>
      </c>
      <c r="O639" s="9" t="str">
        <f>IF(Table1_1[[#This Row],[Purchased Bike]]="yes","1","0")</f>
        <v>0</v>
      </c>
      <c r="P639" s="4" t="str">
        <f>IF(Table1_1[[#This Row],[Income]]&lt;=30000,"Low ",IF(Table1_1[[#This Row],[Income]]&lt;=70000,"Middle","High"))</f>
        <v>Middle</v>
      </c>
      <c r="Q639" s="6" t="str">
        <f>IF(Table1_1[[#This Row],[Age]]&lt;30,"Young",IF(Table1_1[[#This Row],[Age]]&lt;50,"Middle aged","Senior citizen"))</f>
        <v>Middle aged</v>
      </c>
      <c r="R639" s="7">
        <f>IF(Table1_1[[#This Row],[Marriedarital SingletatuSingle]]="M",Table1_1[[#This Row],[Children]]+2,Table1_1[[#This Row],[Children]]+1)</f>
        <v>1</v>
      </c>
      <c r="S639" s="4" t="str">
        <f>IF(Table1_1[[#This Row],[Cars]]=0,"No","Yes")</f>
        <v>Yes</v>
      </c>
      <c r="T639" s="6" t="str">
        <f>IF(AND(Table1_1[[#This Row],[Income]]&gt;50000,Table1_1[[#This Row],[Home Owner]]="Yes"),"High stability","Low stability")</f>
        <v>Low stability</v>
      </c>
      <c r="U639" s="3">
        <f>Table1_1[[#This Row],[Income]]/Table1_1[[#This Row],[Family size]]</f>
        <v>40000</v>
      </c>
      <c r="V639" s="6" t="str">
        <f>IF(Table1_1[[#This Row],[Occupation]]="Skilled manual","Blue collar",IF(Table1_1[[#This Row],[Occupation]]="Manual","Blue collar","White collar"))</f>
        <v>Blue collar</v>
      </c>
    </row>
    <row r="640" spans="1:22" x14ac:dyDescent="0.3">
      <c r="A640" t="s">
        <v>674</v>
      </c>
      <c r="B640" s="6" t="s">
        <v>1044</v>
      </c>
      <c r="C640" s="6" t="s">
        <v>1046</v>
      </c>
      <c r="D640" s="3">
        <v>70000</v>
      </c>
      <c r="E640">
        <v>0</v>
      </c>
      <c r="F640" s="6" t="s">
        <v>31</v>
      </c>
      <c r="G640" s="6" t="s">
        <v>28</v>
      </c>
      <c r="H640" s="6" t="s">
        <v>15</v>
      </c>
      <c r="I640">
        <v>2</v>
      </c>
      <c r="J640" t="s">
        <v>23</v>
      </c>
      <c r="K6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40" s="6" t="s">
        <v>32</v>
      </c>
      <c r="M640" s="7">
        <v>74</v>
      </c>
      <c r="N640" t="s">
        <v>15</v>
      </c>
      <c r="O640" s="9" t="str">
        <f>IF(Table1_1[[#This Row],[Purchased Bike]]="yes","1","0")</f>
        <v>1</v>
      </c>
      <c r="P640" s="4" t="str">
        <f>IF(Table1_1[[#This Row],[Income]]&lt;=30000,"Low ",IF(Table1_1[[#This Row],[Income]]&lt;=70000,"Middle","High"))</f>
        <v>Middle</v>
      </c>
      <c r="Q640" s="6" t="str">
        <f>IF(Table1_1[[#This Row],[Age]]&lt;30,"Young",IF(Table1_1[[#This Row],[Age]]&lt;50,"Middle aged","Senior citizen"))</f>
        <v>Senior citizen</v>
      </c>
      <c r="R640" s="7">
        <f>IF(Table1_1[[#This Row],[Marriedarital SingletatuSingle]]="M",Table1_1[[#This Row],[Children]]+2,Table1_1[[#This Row],[Children]]+1)</f>
        <v>1</v>
      </c>
      <c r="S640" s="4" t="str">
        <f>IF(Table1_1[[#This Row],[Cars]]=0,"No","Yes")</f>
        <v>Yes</v>
      </c>
      <c r="T640" s="6" t="str">
        <f>IF(AND(Table1_1[[#This Row],[Income]]&gt;50000,Table1_1[[#This Row],[Home Owner]]="Yes"),"High stability","Low stability")</f>
        <v>High stability</v>
      </c>
      <c r="U640" s="3">
        <f>Table1_1[[#This Row],[Income]]/Table1_1[[#This Row],[Family size]]</f>
        <v>70000</v>
      </c>
      <c r="V640" s="6" t="str">
        <f>IF(Table1_1[[#This Row],[Occupation]]="Skilled manual","Blue collar",IF(Table1_1[[#This Row],[Occupation]]="Manual","Blue collar","White collar"))</f>
        <v>White collar</v>
      </c>
    </row>
    <row r="641" spans="1:22" x14ac:dyDescent="0.3">
      <c r="A641" t="s">
        <v>675</v>
      </c>
      <c r="B641" s="6" t="s">
        <v>1042</v>
      </c>
      <c r="C641" s="6" t="s">
        <v>1046</v>
      </c>
      <c r="D641" s="3">
        <v>100000</v>
      </c>
      <c r="E641">
        <v>2</v>
      </c>
      <c r="F641" s="6" t="s">
        <v>31</v>
      </c>
      <c r="G641" s="6" t="s">
        <v>28</v>
      </c>
      <c r="H641" s="6" t="s">
        <v>15</v>
      </c>
      <c r="I641">
        <v>3</v>
      </c>
      <c r="J641" t="s">
        <v>26</v>
      </c>
      <c r="K6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41" s="6" t="s">
        <v>32</v>
      </c>
      <c r="M641" s="7">
        <v>65</v>
      </c>
      <c r="N641" t="s">
        <v>18</v>
      </c>
      <c r="O641" s="9" t="str">
        <f>IF(Table1_1[[#This Row],[Purchased Bike]]="yes","1","0")</f>
        <v>0</v>
      </c>
      <c r="P641" s="4" t="str">
        <f>IF(Table1_1[[#This Row],[Income]]&lt;=30000,"Low ",IF(Table1_1[[#This Row],[Income]]&lt;=70000,"Middle","High"))</f>
        <v>High</v>
      </c>
      <c r="Q641" s="6" t="str">
        <f>IF(Table1_1[[#This Row],[Age]]&lt;30,"Young",IF(Table1_1[[#This Row],[Age]]&lt;50,"Middle aged","Senior citizen"))</f>
        <v>Senior citizen</v>
      </c>
      <c r="R641" s="7">
        <f>IF(Table1_1[[#This Row],[Marriedarital SingletatuSingle]]="M",Table1_1[[#This Row],[Children]]+2,Table1_1[[#This Row],[Children]]+1)</f>
        <v>3</v>
      </c>
      <c r="S641" s="4" t="str">
        <f>IF(Table1_1[[#This Row],[Cars]]=0,"No","Yes")</f>
        <v>Yes</v>
      </c>
      <c r="T641" s="6" t="str">
        <f>IF(AND(Table1_1[[#This Row],[Income]]&gt;50000,Table1_1[[#This Row],[Home Owner]]="Yes"),"High stability","Low stability")</f>
        <v>High stability</v>
      </c>
      <c r="U641" s="3">
        <f>Table1_1[[#This Row],[Income]]/Table1_1[[#This Row],[Family size]]</f>
        <v>33333.333333333336</v>
      </c>
      <c r="V641" s="6" t="str">
        <f>IF(Table1_1[[#This Row],[Occupation]]="Skilled manual","Blue collar",IF(Table1_1[[#This Row],[Occupation]]="Manual","Blue collar","White collar"))</f>
        <v>White collar</v>
      </c>
    </row>
    <row r="642" spans="1:22" x14ac:dyDescent="0.3">
      <c r="A642" t="s">
        <v>676</v>
      </c>
      <c r="B642" s="6" t="s">
        <v>1042</v>
      </c>
      <c r="C642" s="6" t="s">
        <v>1045</v>
      </c>
      <c r="D642" s="3">
        <v>60000</v>
      </c>
      <c r="E642">
        <v>2</v>
      </c>
      <c r="F642" s="6" t="s">
        <v>19</v>
      </c>
      <c r="G642" s="6" t="s">
        <v>21</v>
      </c>
      <c r="H642" s="6" t="s">
        <v>15</v>
      </c>
      <c r="I642">
        <v>2</v>
      </c>
      <c r="J642" t="s">
        <v>22</v>
      </c>
      <c r="K6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42" s="6" t="s">
        <v>32</v>
      </c>
      <c r="M642" s="7">
        <v>56</v>
      </c>
      <c r="N642" t="s">
        <v>15</v>
      </c>
      <c r="O642" s="9" t="str">
        <f>IF(Table1_1[[#This Row],[Purchased Bike]]="yes","1","0")</f>
        <v>1</v>
      </c>
      <c r="P642" s="4" t="str">
        <f>IF(Table1_1[[#This Row],[Income]]&lt;=30000,"Low ",IF(Table1_1[[#This Row],[Income]]&lt;=70000,"Middle","High"))</f>
        <v>Middle</v>
      </c>
      <c r="Q642" s="6" t="str">
        <f>IF(Table1_1[[#This Row],[Age]]&lt;30,"Young",IF(Table1_1[[#This Row],[Age]]&lt;50,"Middle aged","Senior citizen"))</f>
        <v>Senior citizen</v>
      </c>
      <c r="R642" s="7">
        <f>IF(Table1_1[[#This Row],[Marriedarital SingletatuSingle]]="M",Table1_1[[#This Row],[Children]]+2,Table1_1[[#This Row],[Children]]+1)</f>
        <v>3</v>
      </c>
      <c r="S642" s="4" t="str">
        <f>IF(Table1_1[[#This Row],[Cars]]=0,"No","Yes")</f>
        <v>Yes</v>
      </c>
      <c r="T642" s="6" t="str">
        <f>IF(AND(Table1_1[[#This Row],[Income]]&gt;50000,Table1_1[[#This Row],[Home Owner]]="Yes"),"High stability","Low stability")</f>
        <v>High stability</v>
      </c>
      <c r="U642" s="3">
        <f>Table1_1[[#This Row],[Income]]/Table1_1[[#This Row],[Family size]]</f>
        <v>20000</v>
      </c>
      <c r="V642" s="6" t="str">
        <f>IF(Table1_1[[#This Row],[Occupation]]="Skilled manual","Blue collar",IF(Table1_1[[#This Row],[Occupation]]="Manual","Blue collar","White collar"))</f>
        <v>White collar</v>
      </c>
    </row>
    <row r="643" spans="1:22" x14ac:dyDescent="0.3">
      <c r="A643" t="s">
        <v>677</v>
      </c>
      <c r="B643" s="6" t="s">
        <v>1042</v>
      </c>
      <c r="C643" s="6" t="s">
        <v>1046</v>
      </c>
      <c r="D643" s="3">
        <v>50000</v>
      </c>
      <c r="E643">
        <v>4</v>
      </c>
      <c r="F643" s="6" t="s">
        <v>13</v>
      </c>
      <c r="G643" s="6" t="s">
        <v>28</v>
      </c>
      <c r="H643" s="6" t="s">
        <v>15</v>
      </c>
      <c r="I643">
        <v>2</v>
      </c>
      <c r="J643" t="s">
        <v>30</v>
      </c>
      <c r="K6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643" s="6" t="s">
        <v>32</v>
      </c>
      <c r="M643" s="7">
        <v>64</v>
      </c>
      <c r="N643" t="s">
        <v>18</v>
      </c>
      <c r="O643" s="9" t="str">
        <f>IF(Table1_1[[#This Row],[Purchased Bike]]="yes","1","0")</f>
        <v>0</v>
      </c>
      <c r="P643" s="4" t="str">
        <f>IF(Table1_1[[#This Row],[Income]]&lt;=30000,"Low ",IF(Table1_1[[#This Row],[Income]]&lt;=70000,"Middle","High"))</f>
        <v>Middle</v>
      </c>
      <c r="Q643" s="6" t="str">
        <f>IF(Table1_1[[#This Row],[Age]]&lt;30,"Young",IF(Table1_1[[#This Row],[Age]]&lt;50,"Middle aged","Senior citizen"))</f>
        <v>Senior citizen</v>
      </c>
      <c r="R643" s="7">
        <f>IF(Table1_1[[#This Row],[Marriedarital SingletatuSingle]]="M",Table1_1[[#This Row],[Children]]+2,Table1_1[[#This Row],[Children]]+1)</f>
        <v>5</v>
      </c>
      <c r="S643" s="4" t="str">
        <f>IF(Table1_1[[#This Row],[Cars]]=0,"No","Yes")</f>
        <v>Yes</v>
      </c>
      <c r="T643" s="6" t="str">
        <f>IF(AND(Table1_1[[#This Row],[Income]]&gt;50000,Table1_1[[#This Row],[Home Owner]]="Yes"),"High stability","Low stability")</f>
        <v>Low stability</v>
      </c>
      <c r="U643" s="3">
        <f>Table1_1[[#This Row],[Income]]/Table1_1[[#This Row],[Family size]]</f>
        <v>10000</v>
      </c>
      <c r="V643" s="6" t="str">
        <f>IF(Table1_1[[#This Row],[Occupation]]="Skilled manual","Blue collar",IF(Table1_1[[#This Row],[Occupation]]="Manual","Blue collar","White collar"))</f>
        <v>White collar</v>
      </c>
    </row>
    <row r="644" spans="1:22" x14ac:dyDescent="0.3">
      <c r="A644" t="s">
        <v>678</v>
      </c>
      <c r="B644" s="6" t="s">
        <v>1042</v>
      </c>
      <c r="C644" s="6" t="s">
        <v>1045</v>
      </c>
      <c r="D644" s="3">
        <v>70000</v>
      </c>
      <c r="E644">
        <v>3</v>
      </c>
      <c r="F644" s="6" t="s">
        <v>19</v>
      </c>
      <c r="G644" s="6" t="s">
        <v>21</v>
      </c>
      <c r="H644" s="6" t="s">
        <v>15</v>
      </c>
      <c r="I644">
        <v>2</v>
      </c>
      <c r="J644" t="s">
        <v>23</v>
      </c>
      <c r="K6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44" s="6" t="s">
        <v>32</v>
      </c>
      <c r="M644" s="7">
        <v>50</v>
      </c>
      <c r="N644" t="s">
        <v>15</v>
      </c>
      <c r="O644" s="9" t="str">
        <f>IF(Table1_1[[#This Row],[Purchased Bike]]="yes","1","0")</f>
        <v>1</v>
      </c>
      <c r="P644" s="4" t="str">
        <f>IF(Table1_1[[#This Row],[Income]]&lt;=30000,"Low ",IF(Table1_1[[#This Row],[Income]]&lt;=70000,"Middle","High"))</f>
        <v>Middle</v>
      </c>
      <c r="Q644" s="6" t="str">
        <f>IF(Table1_1[[#This Row],[Age]]&lt;30,"Young",IF(Table1_1[[#This Row],[Age]]&lt;50,"Middle aged","Senior citizen"))</f>
        <v>Senior citizen</v>
      </c>
      <c r="R644" s="7">
        <f>IF(Table1_1[[#This Row],[Marriedarital SingletatuSingle]]="M",Table1_1[[#This Row],[Children]]+2,Table1_1[[#This Row],[Children]]+1)</f>
        <v>4</v>
      </c>
      <c r="S644" s="4" t="str">
        <f>IF(Table1_1[[#This Row],[Cars]]=0,"No","Yes")</f>
        <v>Yes</v>
      </c>
      <c r="T644" s="6" t="str">
        <f>IF(AND(Table1_1[[#This Row],[Income]]&gt;50000,Table1_1[[#This Row],[Home Owner]]="Yes"),"High stability","Low stability")</f>
        <v>High stability</v>
      </c>
      <c r="U644" s="3">
        <f>Table1_1[[#This Row],[Income]]/Table1_1[[#This Row],[Family size]]</f>
        <v>17500</v>
      </c>
      <c r="V644" s="6" t="str">
        <f>IF(Table1_1[[#This Row],[Occupation]]="Skilled manual","Blue collar",IF(Table1_1[[#This Row],[Occupation]]="Manual","Blue collar","White collar"))</f>
        <v>White collar</v>
      </c>
    </row>
    <row r="645" spans="1:22" x14ac:dyDescent="0.3">
      <c r="A645" t="s">
        <v>679</v>
      </c>
      <c r="B645" s="6" t="s">
        <v>1042</v>
      </c>
      <c r="C645" s="6" t="s">
        <v>1045</v>
      </c>
      <c r="D645" s="3">
        <v>70000</v>
      </c>
      <c r="E645">
        <v>3</v>
      </c>
      <c r="F645" s="6" t="s">
        <v>31</v>
      </c>
      <c r="G645" s="6" t="s">
        <v>21</v>
      </c>
      <c r="H645" s="6" t="s">
        <v>15</v>
      </c>
      <c r="I645">
        <v>0</v>
      </c>
      <c r="J645" t="s">
        <v>22</v>
      </c>
      <c r="K6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45" s="6" t="s">
        <v>32</v>
      </c>
      <c r="M645" s="7">
        <v>35</v>
      </c>
      <c r="N645" t="s">
        <v>15</v>
      </c>
      <c r="O645" s="9" t="str">
        <f>IF(Table1_1[[#This Row],[Purchased Bike]]="yes","1","0")</f>
        <v>1</v>
      </c>
      <c r="P645" s="4" t="str">
        <f>IF(Table1_1[[#This Row],[Income]]&lt;=30000,"Low ",IF(Table1_1[[#This Row],[Income]]&lt;=70000,"Middle","High"))</f>
        <v>Middle</v>
      </c>
      <c r="Q645" s="6" t="str">
        <f>IF(Table1_1[[#This Row],[Age]]&lt;30,"Young",IF(Table1_1[[#This Row],[Age]]&lt;50,"Middle aged","Senior citizen"))</f>
        <v>Middle aged</v>
      </c>
      <c r="R645" s="7">
        <f>IF(Table1_1[[#This Row],[Marriedarital SingletatuSingle]]="M",Table1_1[[#This Row],[Children]]+2,Table1_1[[#This Row],[Children]]+1)</f>
        <v>4</v>
      </c>
      <c r="S645" s="4" t="str">
        <f>IF(Table1_1[[#This Row],[Cars]]=0,"No","Yes")</f>
        <v>No</v>
      </c>
      <c r="T645" s="6" t="str">
        <f>IF(AND(Table1_1[[#This Row],[Income]]&gt;50000,Table1_1[[#This Row],[Home Owner]]="Yes"),"High stability","Low stability")</f>
        <v>High stability</v>
      </c>
      <c r="U645" s="3">
        <f>Table1_1[[#This Row],[Income]]/Table1_1[[#This Row],[Family size]]</f>
        <v>17500</v>
      </c>
      <c r="V645" s="6" t="str">
        <f>IF(Table1_1[[#This Row],[Occupation]]="Skilled manual","Blue collar",IF(Table1_1[[#This Row],[Occupation]]="Manual","Blue collar","White collar"))</f>
        <v>White collar</v>
      </c>
    </row>
    <row r="646" spans="1:22" x14ac:dyDescent="0.3">
      <c r="A646" t="s">
        <v>680</v>
      </c>
      <c r="B646" s="6" t="s">
        <v>1042</v>
      </c>
      <c r="C646" s="6" t="s">
        <v>1045</v>
      </c>
      <c r="D646" s="3">
        <v>60000</v>
      </c>
      <c r="E646">
        <v>5</v>
      </c>
      <c r="F646" s="6" t="s">
        <v>13</v>
      </c>
      <c r="G646" s="6" t="s">
        <v>14</v>
      </c>
      <c r="H646" s="6" t="s">
        <v>15</v>
      </c>
      <c r="I646">
        <v>3</v>
      </c>
      <c r="J646" t="s">
        <v>30</v>
      </c>
      <c r="K6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646" s="6" t="s">
        <v>32</v>
      </c>
      <c r="M646" s="7">
        <v>41</v>
      </c>
      <c r="N646" t="s">
        <v>18</v>
      </c>
      <c r="O646" s="9" t="str">
        <f>IF(Table1_1[[#This Row],[Purchased Bike]]="yes","1","0")</f>
        <v>0</v>
      </c>
      <c r="P646" s="4" t="str">
        <f>IF(Table1_1[[#This Row],[Income]]&lt;=30000,"Low ",IF(Table1_1[[#This Row],[Income]]&lt;=70000,"Middle","High"))</f>
        <v>Middle</v>
      </c>
      <c r="Q646" s="6" t="str">
        <f>IF(Table1_1[[#This Row],[Age]]&lt;30,"Young",IF(Table1_1[[#This Row],[Age]]&lt;50,"Middle aged","Senior citizen"))</f>
        <v>Middle aged</v>
      </c>
      <c r="R646" s="7">
        <f>IF(Table1_1[[#This Row],[Marriedarital SingletatuSingle]]="M",Table1_1[[#This Row],[Children]]+2,Table1_1[[#This Row],[Children]]+1)</f>
        <v>6</v>
      </c>
      <c r="S646" s="4" t="str">
        <f>IF(Table1_1[[#This Row],[Cars]]=0,"No","Yes")</f>
        <v>Yes</v>
      </c>
      <c r="T646" s="6" t="str">
        <f>IF(AND(Table1_1[[#This Row],[Income]]&gt;50000,Table1_1[[#This Row],[Home Owner]]="Yes"),"High stability","Low stability")</f>
        <v>High stability</v>
      </c>
      <c r="U646" s="3">
        <f>Table1_1[[#This Row],[Income]]/Table1_1[[#This Row],[Family size]]</f>
        <v>10000</v>
      </c>
      <c r="V646" s="6" t="str">
        <f>IF(Table1_1[[#This Row],[Occupation]]="Skilled manual","Blue collar",IF(Table1_1[[#This Row],[Occupation]]="Manual","Blue collar","White collar"))</f>
        <v>Blue collar</v>
      </c>
    </row>
    <row r="647" spans="1:22" x14ac:dyDescent="0.3">
      <c r="A647" t="s">
        <v>681</v>
      </c>
      <c r="B647" s="6" t="s">
        <v>1044</v>
      </c>
      <c r="C647" s="6" t="s">
        <v>1045</v>
      </c>
      <c r="D647" s="3">
        <v>60000</v>
      </c>
      <c r="E647">
        <v>0</v>
      </c>
      <c r="F647" s="6" t="s">
        <v>31</v>
      </c>
      <c r="G647" s="6" t="s">
        <v>14</v>
      </c>
      <c r="H647" s="6" t="s">
        <v>15</v>
      </c>
      <c r="I647">
        <v>0</v>
      </c>
      <c r="J647" t="s">
        <v>16</v>
      </c>
      <c r="K6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47" s="6" t="s">
        <v>32</v>
      </c>
      <c r="M647" s="7">
        <v>39</v>
      </c>
      <c r="N647" t="s">
        <v>18</v>
      </c>
      <c r="O647" s="9" t="str">
        <f>IF(Table1_1[[#This Row],[Purchased Bike]]="yes","1","0")</f>
        <v>0</v>
      </c>
      <c r="P647" s="4" t="str">
        <f>IF(Table1_1[[#This Row],[Income]]&lt;=30000,"Low ",IF(Table1_1[[#This Row],[Income]]&lt;=70000,"Middle","High"))</f>
        <v>Middle</v>
      </c>
      <c r="Q647" s="6" t="str">
        <f>IF(Table1_1[[#This Row],[Age]]&lt;30,"Young",IF(Table1_1[[#This Row],[Age]]&lt;50,"Middle aged","Senior citizen"))</f>
        <v>Middle aged</v>
      </c>
      <c r="R647" s="7">
        <f>IF(Table1_1[[#This Row],[Marriedarital SingletatuSingle]]="M",Table1_1[[#This Row],[Children]]+2,Table1_1[[#This Row],[Children]]+1)</f>
        <v>1</v>
      </c>
      <c r="S647" s="4" t="str">
        <f>IF(Table1_1[[#This Row],[Cars]]=0,"No","Yes")</f>
        <v>No</v>
      </c>
      <c r="T647" s="6" t="str">
        <f>IF(AND(Table1_1[[#This Row],[Income]]&gt;50000,Table1_1[[#This Row],[Home Owner]]="Yes"),"High stability","Low stability")</f>
        <v>High stability</v>
      </c>
      <c r="U647" s="3">
        <f>Table1_1[[#This Row],[Income]]/Table1_1[[#This Row],[Family size]]</f>
        <v>60000</v>
      </c>
      <c r="V647" s="6" t="str">
        <f>IF(Table1_1[[#This Row],[Occupation]]="Skilled manual","Blue collar",IF(Table1_1[[#This Row],[Occupation]]="Manual","Blue collar","White collar"))</f>
        <v>Blue collar</v>
      </c>
    </row>
    <row r="648" spans="1:22" x14ac:dyDescent="0.3">
      <c r="A648" t="s">
        <v>682</v>
      </c>
      <c r="B648" s="6" t="s">
        <v>1044</v>
      </c>
      <c r="C648" s="6" t="s">
        <v>1045</v>
      </c>
      <c r="D648" s="3">
        <v>60000</v>
      </c>
      <c r="E648">
        <v>4</v>
      </c>
      <c r="F648" s="6" t="s">
        <v>31</v>
      </c>
      <c r="G648" s="6" t="s">
        <v>14</v>
      </c>
      <c r="H648" s="6" t="s">
        <v>18</v>
      </c>
      <c r="I648">
        <v>0</v>
      </c>
      <c r="J648" t="s">
        <v>26</v>
      </c>
      <c r="K6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48" s="6" t="s">
        <v>32</v>
      </c>
      <c r="M648" s="7">
        <v>47</v>
      </c>
      <c r="N648" t="s">
        <v>18</v>
      </c>
      <c r="O648" s="9" t="str">
        <f>IF(Table1_1[[#This Row],[Purchased Bike]]="yes","1","0")</f>
        <v>0</v>
      </c>
      <c r="P648" s="4" t="str">
        <f>IF(Table1_1[[#This Row],[Income]]&lt;=30000,"Low ",IF(Table1_1[[#This Row],[Income]]&lt;=70000,"Middle","High"))</f>
        <v>Middle</v>
      </c>
      <c r="Q648" s="6" t="str">
        <f>IF(Table1_1[[#This Row],[Age]]&lt;30,"Young",IF(Table1_1[[#This Row],[Age]]&lt;50,"Middle aged","Senior citizen"))</f>
        <v>Middle aged</v>
      </c>
      <c r="R648" s="7">
        <f>IF(Table1_1[[#This Row],[Marriedarital SingletatuSingle]]="M",Table1_1[[#This Row],[Children]]+2,Table1_1[[#This Row],[Children]]+1)</f>
        <v>5</v>
      </c>
      <c r="S648" s="4" t="str">
        <f>IF(Table1_1[[#This Row],[Cars]]=0,"No","Yes")</f>
        <v>No</v>
      </c>
      <c r="T648" s="6" t="str">
        <f>IF(AND(Table1_1[[#This Row],[Income]]&gt;50000,Table1_1[[#This Row],[Home Owner]]="Yes"),"High stability","Low stability")</f>
        <v>Low stability</v>
      </c>
      <c r="U648" s="3">
        <f>Table1_1[[#This Row],[Income]]/Table1_1[[#This Row],[Family size]]</f>
        <v>12000</v>
      </c>
      <c r="V648" s="6" t="str">
        <f>IF(Table1_1[[#This Row],[Occupation]]="Skilled manual","Blue collar",IF(Table1_1[[#This Row],[Occupation]]="Manual","Blue collar","White collar"))</f>
        <v>Blue collar</v>
      </c>
    </row>
    <row r="649" spans="1:22" x14ac:dyDescent="0.3">
      <c r="A649" t="s">
        <v>683</v>
      </c>
      <c r="B649" s="6" t="s">
        <v>1044</v>
      </c>
      <c r="C649" s="6" t="s">
        <v>1046</v>
      </c>
      <c r="D649" s="3">
        <v>40000</v>
      </c>
      <c r="E649">
        <v>0</v>
      </c>
      <c r="F649" s="6" t="s">
        <v>27</v>
      </c>
      <c r="G649" s="6" t="s">
        <v>14</v>
      </c>
      <c r="H649" s="6" t="s">
        <v>15</v>
      </c>
      <c r="I649">
        <v>2</v>
      </c>
      <c r="J649" t="s">
        <v>23</v>
      </c>
      <c r="K6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49" s="6" t="s">
        <v>32</v>
      </c>
      <c r="M649" s="7">
        <v>31</v>
      </c>
      <c r="N649" t="s">
        <v>18</v>
      </c>
      <c r="O649" s="9" t="str">
        <f>IF(Table1_1[[#This Row],[Purchased Bike]]="yes","1","0")</f>
        <v>0</v>
      </c>
      <c r="P649" s="4" t="str">
        <f>IF(Table1_1[[#This Row],[Income]]&lt;=30000,"Low ",IF(Table1_1[[#This Row],[Income]]&lt;=70000,"Middle","High"))</f>
        <v>Middle</v>
      </c>
      <c r="Q649" s="6" t="str">
        <f>IF(Table1_1[[#This Row],[Age]]&lt;30,"Young",IF(Table1_1[[#This Row],[Age]]&lt;50,"Middle aged","Senior citizen"))</f>
        <v>Middle aged</v>
      </c>
      <c r="R649" s="7">
        <f>IF(Table1_1[[#This Row],[Marriedarital SingletatuSingle]]="M",Table1_1[[#This Row],[Children]]+2,Table1_1[[#This Row],[Children]]+1)</f>
        <v>1</v>
      </c>
      <c r="S649" s="4" t="str">
        <f>IF(Table1_1[[#This Row],[Cars]]=0,"No","Yes")</f>
        <v>Yes</v>
      </c>
      <c r="T649" s="6" t="str">
        <f>IF(AND(Table1_1[[#This Row],[Income]]&gt;50000,Table1_1[[#This Row],[Home Owner]]="Yes"),"High stability","Low stability")</f>
        <v>Low stability</v>
      </c>
      <c r="U649" s="3">
        <f>Table1_1[[#This Row],[Income]]/Table1_1[[#This Row],[Family size]]</f>
        <v>40000</v>
      </c>
      <c r="V649" s="6" t="str">
        <f>IF(Table1_1[[#This Row],[Occupation]]="Skilled manual","Blue collar",IF(Table1_1[[#This Row],[Occupation]]="Manual","Blue collar","White collar"))</f>
        <v>Blue collar</v>
      </c>
    </row>
    <row r="650" spans="1:22" x14ac:dyDescent="0.3">
      <c r="A650" t="s">
        <v>684</v>
      </c>
      <c r="B650" s="6" t="s">
        <v>1044</v>
      </c>
      <c r="C650" s="6" t="s">
        <v>1045</v>
      </c>
      <c r="D650" s="3">
        <v>70000</v>
      </c>
      <c r="E650">
        <v>2</v>
      </c>
      <c r="F650" s="6" t="s">
        <v>13</v>
      </c>
      <c r="G650" s="6" t="s">
        <v>28</v>
      </c>
      <c r="H650" s="6" t="s">
        <v>18</v>
      </c>
      <c r="I650">
        <v>1</v>
      </c>
      <c r="J650" t="s">
        <v>22</v>
      </c>
      <c r="K6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50" s="6" t="s">
        <v>32</v>
      </c>
      <c r="M650" s="7">
        <v>58</v>
      </c>
      <c r="N650" t="s">
        <v>15</v>
      </c>
      <c r="O650" s="9" t="str">
        <f>IF(Table1_1[[#This Row],[Purchased Bike]]="yes","1","0")</f>
        <v>1</v>
      </c>
      <c r="P650" s="4" t="str">
        <f>IF(Table1_1[[#This Row],[Income]]&lt;=30000,"Low ",IF(Table1_1[[#This Row],[Income]]&lt;=70000,"Middle","High"))</f>
        <v>Middle</v>
      </c>
      <c r="Q650" s="6" t="str">
        <f>IF(Table1_1[[#This Row],[Age]]&lt;30,"Young",IF(Table1_1[[#This Row],[Age]]&lt;50,"Middle aged","Senior citizen"))</f>
        <v>Senior citizen</v>
      </c>
      <c r="R650" s="7">
        <f>IF(Table1_1[[#This Row],[Marriedarital SingletatuSingle]]="M",Table1_1[[#This Row],[Children]]+2,Table1_1[[#This Row],[Children]]+1)</f>
        <v>3</v>
      </c>
      <c r="S650" s="4" t="str">
        <f>IF(Table1_1[[#This Row],[Cars]]=0,"No","Yes")</f>
        <v>Yes</v>
      </c>
      <c r="T650" s="6" t="str">
        <f>IF(AND(Table1_1[[#This Row],[Income]]&gt;50000,Table1_1[[#This Row],[Home Owner]]="Yes"),"High stability","Low stability")</f>
        <v>Low stability</v>
      </c>
      <c r="U650" s="3">
        <f>Table1_1[[#This Row],[Income]]/Table1_1[[#This Row],[Family size]]</f>
        <v>23333.333333333332</v>
      </c>
      <c r="V650" s="6" t="str">
        <f>IF(Table1_1[[#This Row],[Occupation]]="Skilled manual","Blue collar",IF(Table1_1[[#This Row],[Occupation]]="Manual","Blue collar","White collar"))</f>
        <v>White collar</v>
      </c>
    </row>
    <row r="651" spans="1:22" x14ac:dyDescent="0.3">
      <c r="A651" t="s">
        <v>685</v>
      </c>
      <c r="B651" s="6" t="s">
        <v>1044</v>
      </c>
      <c r="C651" s="6" t="s">
        <v>1045</v>
      </c>
      <c r="D651" s="3">
        <v>70000</v>
      </c>
      <c r="E651">
        <v>0</v>
      </c>
      <c r="F651" s="6" t="s">
        <v>13</v>
      </c>
      <c r="G651" s="6" t="s">
        <v>21</v>
      </c>
      <c r="H651" s="6" t="s">
        <v>18</v>
      </c>
      <c r="I651">
        <v>1</v>
      </c>
      <c r="J651" t="s">
        <v>22</v>
      </c>
      <c r="K6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51" s="6" t="s">
        <v>32</v>
      </c>
      <c r="M651" s="7">
        <v>38</v>
      </c>
      <c r="N651" t="s">
        <v>15</v>
      </c>
      <c r="O651" s="9" t="str">
        <f>IF(Table1_1[[#This Row],[Purchased Bike]]="yes","1","0")</f>
        <v>1</v>
      </c>
      <c r="P651" s="4" t="str">
        <f>IF(Table1_1[[#This Row],[Income]]&lt;=30000,"Low ",IF(Table1_1[[#This Row],[Income]]&lt;=70000,"Middle","High"))</f>
        <v>Middle</v>
      </c>
      <c r="Q651" s="6" t="str">
        <f>IF(Table1_1[[#This Row],[Age]]&lt;30,"Young",IF(Table1_1[[#This Row],[Age]]&lt;50,"Middle aged","Senior citizen"))</f>
        <v>Middle aged</v>
      </c>
      <c r="R651" s="7">
        <f>IF(Table1_1[[#This Row],[Marriedarital SingletatuSingle]]="M",Table1_1[[#This Row],[Children]]+2,Table1_1[[#This Row],[Children]]+1)</f>
        <v>1</v>
      </c>
      <c r="S651" s="4" t="str">
        <f>IF(Table1_1[[#This Row],[Cars]]=0,"No","Yes")</f>
        <v>Yes</v>
      </c>
      <c r="T651" s="6" t="str">
        <f>IF(AND(Table1_1[[#This Row],[Income]]&gt;50000,Table1_1[[#This Row],[Home Owner]]="Yes"),"High stability","Low stability")</f>
        <v>Low stability</v>
      </c>
      <c r="U651" s="3">
        <f>Table1_1[[#This Row],[Income]]/Table1_1[[#This Row],[Family size]]</f>
        <v>70000</v>
      </c>
      <c r="V651" s="6" t="str">
        <f>IF(Table1_1[[#This Row],[Occupation]]="Skilled manual","Blue collar",IF(Table1_1[[#This Row],[Occupation]]="Manual","Blue collar","White collar"))</f>
        <v>White collar</v>
      </c>
    </row>
    <row r="652" spans="1:22" x14ac:dyDescent="0.3">
      <c r="A652" t="s">
        <v>686</v>
      </c>
      <c r="B652" s="6" t="s">
        <v>1044</v>
      </c>
      <c r="C652" s="6" t="s">
        <v>1045</v>
      </c>
      <c r="D652" s="3">
        <v>70000</v>
      </c>
      <c r="E652">
        <v>5</v>
      </c>
      <c r="F652" s="6" t="s">
        <v>31</v>
      </c>
      <c r="G652" s="6" t="s">
        <v>28</v>
      </c>
      <c r="H652" s="6" t="s">
        <v>15</v>
      </c>
      <c r="I652">
        <v>2</v>
      </c>
      <c r="J652" t="s">
        <v>30</v>
      </c>
      <c r="K6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652" s="6" t="s">
        <v>32</v>
      </c>
      <c r="M652" s="7">
        <v>67</v>
      </c>
      <c r="N652" t="s">
        <v>15</v>
      </c>
      <c r="O652" s="9" t="str">
        <f>IF(Table1_1[[#This Row],[Purchased Bike]]="yes","1","0")</f>
        <v>1</v>
      </c>
      <c r="P652" s="4" t="str">
        <f>IF(Table1_1[[#This Row],[Income]]&lt;=30000,"Low ",IF(Table1_1[[#This Row],[Income]]&lt;=70000,"Middle","High"))</f>
        <v>Middle</v>
      </c>
      <c r="Q652" s="6" t="str">
        <f>IF(Table1_1[[#This Row],[Age]]&lt;30,"Young",IF(Table1_1[[#This Row],[Age]]&lt;50,"Middle aged","Senior citizen"))</f>
        <v>Senior citizen</v>
      </c>
      <c r="R652" s="7">
        <f>IF(Table1_1[[#This Row],[Marriedarital SingletatuSingle]]="M",Table1_1[[#This Row],[Children]]+2,Table1_1[[#This Row],[Children]]+1)</f>
        <v>6</v>
      </c>
      <c r="S652" s="4" t="str">
        <f>IF(Table1_1[[#This Row],[Cars]]=0,"No","Yes")</f>
        <v>Yes</v>
      </c>
      <c r="T652" s="6" t="str">
        <f>IF(AND(Table1_1[[#This Row],[Income]]&gt;50000,Table1_1[[#This Row],[Home Owner]]="Yes"),"High stability","Low stability")</f>
        <v>High stability</v>
      </c>
      <c r="U652" s="3">
        <f>Table1_1[[#This Row],[Income]]/Table1_1[[#This Row],[Family size]]</f>
        <v>11666.666666666666</v>
      </c>
      <c r="V652" s="6" t="str">
        <f>IF(Table1_1[[#This Row],[Occupation]]="Skilled manual","Blue collar",IF(Table1_1[[#This Row],[Occupation]]="Manual","Blue collar","White collar"))</f>
        <v>White collar</v>
      </c>
    </row>
    <row r="653" spans="1:22" x14ac:dyDescent="0.3">
      <c r="A653" t="s">
        <v>687</v>
      </c>
      <c r="B653" s="6" t="s">
        <v>1044</v>
      </c>
      <c r="C653" s="6" t="s">
        <v>1046</v>
      </c>
      <c r="D653" s="3">
        <v>60000</v>
      </c>
      <c r="E653">
        <v>0</v>
      </c>
      <c r="F653" s="6" t="s">
        <v>19</v>
      </c>
      <c r="G653" s="6" t="s">
        <v>21</v>
      </c>
      <c r="H653" s="6" t="s">
        <v>18</v>
      </c>
      <c r="I653">
        <v>2</v>
      </c>
      <c r="J653" t="s">
        <v>26</v>
      </c>
      <c r="K6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53" s="6" t="s">
        <v>32</v>
      </c>
      <c r="M653" s="7">
        <v>32</v>
      </c>
      <c r="N653" t="s">
        <v>15</v>
      </c>
      <c r="O653" s="9" t="str">
        <f>IF(Table1_1[[#This Row],[Purchased Bike]]="yes","1","0")</f>
        <v>1</v>
      </c>
      <c r="P653" s="4" t="str">
        <f>IF(Table1_1[[#This Row],[Income]]&lt;=30000,"Low ",IF(Table1_1[[#This Row],[Income]]&lt;=70000,"Middle","High"))</f>
        <v>Middle</v>
      </c>
      <c r="Q653" s="6" t="str">
        <f>IF(Table1_1[[#This Row],[Age]]&lt;30,"Young",IF(Table1_1[[#This Row],[Age]]&lt;50,"Middle aged","Senior citizen"))</f>
        <v>Middle aged</v>
      </c>
      <c r="R653" s="7">
        <f>IF(Table1_1[[#This Row],[Marriedarital SingletatuSingle]]="M",Table1_1[[#This Row],[Children]]+2,Table1_1[[#This Row],[Children]]+1)</f>
        <v>1</v>
      </c>
      <c r="S653" s="4" t="str">
        <f>IF(Table1_1[[#This Row],[Cars]]=0,"No","Yes")</f>
        <v>Yes</v>
      </c>
      <c r="T653" s="6" t="str">
        <f>IF(AND(Table1_1[[#This Row],[Income]]&gt;50000,Table1_1[[#This Row],[Home Owner]]="Yes"),"High stability","Low stability")</f>
        <v>Low stability</v>
      </c>
      <c r="U653" s="3">
        <f>Table1_1[[#This Row],[Income]]/Table1_1[[#This Row],[Family size]]</f>
        <v>60000</v>
      </c>
      <c r="V653" s="6" t="str">
        <f>IF(Table1_1[[#This Row],[Occupation]]="Skilled manual","Blue collar",IF(Table1_1[[#This Row],[Occupation]]="Manual","Blue collar","White collar"))</f>
        <v>White collar</v>
      </c>
    </row>
    <row r="654" spans="1:22" x14ac:dyDescent="0.3">
      <c r="A654" t="s">
        <v>688</v>
      </c>
      <c r="B654" s="6" t="s">
        <v>1042</v>
      </c>
      <c r="C654" s="6" t="s">
        <v>1046</v>
      </c>
      <c r="D654" s="3">
        <v>70000</v>
      </c>
      <c r="E654">
        <v>5</v>
      </c>
      <c r="F654" s="6" t="s">
        <v>19</v>
      </c>
      <c r="G654" s="6" t="s">
        <v>21</v>
      </c>
      <c r="H654" s="6" t="s">
        <v>18</v>
      </c>
      <c r="I654">
        <v>3</v>
      </c>
      <c r="J654" t="s">
        <v>23</v>
      </c>
      <c r="K6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54" s="6" t="s">
        <v>32</v>
      </c>
      <c r="M654" s="7">
        <v>45</v>
      </c>
      <c r="N654" t="s">
        <v>18</v>
      </c>
      <c r="O654" s="9" t="str">
        <f>IF(Table1_1[[#This Row],[Purchased Bike]]="yes","1","0")</f>
        <v>0</v>
      </c>
      <c r="P654" s="4" t="str">
        <f>IF(Table1_1[[#This Row],[Income]]&lt;=30000,"Low ",IF(Table1_1[[#This Row],[Income]]&lt;=70000,"Middle","High"))</f>
        <v>Middle</v>
      </c>
      <c r="Q654" s="6" t="str">
        <f>IF(Table1_1[[#This Row],[Age]]&lt;30,"Young",IF(Table1_1[[#This Row],[Age]]&lt;50,"Middle aged","Senior citizen"))</f>
        <v>Middle aged</v>
      </c>
      <c r="R654" s="7">
        <f>IF(Table1_1[[#This Row],[Marriedarital SingletatuSingle]]="M",Table1_1[[#This Row],[Children]]+2,Table1_1[[#This Row],[Children]]+1)</f>
        <v>6</v>
      </c>
      <c r="S654" s="4" t="str">
        <f>IF(Table1_1[[#This Row],[Cars]]=0,"No","Yes")</f>
        <v>Yes</v>
      </c>
      <c r="T654" s="6" t="str">
        <f>IF(AND(Table1_1[[#This Row],[Income]]&gt;50000,Table1_1[[#This Row],[Home Owner]]="Yes"),"High stability","Low stability")</f>
        <v>Low stability</v>
      </c>
      <c r="U654" s="3">
        <f>Table1_1[[#This Row],[Income]]/Table1_1[[#This Row],[Family size]]</f>
        <v>11666.666666666666</v>
      </c>
      <c r="V654" s="6" t="str">
        <f>IF(Table1_1[[#This Row],[Occupation]]="Skilled manual","Blue collar",IF(Table1_1[[#This Row],[Occupation]]="Manual","Blue collar","White collar"))</f>
        <v>White collar</v>
      </c>
    </row>
    <row r="655" spans="1:22" x14ac:dyDescent="0.3">
      <c r="A655" t="s">
        <v>689</v>
      </c>
      <c r="B655" s="6" t="s">
        <v>1044</v>
      </c>
      <c r="C655" s="6" t="s">
        <v>1046</v>
      </c>
      <c r="D655" s="3">
        <v>30000</v>
      </c>
      <c r="E655">
        <v>0</v>
      </c>
      <c r="F655" s="6" t="s">
        <v>27</v>
      </c>
      <c r="G655" s="6" t="s">
        <v>14</v>
      </c>
      <c r="H655" s="6" t="s">
        <v>18</v>
      </c>
      <c r="I655">
        <v>2</v>
      </c>
      <c r="J655" t="s">
        <v>26</v>
      </c>
      <c r="K6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55" s="6" t="s">
        <v>32</v>
      </c>
      <c r="M655" s="7">
        <v>31</v>
      </c>
      <c r="N655" t="s">
        <v>15</v>
      </c>
      <c r="O655" s="9" t="str">
        <f>IF(Table1_1[[#This Row],[Purchased Bike]]="yes","1","0")</f>
        <v>1</v>
      </c>
      <c r="P655" s="4" t="str">
        <f>IF(Table1_1[[#This Row],[Income]]&lt;=30000,"Low ",IF(Table1_1[[#This Row],[Income]]&lt;=70000,"Middle","High"))</f>
        <v xml:space="preserve">Low </v>
      </c>
      <c r="Q655" s="6" t="str">
        <f>IF(Table1_1[[#This Row],[Age]]&lt;30,"Young",IF(Table1_1[[#This Row],[Age]]&lt;50,"Middle aged","Senior citizen"))</f>
        <v>Middle aged</v>
      </c>
      <c r="R655" s="7">
        <f>IF(Table1_1[[#This Row],[Marriedarital SingletatuSingle]]="M",Table1_1[[#This Row],[Children]]+2,Table1_1[[#This Row],[Children]]+1)</f>
        <v>1</v>
      </c>
      <c r="S655" s="4" t="str">
        <f>IF(Table1_1[[#This Row],[Cars]]=0,"No","Yes")</f>
        <v>Yes</v>
      </c>
      <c r="T655" s="6" t="str">
        <f>IF(AND(Table1_1[[#This Row],[Income]]&gt;50000,Table1_1[[#This Row],[Home Owner]]="Yes"),"High stability","Low stability")</f>
        <v>Low stability</v>
      </c>
      <c r="U655" s="3">
        <f>Table1_1[[#This Row],[Income]]/Table1_1[[#This Row],[Family size]]</f>
        <v>30000</v>
      </c>
      <c r="V655" s="6" t="str">
        <f>IF(Table1_1[[#This Row],[Occupation]]="Skilled manual","Blue collar",IF(Table1_1[[#This Row],[Occupation]]="Manual","Blue collar","White collar"))</f>
        <v>Blue collar</v>
      </c>
    </row>
    <row r="656" spans="1:22" x14ac:dyDescent="0.3">
      <c r="A656" t="s">
        <v>690</v>
      </c>
      <c r="B656" s="6" t="s">
        <v>1044</v>
      </c>
      <c r="C656" s="6" t="s">
        <v>1046</v>
      </c>
      <c r="D656" s="3">
        <v>40000</v>
      </c>
      <c r="E656">
        <v>0</v>
      </c>
      <c r="F656" s="6" t="s">
        <v>27</v>
      </c>
      <c r="G656" s="6" t="s">
        <v>14</v>
      </c>
      <c r="H656" s="6" t="s">
        <v>18</v>
      </c>
      <c r="I656">
        <v>2</v>
      </c>
      <c r="J656" t="s">
        <v>26</v>
      </c>
      <c r="K6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56" s="6" t="s">
        <v>32</v>
      </c>
      <c r="M656" s="7">
        <v>31</v>
      </c>
      <c r="N656" t="s">
        <v>15</v>
      </c>
      <c r="O656" s="9" t="str">
        <f>IF(Table1_1[[#This Row],[Purchased Bike]]="yes","1","0")</f>
        <v>1</v>
      </c>
      <c r="P656" s="4" t="str">
        <f>IF(Table1_1[[#This Row],[Income]]&lt;=30000,"Low ",IF(Table1_1[[#This Row],[Income]]&lt;=70000,"Middle","High"))</f>
        <v>Middle</v>
      </c>
      <c r="Q656" s="6" t="str">
        <f>IF(Table1_1[[#This Row],[Age]]&lt;30,"Young",IF(Table1_1[[#This Row],[Age]]&lt;50,"Middle aged","Senior citizen"))</f>
        <v>Middle aged</v>
      </c>
      <c r="R656" s="7">
        <f>IF(Table1_1[[#This Row],[Marriedarital SingletatuSingle]]="M",Table1_1[[#This Row],[Children]]+2,Table1_1[[#This Row],[Children]]+1)</f>
        <v>1</v>
      </c>
      <c r="S656" s="4" t="str">
        <f>IF(Table1_1[[#This Row],[Cars]]=0,"No","Yes")</f>
        <v>Yes</v>
      </c>
      <c r="T656" s="6" t="str">
        <f>IF(AND(Table1_1[[#This Row],[Income]]&gt;50000,Table1_1[[#This Row],[Home Owner]]="Yes"),"High stability","Low stability")</f>
        <v>Low stability</v>
      </c>
      <c r="U656" s="3">
        <f>Table1_1[[#This Row],[Income]]/Table1_1[[#This Row],[Family size]]</f>
        <v>40000</v>
      </c>
      <c r="V656" s="6" t="str">
        <f>IF(Table1_1[[#This Row],[Occupation]]="Skilled manual","Blue collar",IF(Table1_1[[#This Row],[Occupation]]="Manual","Blue collar","White collar"))</f>
        <v>Blue collar</v>
      </c>
    </row>
    <row r="657" spans="1:22" x14ac:dyDescent="0.3">
      <c r="A657" t="s">
        <v>691</v>
      </c>
      <c r="B657" s="6" t="s">
        <v>1042</v>
      </c>
      <c r="C657" s="6" t="s">
        <v>1045</v>
      </c>
      <c r="D657" s="3">
        <v>40000</v>
      </c>
      <c r="E657">
        <v>3</v>
      </c>
      <c r="F657" s="6" t="s">
        <v>19</v>
      </c>
      <c r="G657" s="6" t="s">
        <v>20</v>
      </c>
      <c r="H657" s="6" t="s">
        <v>15</v>
      </c>
      <c r="I657">
        <v>1</v>
      </c>
      <c r="J657" t="s">
        <v>16</v>
      </c>
      <c r="K6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57" s="6" t="s">
        <v>32</v>
      </c>
      <c r="M657" s="7">
        <v>31</v>
      </c>
      <c r="N657" t="s">
        <v>18</v>
      </c>
      <c r="O657" s="9" t="str">
        <f>IF(Table1_1[[#This Row],[Purchased Bike]]="yes","1","0")</f>
        <v>0</v>
      </c>
      <c r="P657" s="4" t="str">
        <f>IF(Table1_1[[#This Row],[Income]]&lt;=30000,"Low ",IF(Table1_1[[#This Row],[Income]]&lt;=70000,"Middle","High"))</f>
        <v>Middle</v>
      </c>
      <c r="Q657" s="6" t="str">
        <f>IF(Table1_1[[#This Row],[Age]]&lt;30,"Young",IF(Table1_1[[#This Row],[Age]]&lt;50,"Middle aged","Senior citizen"))</f>
        <v>Middle aged</v>
      </c>
      <c r="R657" s="7">
        <f>IF(Table1_1[[#This Row],[Marriedarital SingletatuSingle]]="M",Table1_1[[#This Row],[Children]]+2,Table1_1[[#This Row],[Children]]+1)</f>
        <v>4</v>
      </c>
      <c r="S657" s="4" t="str">
        <f>IF(Table1_1[[#This Row],[Cars]]=0,"No","Yes")</f>
        <v>Yes</v>
      </c>
      <c r="T657" s="6" t="str">
        <f>IF(AND(Table1_1[[#This Row],[Income]]&gt;50000,Table1_1[[#This Row],[Home Owner]]="Yes"),"High stability","Low stability")</f>
        <v>Low stability</v>
      </c>
      <c r="U657" s="3">
        <f>Table1_1[[#This Row],[Income]]/Table1_1[[#This Row],[Family size]]</f>
        <v>10000</v>
      </c>
      <c r="V657" s="6" t="str">
        <f>IF(Table1_1[[#This Row],[Occupation]]="Skilled manual","Blue collar",IF(Table1_1[[#This Row],[Occupation]]="Manual","Blue collar","White collar"))</f>
        <v>White collar</v>
      </c>
    </row>
    <row r="658" spans="1:22" x14ac:dyDescent="0.3">
      <c r="A658" t="s">
        <v>692</v>
      </c>
      <c r="B658" s="6" t="s">
        <v>1042</v>
      </c>
      <c r="C658" s="6" t="s">
        <v>1046</v>
      </c>
      <c r="D658" s="3">
        <v>60000</v>
      </c>
      <c r="E658">
        <v>2</v>
      </c>
      <c r="F658" s="6" t="s">
        <v>27</v>
      </c>
      <c r="G658" s="6" t="s">
        <v>21</v>
      </c>
      <c r="H658" s="6" t="s">
        <v>18</v>
      </c>
      <c r="I658">
        <v>2</v>
      </c>
      <c r="J658" t="s">
        <v>23</v>
      </c>
      <c r="K6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58" s="6" t="s">
        <v>32</v>
      </c>
      <c r="M658" s="7">
        <v>50</v>
      </c>
      <c r="N658" t="s">
        <v>18</v>
      </c>
      <c r="O658" s="9" t="str">
        <f>IF(Table1_1[[#This Row],[Purchased Bike]]="yes","1","0")</f>
        <v>0</v>
      </c>
      <c r="P658" s="4" t="str">
        <f>IF(Table1_1[[#This Row],[Income]]&lt;=30000,"Low ",IF(Table1_1[[#This Row],[Income]]&lt;=70000,"Middle","High"))</f>
        <v>Middle</v>
      </c>
      <c r="Q658" s="6" t="str">
        <f>IF(Table1_1[[#This Row],[Age]]&lt;30,"Young",IF(Table1_1[[#This Row],[Age]]&lt;50,"Middle aged","Senior citizen"))</f>
        <v>Senior citizen</v>
      </c>
      <c r="R658" s="7">
        <f>IF(Table1_1[[#This Row],[Marriedarital SingletatuSingle]]="M",Table1_1[[#This Row],[Children]]+2,Table1_1[[#This Row],[Children]]+1)</f>
        <v>3</v>
      </c>
      <c r="S658" s="4" t="str">
        <f>IF(Table1_1[[#This Row],[Cars]]=0,"No","Yes")</f>
        <v>Yes</v>
      </c>
      <c r="T658" s="6" t="str">
        <f>IF(AND(Table1_1[[#This Row],[Income]]&gt;50000,Table1_1[[#This Row],[Home Owner]]="Yes"),"High stability","Low stability")</f>
        <v>Low stability</v>
      </c>
      <c r="U658" s="3">
        <f>Table1_1[[#This Row],[Income]]/Table1_1[[#This Row],[Family size]]</f>
        <v>20000</v>
      </c>
      <c r="V658" s="6" t="str">
        <f>IF(Table1_1[[#This Row],[Occupation]]="Skilled manual","Blue collar",IF(Table1_1[[#This Row],[Occupation]]="Manual","Blue collar","White collar"))</f>
        <v>White collar</v>
      </c>
    </row>
    <row r="659" spans="1:22" x14ac:dyDescent="0.3">
      <c r="A659" t="s">
        <v>693</v>
      </c>
      <c r="B659" s="6" t="s">
        <v>1042</v>
      </c>
      <c r="C659" s="6" t="s">
        <v>1046</v>
      </c>
      <c r="D659" s="3">
        <v>70000</v>
      </c>
      <c r="E659">
        <v>1</v>
      </c>
      <c r="F659" s="6" t="s">
        <v>19</v>
      </c>
      <c r="G659" s="6" t="s">
        <v>14</v>
      </c>
      <c r="H659" s="6" t="s">
        <v>15</v>
      </c>
      <c r="I659">
        <v>1</v>
      </c>
      <c r="J659" t="s">
        <v>16</v>
      </c>
      <c r="K6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59" s="6" t="s">
        <v>32</v>
      </c>
      <c r="M659" s="7">
        <v>44</v>
      </c>
      <c r="N659" t="s">
        <v>18</v>
      </c>
      <c r="O659" s="9" t="str">
        <f>IF(Table1_1[[#This Row],[Purchased Bike]]="yes","1","0")</f>
        <v>0</v>
      </c>
      <c r="P659" s="4" t="str">
        <f>IF(Table1_1[[#This Row],[Income]]&lt;=30000,"Low ",IF(Table1_1[[#This Row],[Income]]&lt;=70000,"Middle","High"))</f>
        <v>Middle</v>
      </c>
      <c r="Q659" s="6" t="str">
        <f>IF(Table1_1[[#This Row],[Age]]&lt;30,"Young",IF(Table1_1[[#This Row],[Age]]&lt;50,"Middle aged","Senior citizen"))</f>
        <v>Middle aged</v>
      </c>
      <c r="R659" s="7">
        <f>IF(Table1_1[[#This Row],[Marriedarital SingletatuSingle]]="M",Table1_1[[#This Row],[Children]]+2,Table1_1[[#This Row],[Children]]+1)</f>
        <v>2</v>
      </c>
      <c r="S659" s="4" t="str">
        <f>IF(Table1_1[[#This Row],[Cars]]=0,"No","Yes")</f>
        <v>Yes</v>
      </c>
      <c r="T659" s="6" t="str">
        <f>IF(AND(Table1_1[[#This Row],[Income]]&gt;50000,Table1_1[[#This Row],[Home Owner]]="Yes"),"High stability","Low stability")</f>
        <v>High stability</v>
      </c>
      <c r="U659" s="3">
        <f>Table1_1[[#This Row],[Income]]/Table1_1[[#This Row],[Family size]]</f>
        <v>35000</v>
      </c>
      <c r="V659" s="6" t="str">
        <f>IF(Table1_1[[#This Row],[Occupation]]="Skilled manual","Blue collar",IF(Table1_1[[#This Row],[Occupation]]="Manual","Blue collar","White collar"))</f>
        <v>Blue collar</v>
      </c>
    </row>
    <row r="660" spans="1:22" x14ac:dyDescent="0.3">
      <c r="A660" t="s">
        <v>694</v>
      </c>
      <c r="B660" s="6" t="s">
        <v>1044</v>
      </c>
      <c r="C660" s="6" t="s">
        <v>1046</v>
      </c>
      <c r="D660" s="3">
        <v>50000</v>
      </c>
      <c r="E660">
        <v>2</v>
      </c>
      <c r="F660" s="6" t="s">
        <v>13</v>
      </c>
      <c r="G660" s="6" t="s">
        <v>14</v>
      </c>
      <c r="H660" s="6" t="s">
        <v>15</v>
      </c>
      <c r="I660">
        <v>1</v>
      </c>
      <c r="J660" t="s">
        <v>22</v>
      </c>
      <c r="K6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60" s="6" t="s">
        <v>32</v>
      </c>
      <c r="M660" s="7">
        <v>38</v>
      </c>
      <c r="N660" t="s">
        <v>15</v>
      </c>
      <c r="O660" s="9" t="str">
        <f>IF(Table1_1[[#This Row],[Purchased Bike]]="yes","1","0")</f>
        <v>1</v>
      </c>
      <c r="P660" s="4" t="str">
        <f>IF(Table1_1[[#This Row],[Income]]&lt;=30000,"Low ",IF(Table1_1[[#This Row],[Income]]&lt;=70000,"Middle","High"))</f>
        <v>Middle</v>
      </c>
      <c r="Q660" s="6" t="str">
        <f>IF(Table1_1[[#This Row],[Age]]&lt;30,"Young",IF(Table1_1[[#This Row],[Age]]&lt;50,"Middle aged","Senior citizen"))</f>
        <v>Middle aged</v>
      </c>
      <c r="R660" s="7">
        <f>IF(Table1_1[[#This Row],[Marriedarital SingletatuSingle]]="M",Table1_1[[#This Row],[Children]]+2,Table1_1[[#This Row],[Children]]+1)</f>
        <v>3</v>
      </c>
      <c r="S660" s="4" t="str">
        <f>IF(Table1_1[[#This Row],[Cars]]=0,"No","Yes")</f>
        <v>Yes</v>
      </c>
      <c r="T660" s="6" t="str">
        <f>IF(AND(Table1_1[[#This Row],[Income]]&gt;50000,Table1_1[[#This Row],[Home Owner]]="Yes"),"High stability","Low stability")</f>
        <v>Low stability</v>
      </c>
      <c r="U660" s="3">
        <f>Table1_1[[#This Row],[Income]]/Table1_1[[#This Row],[Family size]]</f>
        <v>16666.666666666668</v>
      </c>
      <c r="V660" s="6" t="str">
        <f>IF(Table1_1[[#This Row],[Occupation]]="Skilled manual","Blue collar",IF(Table1_1[[#This Row],[Occupation]]="Manual","Blue collar","White collar"))</f>
        <v>Blue collar</v>
      </c>
    </row>
    <row r="661" spans="1:22" x14ac:dyDescent="0.3">
      <c r="A661" t="s">
        <v>695</v>
      </c>
      <c r="B661" s="6" t="s">
        <v>1044</v>
      </c>
      <c r="C661" s="6" t="s">
        <v>1045</v>
      </c>
      <c r="D661" s="3">
        <v>60000</v>
      </c>
      <c r="E661">
        <v>4</v>
      </c>
      <c r="F661" s="6" t="s">
        <v>13</v>
      </c>
      <c r="G661" s="6" t="s">
        <v>28</v>
      </c>
      <c r="H661" s="6" t="s">
        <v>15</v>
      </c>
      <c r="I661">
        <v>2</v>
      </c>
      <c r="J661" t="s">
        <v>30</v>
      </c>
      <c r="K6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661" s="6" t="s">
        <v>32</v>
      </c>
      <c r="M661" s="7">
        <v>63</v>
      </c>
      <c r="N661" t="s">
        <v>18</v>
      </c>
      <c r="O661" s="9" t="str">
        <f>IF(Table1_1[[#This Row],[Purchased Bike]]="yes","1","0")</f>
        <v>0</v>
      </c>
      <c r="P661" s="4" t="str">
        <f>IF(Table1_1[[#This Row],[Income]]&lt;=30000,"Low ",IF(Table1_1[[#This Row],[Income]]&lt;=70000,"Middle","High"))</f>
        <v>Middle</v>
      </c>
      <c r="Q661" s="6" t="str">
        <f>IF(Table1_1[[#This Row],[Age]]&lt;30,"Young",IF(Table1_1[[#This Row],[Age]]&lt;50,"Middle aged","Senior citizen"))</f>
        <v>Senior citizen</v>
      </c>
      <c r="R661" s="7">
        <f>IF(Table1_1[[#This Row],[Marriedarital SingletatuSingle]]="M",Table1_1[[#This Row],[Children]]+2,Table1_1[[#This Row],[Children]]+1)</f>
        <v>5</v>
      </c>
      <c r="S661" s="4" t="str">
        <f>IF(Table1_1[[#This Row],[Cars]]=0,"No","Yes")</f>
        <v>Yes</v>
      </c>
      <c r="T661" s="6" t="str">
        <f>IF(AND(Table1_1[[#This Row],[Income]]&gt;50000,Table1_1[[#This Row],[Home Owner]]="Yes"),"High stability","Low stability")</f>
        <v>High stability</v>
      </c>
      <c r="U661" s="3">
        <f>Table1_1[[#This Row],[Income]]/Table1_1[[#This Row],[Family size]]</f>
        <v>12000</v>
      </c>
      <c r="V661" s="6" t="str">
        <f>IF(Table1_1[[#This Row],[Occupation]]="Skilled manual","Blue collar",IF(Table1_1[[#This Row],[Occupation]]="Manual","Blue collar","White collar"))</f>
        <v>White collar</v>
      </c>
    </row>
    <row r="662" spans="1:22" x14ac:dyDescent="0.3">
      <c r="A662" t="s">
        <v>696</v>
      </c>
      <c r="B662" s="6" t="s">
        <v>1042</v>
      </c>
      <c r="C662" s="6" t="s">
        <v>1045</v>
      </c>
      <c r="D662" s="3">
        <v>60000</v>
      </c>
      <c r="E662">
        <v>1</v>
      </c>
      <c r="F662" s="6" t="s">
        <v>31</v>
      </c>
      <c r="G662" s="6" t="s">
        <v>21</v>
      </c>
      <c r="H662" s="6" t="s">
        <v>15</v>
      </c>
      <c r="I662">
        <v>0</v>
      </c>
      <c r="J662" t="s">
        <v>22</v>
      </c>
      <c r="K6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62" s="6" t="s">
        <v>32</v>
      </c>
      <c r="M662" s="7">
        <v>36</v>
      </c>
      <c r="N662" t="s">
        <v>15</v>
      </c>
      <c r="O662" s="9" t="str">
        <f>IF(Table1_1[[#This Row],[Purchased Bike]]="yes","1","0")</f>
        <v>1</v>
      </c>
      <c r="P662" s="4" t="str">
        <f>IF(Table1_1[[#This Row],[Income]]&lt;=30000,"Low ",IF(Table1_1[[#This Row],[Income]]&lt;=70000,"Middle","High"))</f>
        <v>Middle</v>
      </c>
      <c r="Q662" s="6" t="str">
        <f>IF(Table1_1[[#This Row],[Age]]&lt;30,"Young",IF(Table1_1[[#This Row],[Age]]&lt;50,"Middle aged","Senior citizen"))</f>
        <v>Middle aged</v>
      </c>
      <c r="R662" s="7">
        <f>IF(Table1_1[[#This Row],[Marriedarital SingletatuSingle]]="M",Table1_1[[#This Row],[Children]]+2,Table1_1[[#This Row],[Children]]+1)</f>
        <v>2</v>
      </c>
      <c r="S662" s="4" t="str">
        <f>IF(Table1_1[[#This Row],[Cars]]=0,"No","Yes")</f>
        <v>No</v>
      </c>
      <c r="T662" s="6" t="str">
        <f>IF(AND(Table1_1[[#This Row],[Income]]&gt;50000,Table1_1[[#This Row],[Home Owner]]="Yes"),"High stability","Low stability")</f>
        <v>High stability</v>
      </c>
      <c r="U662" s="3">
        <f>Table1_1[[#This Row],[Income]]/Table1_1[[#This Row],[Family size]]</f>
        <v>30000</v>
      </c>
      <c r="V662" s="6" t="str">
        <f>IF(Table1_1[[#This Row],[Occupation]]="Skilled manual","Blue collar",IF(Table1_1[[#This Row],[Occupation]]="Manual","Blue collar","White collar"))</f>
        <v>White collar</v>
      </c>
    </row>
    <row r="663" spans="1:22" x14ac:dyDescent="0.3">
      <c r="A663" t="s">
        <v>697</v>
      </c>
      <c r="B663" s="6" t="s">
        <v>1044</v>
      </c>
      <c r="C663" s="6" t="s">
        <v>1046</v>
      </c>
      <c r="D663" s="3">
        <v>40000</v>
      </c>
      <c r="E663">
        <v>0</v>
      </c>
      <c r="F663" s="6" t="s">
        <v>27</v>
      </c>
      <c r="G663" s="6" t="s">
        <v>14</v>
      </c>
      <c r="H663" s="6" t="s">
        <v>18</v>
      </c>
      <c r="I663">
        <v>2</v>
      </c>
      <c r="J663" t="s">
        <v>16</v>
      </c>
      <c r="K6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63" s="6" t="s">
        <v>32</v>
      </c>
      <c r="M663" s="7">
        <v>28</v>
      </c>
      <c r="N663" t="s">
        <v>15</v>
      </c>
      <c r="O663" s="9" t="str">
        <f>IF(Table1_1[[#This Row],[Purchased Bike]]="yes","1","0")</f>
        <v>1</v>
      </c>
      <c r="P663" s="4" t="str">
        <f>IF(Table1_1[[#This Row],[Income]]&lt;=30000,"Low ",IF(Table1_1[[#This Row],[Income]]&lt;=70000,"Middle","High"))</f>
        <v>Middle</v>
      </c>
      <c r="Q663" s="6" t="str">
        <f>IF(Table1_1[[#This Row],[Age]]&lt;30,"Young",IF(Table1_1[[#This Row],[Age]]&lt;50,"Middle aged","Senior citizen"))</f>
        <v>Young</v>
      </c>
      <c r="R663" s="7">
        <f>IF(Table1_1[[#This Row],[Marriedarital SingletatuSingle]]="M",Table1_1[[#This Row],[Children]]+2,Table1_1[[#This Row],[Children]]+1)</f>
        <v>1</v>
      </c>
      <c r="S663" s="4" t="str">
        <f>IF(Table1_1[[#This Row],[Cars]]=0,"No","Yes")</f>
        <v>Yes</v>
      </c>
      <c r="T663" s="6" t="str">
        <f>IF(AND(Table1_1[[#This Row],[Income]]&gt;50000,Table1_1[[#This Row],[Home Owner]]="Yes"),"High stability","Low stability")</f>
        <v>Low stability</v>
      </c>
      <c r="U663" s="3">
        <f>Table1_1[[#This Row],[Income]]/Table1_1[[#This Row],[Family size]]</f>
        <v>40000</v>
      </c>
      <c r="V663" s="6" t="str">
        <f>IF(Table1_1[[#This Row],[Occupation]]="Skilled manual","Blue collar",IF(Table1_1[[#This Row],[Occupation]]="Manual","Blue collar","White collar"))</f>
        <v>Blue collar</v>
      </c>
    </row>
    <row r="664" spans="1:22" x14ac:dyDescent="0.3">
      <c r="A664" t="s">
        <v>698</v>
      </c>
      <c r="B664" s="6" t="s">
        <v>1044</v>
      </c>
      <c r="C664" s="6" t="s">
        <v>1045</v>
      </c>
      <c r="D664" s="3">
        <v>100000</v>
      </c>
      <c r="E664">
        <v>1</v>
      </c>
      <c r="F664" s="6" t="s">
        <v>19</v>
      </c>
      <c r="G664" s="6" t="s">
        <v>21</v>
      </c>
      <c r="H664" s="6" t="s">
        <v>18</v>
      </c>
      <c r="I664">
        <v>3</v>
      </c>
      <c r="J664" t="s">
        <v>26</v>
      </c>
      <c r="K6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64" s="6" t="s">
        <v>32</v>
      </c>
      <c r="M664" s="7">
        <v>44</v>
      </c>
      <c r="N664" t="s">
        <v>18</v>
      </c>
      <c r="O664" s="9" t="str">
        <f>IF(Table1_1[[#This Row],[Purchased Bike]]="yes","1","0")</f>
        <v>0</v>
      </c>
      <c r="P664" s="4" t="str">
        <f>IF(Table1_1[[#This Row],[Income]]&lt;=30000,"Low ",IF(Table1_1[[#This Row],[Income]]&lt;=70000,"Middle","High"))</f>
        <v>High</v>
      </c>
      <c r="Q664" s="6" t="str">
        <f>IF(Table1_1[[#This Row],[Age]]&lt;30,"Young",IF(Table1_1[[#This Row],[Age]]&lt;50,"Middle aged","Senior citizen"))</f>
        <v>Middle aged</v>
      </c>
      <c r="R664" s="7">
        <f>IF(Table1_1[[#This Row],[Marriedarital SingletatuSingle]]="M",Table1_1[[#This Row],[Children]]+2,Table1_1[[#This Row],[Children]]+1)</f>
        <v>2</v>
      </c>
      <c r="S664" s="4" t="str">
        <f>IF(Table1_1[[#This Row],[Cars]]=0,"No","Yes")</f>
        <v>Yes</v>
      </c>
      <c r="T664" s="6" t="str">
        <f>IF(AND(Table1_1[[#This Row],[Income]]&gt;50000,Table1_1[[#This Row],[Home Owner]]="Yes"),"High stability","Low stability")</f>
        <v>Low stability</v>
      </c>
      <c r="U664" s="3">
        <f>Table1_1[[#This Row],[Income]]/Table1_1[[#This Row],[Family size]]</f>
        <v>50000</v>
      </c>
      <c r="V664" s="6" t="str">
        <f>IF(Table1_1[[#This Row],[Occupation]]="Skilled manual","Blue collar",IF(Table1_1[[#This Row],[Occupation]]="Manual","Blue collar","White collar"))</f>
        <v>White collar</v>
      </c>
    </row>
    <row r="665" spans="1:22" x14ac:dyDescent="0.3">
      <c r="A665" t="s">
        <v>699</v>
      </c>
      <c r="B665" s="6" t="s">
        <v>1042</v>
      </c>
      <c r="C665" s="6" t="s">
        <v>1045</v>
      </c>
      <c r="D665" s="3">
        <v>70000</v>
      </c>
      <c r="E665">
        <v>5</v>
      </c>
      <c r="F665" s="6" t="s">
        <v>31</v>
      </c>
      <c r="G665" s="6" t="s">
        <v>21</v>
      </c>
      <c r="H665" s="6" t="s">
        <v>15</v>
      </c>
      <c r="I665">
        <v>1</v>
      </c>
      <c r="J665" t="s">
        <v>16</v>
      </c>
      <c r="K6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65" s="6" t="s">
        <v>32</v>
      </c>
      <c r="M665" s="7">
        <v>47</v>
      </c>
      <c r="N665" t="s">
        <v>18</v>
      </c>
      <c r="O665" s="9" t="str">
        <f>IF(Table1_1[[#This Row],[Purchased Bike]]="yes","1","0")</f>
        <v>0</v>
      </c>
      <c r="P665" s="4" t="str">
        <f>IF(Table1_1[[#This Row],[Income]]&lt;=30000,"Low ",IF(Table1_1[[#This Row],[Income]]&lt;=70000,"Middle","High"))</f>
        <v>Middle</v>
      </c>
      <c r="Q665" s="6" t="str">
        <f>IF(Table1_1[[#This Row],[Age]]&lt;30,"Young",IF(Table1_1[[#This Row],[Age]]&lt;50,"Middle aged","Senior citizen"))</f>
        <v>Middle aged</v>
      </c>
      <c r="R665" s="7">
        <f>IF(Table1_1[[#This Row],[Marriedarital SingletatuSingle]]="M",Table1_1[[#This Row],[Children]]+2,Table1_1[[#This Row],[Children]]+1)</f>
        <v>6</v>
      </c>
      <c r="S665" s="4" t="str">
        <f>IF(Table1_1[[#This Row],[Cars]]=0,"No","Yes")</f>
        <v>Yes</v>
      </c>
      <c r="T665" s="6" t="str">
        <f>IF(AND(Table1_1[[#This Row],[Income]]&gt;50000,Table1_1[[#This Row],[Home Owner]]="Yes"),"High stability","Low stability")</f>
        <v>High stability</v>
      </c>
      <c r="U665" s="3">
        <f>Table1_1[[#This Row],[Income]]/Table1_1[[#This Row],[Family size]]</f>
        <v>11666.666666666666</v>
      </c>
      <c r="V665" s="6" t="str">
        <f>IF(Table1_1[[#This Row],[Occupation]]="Skilled manual","Blue collar",IF(Table1_1[[#This Row],[Occupation]]="Manual","Blue collar","White collar"))</f>
        <v>White collar</v>
      </c>
    </row>
    <row r="666" spans="1:22" x14ac:dyDescent="0.3">
      <c r="A666" t="s">
        <v>700</v>
      </c>
      <c r="B666" s="6" t="s">
        <v>1042</v>
      </c>
      <c r="C666" s="6" t="s">
        <v>1045</v>
      </c>
      <c r="D666" s="3">
        <v>80000</v>
      </c>
      <c r="E666">
        <v>0</v>
      </c>
      <c r="F666" s="6" t="s">
        <v>31</v>
      </c>
      <c r="G666" s="6" t="s">
        <v>14</v>
      </c>
      <c r="H666" s="6" t="s">
        <v>15</v>
      </c>
      <c r="I666">
        <v>0</v>
      </c>
      <c r="J666" t="s">
        <v>26</v>
      </c>
      <c r="K6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66" s="6" t="s">
        <v>32</v>
      </c>
      <c r="M666" s="7">
        <v>40</v>
      </c>
      <c r="N666" t="s">
        <v>15</v>
      </c>
      <c r="O666" s="9" t="str">
        <f>IF(Table1_1[[#This Row],[Purchased Bike]]="yes","1","0")</f>
        <v>1</v>
      </c>
      <c r="P666" s="4" t="str">
        <f>IF(Table1_1[[#This Row],[Income]]&lt;=30000,"Low ",IF(Table1_1[[#This Row],[Income]]&lt;=70000,"Middle","High"))</f>
        <v>High</v>
      </c>
      <c r="Q666" s="6" t="str">
        <f>IF(Table1_1[[#This Row],[Age]]&lt;30,"Young",IF(Table1_1[[#This Row],[Age]]&lt;50,"Middle aged","Senior citizen"))</f>
        <v>Middle aged</v>
      </c>
      <c r="R666" s="7">
        <f>IF(Table1_1[[#This Row],[Marriedarital SingletatuSingle]]="M",Table1_1[[#This Row],[Children]]+2,Table1_1[[#This Row],[Children]]+1)</f>
        <v>1</v>
      </c>
      <c r="S666" s="4" t="str">
        <f>IF(Table1_1[[#This Row],[Cars]]=0,"No","Yes")</f>
        <v>No</v>
      </c>
      <c r="T666" s="6" t="str">
        <f>IF(AND(Table1_1[[#This Row],[Income]]&gt;50000,Table1_1[[#This Row],[Home Owner]]="Yes"),"High stability","Low stability")</f>
        <v>High stability</v>
      </c>
      <c r="U666" s="3">
        <f>Table1_1[[#This Row],[Income]]/Table1_1[[#This Row],[Family size]]</f>
        <v>80000</v>
      </c>
      <c r="V666" s="6" t="str">
        <f>IF(Table1_1[[#This Row],[Occupation]]="Skilled manual","Blue collar",IF(Table1_1[[#This Row],[Occupation]]="Manual","Blue collar","White collar"))</f>
        <v>Blue collar</v>
      </c>
    </row>
    <row r="667" spans="1:22" x14ac:dyDescent="0.3">
      <c r="A667" t="s">
        <v>701</v>
      </c>
      <c r="B667" s="6" t="s">
        <v>1042</v>
      </c>
      <c r="C667" s="6" t="s">
        <v>1046</v>
      </c>
      <c r="D667" s="3">
        <v>130000</v>
      </c>
      <c r="E667">
        <v>1</v>
      </c>
      <c r="F667" s="6" t="s">
        <v>31</v>
      </c>
      <c r="G667" s="6" t="s">
        <v>28</v>
      </c>
      <c r="H667" s="6" t="s">
        <v>15</v>
      </c>
      <c r="I667">
        <v>4</v>
      </c>
      <c r="J667" t="s">
        <v>16</v>
      </c>
      <c r="K6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67" s="6" t="s">
        <v>32</v>
      </c>
      <c r="M667" s="7">
        <v>40</v>
      </c>
      <c r="N667" t="s">
        <v>18</v>
      </c>
      <c r="O667" s="9" t="str">
        <f>IF(Table1_1[[#This Row],[Purchased Bike]]="yes","1","0")</f>
        <v>0</v>
      </c>
      <c r="P667" s="4" t="str">
        <f>IF(Table1_1[[#This Row],[Income]]&lt;=30000,"Low ",IF(Table1_1[[#This Row],[Income]]&lt;=70000,"Middle","High"))</f>
        <v>High</v>
      </c>
      <c r="Q667" s="6" t="str">
        <f>IF(Table1_1[[#This Row],[Age]]&lt;30,"Young",IF(Table1_1[[#This Row],[Age]]&lt;50,"Middle aged","Senior citizen"))</f>
        <v>Middle aged</v>
      </c>
      <c r="R667" s="7">
        <f>IF(Table1_1[[#This Row],[Marriedarital SingletatuSingle]]="M",Table1_1[[#This Row],[Children]]+2,Table1_1[[#This Row],[Children]]+1)</f>
        <v>2</v>
      </c>
      <c r="S667" s="4" t="str">
        <f>IF(Table1_1[[#This Row],[Cars]]=0,"No","Yes")</f>
        <v>Yes</v>
      </c>
      <c r="T667" s="6" t="str">
        <f>IF(AND(Table1_1[[#This Row],[Income]]&gt;50000,Table1_1[[#This Row],[Home Owner]]="Yes"),"High stability","Low stability")</f>
        <v>High stability</v>
      </c>
      <c r="U667" s="3">
        <f>Table1_1[[#This Row],[Income]]/Table1_1[[#This Row],[Family size]]</f>
        <v>65000</v>
      </c>
      <c r="V667" s="6" t="str">
        <f>IF(Table1_1[[#This Row],[Occupation]]="Skilled manual","Blue collar",IF(Table1_1[[#This Row],[Occupation]]="Manual","Blue collar","White collar"))</f>
        <v>White collar</v>
      </c>
    </row>
    <row r="668" spans="1:22" x14ac:dyDescent="0.3">
      <c r="A668" t="s">
        <v>702</v>
      </c>
      <c r="B668" s="6" t="s">
        <v>1042</v>
      </c>
      <c r="C668" s="6" t="s">
        <v>1045</v>
      </c>
      <c r="D668" s="3">
        <v>60000</v>
      </c>
      <c r="E668">
        <v>1</v>
      </c>
      <c r="F668" s="6" t="s">
        <v>19</v>
      </c>
      <c r="G668" s="6" t="s">
        <v>14</v>
      </c>
      <c r="H668" s="6" t="s">
        <v>15</v>
      </c>
      <c r="I668">
        <v>1</v>
      </c>
      <c r="J668" t="s">
        <v>22</v>
      </c>
      <c r="K6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68" s="6" t="s">
        <v>32</v>
      </c>
      <c r="M668" s="7">
        <v>46</v>
      </c>
      <c r="N668" t="s">
        <v>15</v>
      </c>
      <c r="O668" s="9" t="str">
        <f>IF(Table1_1[[#This Row],[Purchased Bike]]="yes","1","0")</f>
        <v>1</v>
      </c>
      <c r="P668" s="4" t="str">
        <f>IF(Table1_1[[#This Row],[Income]]&lt;=30000,"Low ",IF(Table1_1[[#This Row],[Income]]&lt;=70000,"Middle","High"))</f>
        <v>Middle</v>
      </c>
      <c r="Q668" s="6" t="str">
        <f>IF(Table1_1[[#This Row],[Age]]&lt;30,"Young",IF(Table1_1[[#This Row],[Age]]&lt;50,"Middle aged","Senior citizen"))</f>
        <v>Middle aged</v>
      </c>
      <c r="R668" s="7">
        <f>IF(Table1_1[[#This Row],[Marriedarital SingletatuSingle]]="M",Table1_1[[#This Row],[Children]]+2,Table1_1[[#This Row],[Children]]+1)</f>
        <v>2</v>
      </c>
      <c r="S668" s="4" t="str">
        <f>IF(Table1_1[[#This Row],[Cars]]=0,"No","Yes")</f>
        <v>Yes</v>
      </c>
      <c r="T668" s="6" t="str">
        <f>IF(AND(Table1_1[[#This Row],[Income]]&gt;50000,Table1_1[[#This Row],[Home Owner]]="Yes"),"High stability","Low stability")</f>
        <v>High stability</v>
      </c>
      <c r="U668" s="3">
        <f>Table1_1[[#This Row],[Income]]/Table1_1[[#This Row],[Family size]]</f>
        <v>30000</v>
      </c>
      <c r="V668" s="6" t="str">
        <f>IF(Table1_1[[#This Row],[Occupation]]="Skilled manual","Blue collar",IF(Table1_1[[#This Row],[Occupation]]="Manual","Blue collar","White collar"))</f>
        <v>Blue collar</v>
      </c>
    </row>
    <row r="669" spans="1:22" x14ac:dyDescent="0.3">
      <c r="A669" t="s">
        <v>703</v>
      </c>
      <c r="B669" s="6" t="s">
        <v>1042</v>
      </c>
      <c r="C669" s="6" t="s">
        <v>1045</v>
      </c>
      <c r="D669" s="3">
        <v>40000</v>
      </c>
      <c r="E669">
        <v>5</v>
      </c>
      <c r="F669" s="6" t="s">
        <v>27</v>
      </c>
      <c r="G669" s="6" t="s">
        <v>21</v>
      </c>
      <c r="H669" s="6" t="s">
        <v>18</v>
      </c>
      <c r="I669">
        <v>2</v>
      </c>
      <c r="J669" t="s">
        <v>30</v>
      </c>
      <c r="K6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669" s="6" t="s">
        <v>32</v>
      </c>
      <c r="M669" s="7">
        <v>61</v>
      </c>
      <c r="N669" t="s">
        <v>18</v>
      </c>
      <c r="O669" s="9" t="str">
        <f>IF(Table1_1[[#This Row],[Purchased Bike]]="yes","1","0")</f>
        <v>0</v>
      </c>
      <c r="P669" s="4" t="str">
        <f>IF(Table1_1[[#This Row],[Income]]&lt;=30000,"Low ",IF(Table1_1[[#This Row],[Income]]&lt;=70000,"Middle","High"))</f>
        <v>Middle</v>
      </c>
      <c r="Q669" s="6" t="str">
        <f>IF(Table1_1[[#This Row],[Age]]&lt;30,"Young",IF(Table1_1[[#This Row],[Age]]&lt;50,"Middle aged","Senior citizen"))</f>
        <v>Senior citizen</v>
      </c>
      <c r="R669" s="7">
        <f>IF(Table1_1[[#This Row],[Marriedarital SingletatuSingle]]="M",Table1_1[[#This Row],[Children]]+2,Table1_1[[#This Row],[Children]]+1)</f>
        <v>6</v>
      </c>
      <c r="S669" s="4" t="str">
        <f>IF(Table1_1[[#This Row],[Cars]]=0,"No","Yes")</f>
        <v>Yes</v>
      </c>
      <c r="T669" s="6" t="str">
        <f>IF(AND(Table1_1[[#This Row],[Income]]&gt;50000,Table1_1[[#This Row],[Home Owner]]="Yes"),"High stability","Low stability")</f>
        <v>Low stability</v>
      </c>
      <c r="U669" s="3">
        <f>Table1_1[[#This Row],[Income]]/Table1_1[[#This Row],[Family size]]</f>
        <v>6666.666666666667</v>
      </c>
      <c r="V669" s="6" t="str">
        <f>IF(Table1_1[[#This Row],[Occupation]]="Skilled manual","Blue collar",IF(Table1_1[[#This Row],[Occupation]]="Manual","Blue collar","White collar"))</f>
        <v>White collar</v>
      </c>
    </row>
    <row r="670" spans="1:22" x14ac:dyDescent="0.3">
      <c r="A670" t="s">
        <v>704</v>
      </c>
      <c r="B670" s="6" t="s">
        <v>1042</v>
      </c>
      <c r="C670" s="6" t="s">
        <v>1045</v>
      </c>
      <c r="D670" s="3">
        <v>60000</v>
      </c>
      <c r="E670">
        <v>0</v>
      </c>
      <c r="F670" s="6" t="s">
        <v>31</v>
      </c>
      <c r="G670" s="6" t="s">
        <v>21</v>
      </c>
      <c r="H670" s="6" t="s">
        <v>15</v>
      </c>
      <c r="I670">
        <v>0</v>
      </c>
      <c r="J670" t="s">
        <v>16</v>
      </c>
      <c r="K6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70" s="6" t="s">
        <v>32</v>
      </c>
      <c r="M670" s="7">
        <v>40</v>
      </c>
      <c r="N670" t="s">
        <v>18</v>
      </c>
      <c r="O670" s="9" t="str">
        <f>IF(Table1_1[[#This Row],[Purchased Bike]]="yes","1","0")</f>
        <v>0</v>
      </c>
      <c r="P670" s="4" t="str">
        <f>IF(Table1_1[[#This Row],[Income]]&lt;=30000,"Low ",IF(Table1_1[[#This Row],[Income]]&lt;=70000,"Middle","High"))</f>
        <v>Middle</v>
      </c>
      <c r="Q670" s="6" t="str">
        <f>IF(Table1_1[[#This Row],[Age]]&lt;30,"Young",IF(Table1_1[[#This Row],[Age]]&lt;50,"Middle aged","Senior citizen"))</f>
        <v>Middle aged</v>
      </c>
      <c r="R670" s="7">
        <f>IF(Table1_1[[#This Row],[Marriedarital SingletatuSingle]]="M",Table1_1[[#This Row],[Children]]+2,Table1_1[[#This Row],[Children]]+1)</f>
        <v>1</v>
      </c>
      <c r="S670" s="4" t="str">
        <f>IF(Table1_1[[#This Row],[Cars]]=0,"No","Yes")</f>
        <v>No</v>
      </c>
      <c r="T670" s="6" t="str">
        <f>IF(AND(Table1_1[[#This Row],[Income]]&gt;50000,Table1_1[[#This Row],[Home Owner]]="Yes"),"High stability","Low stability")</f>
        <v>High stability</v>
      </c>
      <c r="U670" s="3">
        <f>Table1_1[[#This Row],[Income]]/Table1_1[[#This Row],[Family size]]</f>
        <v>60000</v>
      </c>
      <c r="V670" s="6" t="str">
        <f>IF(Table1_1[[#This Row],[Occupation]]="Skilled manual","Blue collar",IF(Table1_1[[#This Row],[Occupation]]="Manual","Blue collar","White collar"))</f>
        <v>White collar</v>
      </c>
    </row>
    <row r="671" spans="1:22" x14ac:dyDescent="0.3">
      <c r="A671" t="s">
        <v>705</v>
      </c>
      <c r="B671" s="6" t="s">
        <v>1042</v>
      </c>
      <c r="C671" s="6" t="s">
        <v>1045</v>
      </c>
      <c r="D671" s="3">
        <v>60000</v>
      </c>
      <c r="E671">
        <v>2</v>
      </c>
      <c r="F671" s="6" t="s">
        <v>27</v>
      </c>
      <c r="G671" s="6" t="s">
        <v>21</v>
      </c>
      <c r="H671" s="6" t="s">
        <v>15</v>
      </c>
      <c r="I671">
        <v>2</v>
      </c>
      <c r="J671" t="s">
        <v>23</v>
      </c>
      <c r="K6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71" s="6" t="s">
        <v>32</v>
      </c>
      <c r="M671" s="7">
        <v>50</v>
      </c>
      <c r="N671" t="s">
        <v>18</v>
      </c>
      <c r="O671" s="9" t="str">
        <f>IF(Table1_1[[#This Row],[Purchased Bike]]="yes","1","0")</f>
        <v>0</v>
      </c>
      <c r="P671" s="4" t="str">
        <f>IF(Table1_1[[#This Row],[Income]]&lt;=30000,"Low ",IF(Table1_1[[#This Row],[Income]]&lt;=70000,"Middle","High"))</f>
        <v>Middle</v>
      </c>
      <c r="Q671" s="6" t="str">
        <f>IF(Table1_1[[#This Row],[Age]]&lt;30,"Young",IF(Table1_1[[#This Row],[Age]]&lt;50,"Middle aged","Senior citizen"))</f>
        <v>Senior citizen</v>
      </c>
      <c r="R671" s="7">
        <f>IF(Table1_1[[#This Row],[Marriedarital SingletatuSingle]]="M",Table1_1[[#This Row],[Children]]+2,Table1_1[[#This Row],[Children]]+1)</f>
        <v>3</v>
      </c>
      <c r="S671" s="4" t="str">
        <f>IF(Table1_1[[#This Row],[Cars]]=0,"No","Yes")</f>
        <v>Yes</v>
      </c>
      <c r="T671" s="6" t="str">
        <f>IF(AND(Table1_1[[#This Row],[Income]]&gt;50000,Table1_1[[#This Row],[Home Owner]]="Yes"),"High stability","Low stability")</f>
        <v>High stability</v>
      </c>
      <c r="U671" s="3">
        <f>Table1_1[[#This Row],[Income]]/Table1_1[[#This Row],[Family size]]</f>
        <v>20000</v>
      </c>
      <c r="V671" s="6" t="str">
        <f>IF(Table1_1[[#This Row],[Occupation]]="Skilled manual","Blue collar",IF(Table1_1[[#This Row],[Occupation]]="Manual","Blue collar","White collar"))</f>
        <v>White collar</v>
      </c>
    </row>
    <row r="672" spans="1:22" x14ac:dyDescent="0.3">
      <c r="A672" t="s">
        <v>706</v>
      </c>
      <c r="B672" s="6" t="s">
        <v>1042</v>
      </c>
      <c r="C672" s="6" t="s">
        <v>1046</v>
      </c>
      <c r="D672" s="3">
        <v>70000</v>
      </c>
      <c r="E672">
        <v>2</v>
      </c>
      <c r="F672" s="6" t="s">
        <v>19</v>
      </c>
      <c r="G672" s="6" t="s">
        <v>21</v>
      </c>
      <c r="H672" s="6" t="s">
        <v>15</v>
      </c>
      <c r="I672">
        <v>1</v>
      </c>
      <c r="J672" t="s">
        <v>30</v>
      </c>
      <c r="K6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672" s="6" t="s">
        <v>32</v>
      </c>
      <c r="M672" s="7">
        <v>59</v>
      </c>
      <c r="N672" t="s">
        <v>18</v>
      </c>
      <c r="O672" s="9" t="str">
        <f>IF(Table1_1[[#This Row],[Purchased Bike]]="yes","1","0")</f>
        <v>0</v>
      </c>
      <c r="P672" s="4" t="str">
        <f>IF(Table1_1[[#This Row],[Income]]&lt;=30000,"Low ",IF(Table1_1[[#This Row],[Income]]&lt;=70000,"Middle","High"))</f>
        <v>Middle</v>
      </c>
      <c r="Q672" s="6" t="str">
        <f>IF(Table1_1[[#This Row],[Age]]&lt;30,"Young",IF(Table1_1[[#This Row],[Age]]&lt;50,"Middle aged","Senior citizen"))</f>
        <v>Senior citizen</v>
      </c>
      <c r="R672" s="7">
        <f>IF(Table1_1[[#This Row],[Marriedarital SingletatuSingle]]="M",Table1_1[[#This Row],[Children]]+2,Table1_1[[#This Row],[Children]]+1)</f>
        <v>3</v>
      </c>
      <c r="S672" s="4" t="str">
        <f>IF(Table1_1[[#This Row],[Cars]]=0,"No","Yes")</f>
        <v>Yes</v>
      </c>
      <c r="T672" s="6" t="str">
        <f>IF(AND(Table1_1[[#This Row],[Income]]&gt;50000,Table1_1[[#This Row],[Home Owner]]="Yes"),"High stability","Low stability")</f>
        <v>High stability</v>
      </c>
      <c r="U672" s="3">
        <f>Table1_1[[#This Row],[Income]]/Table1_1[[#This Row],[Family size]]</f>
        <v>23333.333333333332</v>
      </c>
      <c r="V672" s="6" t="str">
        <f>IF(Table1_1[[#This Row],[Occupation]]="Skilled manual","Blue collar",IF(Table1_1[[#This Row],[Occupation]]="Manual","Blue collar","White collar"))</f>
        <v>White collar</v>
      </c>
    </row>
    <row r="673" spans="1:22" x14ac:dyDescent="0.3">
      <c r="A673" t="s">
        <v>707</v>
      </c>
      <c r="B673" s="6" t="s">
        <v>1044</v>
      </c>
      <c r="C673" s="6" t="s">
        <v>1045</v>
      </c>
      <c r="D673" s="3">
        <v>60000</v>
      </c>
      <c r="E673">
        <v>1</v>
      </c>
      <c r="F673" s="6" t="s">
        <v>31</v>
      </c>
      <c r="G673" s="6" t="s">
        <v>21</v>
      </c>
      <c r="H673" s="6" t="s">
        <v>15</v>
      </c>
      <c r="I673">
        <v>0</v>
      </c>
      <c r="J673" t="s">
        <v>22</v>
      </c>
      <c r="K6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73" s="6" t="s">
        <v>32</v>
      </c>
      <c r="M673" s="7">
        <v>36</v>
      </c>
      <c r="N673" t="s">
        <v>15</v>
      </c>
      <c r="O673" s="9" t="str">
        <f>IF(Table1_1[[#This Row],[Purchased Bike]]="yes","1","0")</f>
        <v>1</v>
      </c>
      <c r="P673" s="4" t="str">
        <f>IF(Table1_1[[#This Row],[Income]]&lt;=30000,"Low ",IF(Table1_1[[#This Row],[Income]]&lt;=70000,"Middle","High"))</f>
        <v>Middle</v>
      </c>
      <c r="Q673" s="6" t="str">
        <f>IF(Table1_1[[#This Row],[Age]]&lt;30,"Young",IF(Table1_1[[#This Row],[Age]]&lt;50,"Middle aged","Senior citizen"))</f>
        <v>Middle aged</v>
      </c>
      <c r="R673" s="7">
        <f>IF(Table1_1[[#This Row],[Marriedarital SingletatuSingle]]="M",Table1_1[[#This Row],[Children]]+2,Table1_1[[#This Row],[Children]]+1)</f>
        <v>2</v>
      </c>
      <c r="S673" s="4" t="str">
        <f>IF(Table1_1[[#This Row],[Cars]]=0,"No","Yes")</f>
        <v>No</v>
      </c>
      <c r="T673" s="6" t="str">
        <f>IF(AND(Table1_1[[#This Row],[Income]]&gt;50000,Table1_1[[#This Row],[Home Owner]]="Yes"),"High stability","Low stability")</f>
        <v>High stability</v>
      </c>
      <c r="U673" s="3">
        <f>Table1_1[[#This Row],[Income]]/Table1_1[[#This Row],[Family size]]</f>
        <v>30000</v>
      </c>
      <c r="V673" s="6" t="str">
        <f>IF(Table1_1[[#This Row],[Occupation]]="Skilled manual","Blue collar",IF(Table1_1[[#This Row],[Occupation]]="Manual","Blue collar","White collar"))</f>
        <v>White collar</v>
      </c>
    </row>
    <row r="674" spans="1:22" x14ac:dyDescent="0.3">
      <c r="A674" t="s">
        <v>708</v>
      </c>
      <c r="B674" s="6" t="s">
        <v>1044</v>
      </c>
      <c r="C674" s="6" t="s">
        <v>1045</v>
      </c>
      <c r="D674" s="3">
        <v>40000</v>
      </c>
      <c r="E674">
        <v>0</v>
      </c>
      <c r="F674" s="6" t="s">
        <v>27</v>
      </c>
      <c r="G674" s="6" t="s">
        <v>14</v>
      </c>
      <c r="H674" s="6" t="s">
        <v>15</v>
      </c>
      <c r="I674">
        <v>2</v>
      </c>
      <c r="J674" t="s">
        <v>23</v>
      </c>
      <c r="K6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74" s="6" t="s">
        <v>32</v>
      </c>
      <c r="M674" s="7">
        <v>30</v>
      </c>
      <c r="N674" t="s">
        <v>18</v>
      </c>
      <c r="O674" s="9" t="str">
        <f>IF(Table1_1[[#This Row],[Purchased Bike]]="yes","1","0")</f>
        <v>0</v>
      </c>
      <c r="P674" s="4" t="str">
        <f>IF(Table1_1[[#This Row],[Income]]&lt;=30000,"Low ",IF(Table1_1[[#This Row],[Income]]&lt;=70000,"Middle","High"))</f>
        <v>Middle</v>
      </c>
      <c r="Q674" s="6" t="str">
        <f>IF(Table1_1[[#This Row],[Age]]&lt;30,"Young",IF(Table1_1[[#This Row],[Age]]&lt;50,"Middle aged","Senior citizen"))</f>
        <v>Middle aged</v>
      </c>
      <c r="R674" s="7">
        <f>IF(Table1_1[[#This Row],[Marriedarital SingletatuSingle]]="M",Table1_1[[#This Row],[Children]]+2,Table1_1[[#This Row],[Children]]+1)</f>
        <v>1</v>
      </c>
      <c r="S674" s="4" t="str">
        <f>IF(Table1_1[[#This Row],[Cars]]=0,"No","Yes")</f>
        <v>Yes</v>
      </c>
      <c r="T674" s="6" t="str">
        <f>IF(AND(Table1_1[[#This Row],[Income]]&gt;50000,Table1_1[[#This Row],[Home Owner]]="Yes"),"High stability","Low stability")</f>
        <v>Low stability</v>
      </c>
      <c r="U674" s="3">
        <f>Table1_1[[#This Row],[Income]]/Table1_1[[#This Row],[Family size]]</f>
        <v>40000</v>
      </c>
      <c r="V674" s="6" t="str">
        <f>IF(Table1_1[[#This Row],[Occupation]]="Skilled manual","Blue collar",IF(Table1_1[[#This Row],[Occupation]]="Manual","Blue collar","White collar"))</f>
        <v>Blue collar</v>
      </c>
    </row>
    <row r="675" spans="1:22" x14ac:dyDescent="0.3">
      <c r="A675" t="s">
        <v>709</v>
      </c>
      <c r="B675" s="6" t="s">
        <v>1044</v>
      </c>
      <c r="C675" s="6" t="s">
        <v>1045</v>
      </c>
      <c r="D675" s="3">
        <v>70000</v>
      </c>
      <c r="E675">
        <v>4</v>
      </c>
      <c r="F675" s="6" t="s">
        <v>31</v>
      </c>
      <c r="G675" s="6" t="s">
        <v>21</v>
      </c>
      <c r="H675" s="6" t="s">
        <v>15</v>
      </c>
      <c r="I675">
        <v>0</v>
      </c>
      <c r="J675" t="s">
        <v>22</v>
      </c>
      <c r="K6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75" s="6" t="s">
        <v>32</v>
      </c>
      <c r="M675" s="7">
        <v>35</v>
      </c>
      <c r="N675" t="s">
        <v>15</v>
      </c>
      <c r="O675" s="9" t="str">
        <f>IF(Table1_1[[#This Row],[Purchased Bike]]="yes","1","0")</f>
        <v>1</v>
      </c>
      <c r="P675" s="4" t="str">
        <f>IF(Table1_1[[#This Row],[Income]]&lt;=30000,"Low ",IF(Table1_1[[#This Row],[Income]]&lt;=70000,"Middle","High"))</f>
        <v>Middle</v>
      </c>
      <c r="Q675" s="6" t="str">
        <f>IF(Table1_1[[#This Row],[Age]]&lt;30,"Young",IF(Table1_1[[#This Row],[Age]]&lt;50,"Middle aged","Senior citizen"))</f>
        <v>Middle aged</v>
      </c>
      <c r="R675" s="7">
        <f>IF(Table1_1[[#This Row],[Marriedarital SingletatuSingle]]="M",Table1_1[[#This Row],[Children]]+2,Table1_1[[#This Row],[Children]]+1)</f>
        <v>5</v>
      </c>
      <c r="S675" s="4" t="str">
        <f>IF(Table1_1[[#This Row],[Cars]]=0,"No","Yes")</f>
        <v>No</v>
      </c>
      <c r="T675" s="6" t="str">
        <f>IF(AND(Table1_1[[#This Row],[Income]]&gt;50000,Table1_1[[#This Row],[Home Owner]]="Yes"),"High stability","Low stability")</f>
        <v>High stability</v>
      </c>
      <c r="U675" s="3">
        <f>Table1_1[[#This Row],[Income]]/Table1_1[[#This Row],[Family size]]</f>
        <v>14000</v>
      </c>
      <c r="V675" s="6" t="str">
        <f>IF(Table1_1[[#This Row],[Occupation]]="Skilled manual","Blue collar",IF(Table1_1[[#This Row],[Occupation]]="Manual","Blue collar","White collar"))</f>
        <v>White collar</v>
      </c>
    </row>
    <row r="676" spans="1:22" x14ac:dyDescent="0.3">
      <c r="A676" t="s">
        <v>710</v>
      </c>
      <c r="B676" s="6" t="s">
        <v>1042</v>
      </c>
      <c r="C676" s="6" t="s">
        <v>1045</v>
      </c>
      <c r="D676" s="3">
        <v>30000</v>
      </c>
      <c r="E676">
        <v>2</v>
      </c>
      <c r="F676" s="6" t="s">
        <v>27</v>
      </c>
      <c r="G676" s="6" t="s">
        <v>14</v>
      </c>
      <c r="H676" s="6" t="s">
        <v>15</v>
      </c>
      <c r="I676">
        <v>2</v>
      </c>
      <c r="J676" t="s">
        <v>26</v>
      </c>
      <c r="K6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76" s="6" t="s">
        <v>32</v>
      </c>
      <c r="M676" s="7">
        <v>48</v>
      </c>
      <c r="N676" t="s">
        <v>18</v>
      </c>
      <c r="O676" s="9" t="str">
        <f>IF(Table1_1[[#This Row],[Purchased Bike]]="yes","1","0")</f>
        <v>0</v>
      </c>
      <c r="P676" s="4" t="str">
        <f>IF(Table1_1[[#This Row],[Income]]&lt;=30000,"Low ",IF(Table1_1[[#This Row],[Income]]&lt;=70000,"Middle","High"))</f>
        <v xml:space="preserve">Low </v>
      </c>
      <c r="Q676" s="6" t="str">
        <f>IF(Table1_1[[#This Row],[Age]]&lt;30,"Young",IF(Table1_1[[#This Row],[Age]]&lt;50,"Middle aged","Senior citizen"))</f>
        <v>Middle aged</v>
      </c>
      <c r="R676" s="7">
        <f>IF(Table1_1[[#This Row],[Marriedarital SingletatuSingle]]="M",Table1_1[[#This Row],[Children]]+2,Table1_1[[#This Row],[Children]]+1)</f>
        <v>3</v>
      </c>
      <c r="S676" s="4" t="str">
        <f>IF(Table1_1[[#This Row],[Cars]]=0,"No","Yes")</f>
        <v>Yes</v>
      </c>
      <c r="T676" s="6" t="str">
        <f>IF(AND(Table1_1[[#This Row],[Income]]&gt;50000,Table1_1[[#This Row],[Home Owner]]="Yes"),"High stability","Low stability")</f>
        <v>Low stability</v>
      </c>
      <c r="U676" s="3">
        <f>Table1_1[[#This Row],[Income]]/Table1_1[[#This Row],[Family size]]</f>
        <v>10000</v>
      </c>
      <c r="V676" s="6" t="str">
        <f>IF(Table1_1[[#This Row],[Occupation]]="Skilled manual","Blue collar",IF(Table1_1[[#This Row],[Occupation]]="Manual","Blue collar","White collar"))</f>
        <v>Blue collar</v>
      </c>
    </row>
    <row r="677" spans="1:22" x14ac:dyDescent="0.3">
      <c r="A677" t="s">
        <v>711</v>
      </c>
      <c r="B677" s="6" t="s">
        <v>1042</v>
      </c>
      <c r="C677" s="6" t="s">
        <v>1046</v>
      </c>
      <c r="D677" s="3">
        <v>100000</v>
      </c>
      <c r="E677">
        <v>3</v>
      </c>
      <c r="F677" s="6" t="s">
        <v>13</v>
      </c>
      <c r="G677" s="6" t="s">
        <v>28</v>
      </c>
      <c r="H677" s="6" t="s">
        <v>15</v>
      </c>
      <c r="I677">
        <v>4</v>
      </c>
      <c r="J677" t="s">
        <v>16</v>
      </c>
      <c r="K6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77" s="6" t="s">
        <v>32</v>
      </c>
      <c r="M677" s="7">
        <v>41</v>
      </c>
      <c r="N677" t="s">
        <v>18</v>
      </c>
      <c r="O677" s="9" t="str">
        <f>IF(Table1_1[[#This Row],[Purchased Bike]]="yes","1","0")</f>
        <v>0</v>
      </c>
      <c r="P677" s="4" t="str">
        <f>IF(Table1_1[[#This Row],[Income]]&lt;=30000,"Low ",IF(Table1_1[[#This Row],[Income]]&lt;=70000,"Middle","High"))</f>
        <v>High</v>
      </c>
      <c r="Q677" s="6" t="str">
        <f>IF(Table1_1[[#This Row],[Age]]&lt;30,"Young",IF(Table1_1[[#This Row],[Age]]&lt;50,"Middle aged","Senior citizen"))</f>
        <v>Middle aged</v>
      </c>
      <c r="R677" s="7">
        <f>IF(Table1_1[[#This Row],[Marriedarital SingletatuSingle]]="M",Table1_1[[#This Row],[Children]]+2,Table1_1[[#This Row],[Children]]+1)</f>
        <v>4</v>
      </c>
      <c r="S677" s="4" t="str">
        <f>IF(Table1_1[[#This Row],[Cars]]=0,"No","Yes")</f>
        <v>Yes</v>
      </c>
      <c r="T677" s="6" t="str">
        <f>IF(AND(Table1_1[[#This Row],[Income]]&gt;50000,Table1_1[[#This Row],[Home Owner]]="Yes"),"High stability","Low stability")</f>
        <v>High stability</v>
      </c>
      <c r="U677" s="3">
        <f>Table1_1[[#This Row],[Income]]/Table1_1[[#This Row],[Family size]]</f>
        <v>25000</v>
      </c>
      <c r="V677" s="6" t="str">
        <f>IF(Table1_1[[#This Row],[Occupation]]="Skilled manual","Blue collar",IF(Table1_1[[#This Row],[Occupation]]="Manual","Blue collar","White collar"))</f>
        <v>White collar</v>
      </c>
    </row>
    <row r="678" spans="1:22" x14ac:dyDescent="0.3">
      <c r="A678" t="s">
        <v>712</v>
      </c>
      <c r="B678" s="6" t="s">
        <v>1042</v>
      </c>
      <c r="C678" s="6" t="s">
        <v>1046</v>
      </c>
      <c r="D678" s="3">
        <v>40000</v>
      </c>
      <c r="E678">
        <v>2</v>
      </c>
      <c r="F678" s="6" t="s">
        <v>19</v>
      </c>
      <c r="G678" s="6" t="s">
        <v>20</v>
      </c>
      <c r="H678" s="6" t="s">
        <v>15</v>
      </c>
      <c r="I678">
        <v>1</v>
      </c>
      <c r="J678" t="s">
        <v>16</v>
      </c>
      <c r="K6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78" s="6" t="s">
        <v>32</v>
      </c>
      <c r="M678" s="7">
        <v>47</v>
      </c>
      <c r="N678" t="s">
        <v>18</v>
      </c>
      <c r="O678" s="9" t="str">
        <f>IF(Table1_1[[#This Row],[Purchased Bike]]="yes","1","0")</f>
        <v>0</v>
      </c>
      <c r="P678" s="4" t="str">
        <f>IF(Table1_1[[#This Row],[Income]]&lt;=30000,"Low ",IF(Table1_1[[#This Row],[Income]]&lt;=70000,"Middle","High"))</f>
        <v>Middle</v>
      </c>
      <c r="Q678" s="6" t="str">
        <f>IF(Table1_1[[#This Row],[Age]]&lt;30,"Young",IF(Table1_1[[#This Row],[Age]]&lt;50,"Middle aged","Senior citizen"))</f>
        <v>Middle aged</v>
      </c>
      <c r="R678" s="7">
        <f>IF(Table1_1[[#This Row],[Marriedarital SingletatuSingle]]="M",Table1_1[[#This Row],[Children]]+2,Table1_1[[#This Row],[Children]]+1)</f>
        <v>3</v>
      </c>
      <c r="S678" s="4" t="str">
        <f>IF(Table1_1[[#This Row],[Cars]]=0,"No","Yes")</f>
        <v>Yes</v>
      </c>
      <c r="T678" s="6" t="str">
        <f>IF(AND(Table1_1[[#This Row],[Income]]&gt;50000,Table1_1[[#This Row],[Home Owner]]="Yes"),"High stability","Low stability")</f>
        <v>Low stability</v>
      </c>
      <c r="U678" s="3">
        <f>Table1_1[[#This Row],[Income]]/Table1_1[[#This Row],[Family size]]</f>
        <v>13333.333333333334</v>
      </c>
      <c r="V678" s="6" t="str">
        <f>IF(Table1_1[[#This Row],[Occupation]]="Skilled manual","Blue collar",IF(Table1_1[[#This Row],[Occupation]]="Manual","Blue collar","White collar"))</f>
        <v>White collar</v>
      </c>
    </row>
    <row r="679" spans="1:22" x14ac:dyDescent="0.3">
      <c r="A679" t="s">
        <v>713</v>
      </c>
      <c r="B679" s="6" t="s">
        <v>1042</v>
      </c>
      <c r="C679" s="6" t="s">
        <v>1046</v>
      </c>
      <c r="D679" s="3">
        <v>60000</v>
      </c>
      <c r="E679">
        <v>4</v>
      </c>
      <c r="F679" s="6" t="s">
        <v>31</v>
      </c>
      <c r="G679" s="6" t="s">
        <v>14</v>
      </c>
      <c r="H679" s="6" t="s">
        <v>18</v>
      </c>
      <c r="I679">
        <v>0</v>
      </c>
      <c r="J679" t="s">
        <v>16</v>
      </c>
      <c r="K6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79" s="6" t="s">
        <v>32</v>
      </c>
      <c r="M679" s="7">
        <v>47</v>
      </c>
      <c r="N679" t="s">
        <v>18</v>
      </c>
      <c r="O679" s="9" t="str">
        <f>IF(Table1_1[[#This Row],[Purchased Bike]]="yes","1","0")</f>
        <v>0</v>
      </c>
      <c r="P679" s="4" t="str">
        <f>IF(Table1_1[[#This Row],[Income]]&lt;=30000,"Low ",IF(Table1_1[[#This Row],[Income]]&lt;=70000,"Middle","High"))</f>
        <v>Middle</v>
      </c>
      <c r="Q679" s="6" t="str">
        <f>IF(Table1_1[[#This Row],[Age]]&lt;30,"Young",IF(Table1_1[[#This Row],[Age]]&lt;50,"Middle aged","Senior citizen"))</f>
        <v>Middle aged</v>
      </c>
      <c r="R679" s="7">
        <f>IF(Table1_1[[#This Row],[Marriedarital SingletatuSingle]]="M",Table1_1[[#This Row],[Children]]+2,Table1_1[[#This Row],[Children]]+1)</f>
        <v>5</v>
      </c>
      <c r="S679" s="4" t="str">
        <f>IF(Table1_1[[#This Row],[Cars]]=0,"No","Yes")</f>
        <v>No</v>
      </c>
      <c r="T679" s="6" t="str">
        <f>IF(AND(Table1_1[[#This Row],[Income]]&gt;50000,Table1_1[[#This Row],[Home Owner]]="Yes"),"High stability","Low stability")</f>
        <v>Low stability</v>
      </c>
      <c r="U679" s="3">
        <f>Table1_1[[#This Row],[Income]]/Table1_1[[#This Row],[Family size]]</f>
        <v>12000</v>
      </c>
      <c r="V679" s="6" t="str">
        <f>IF(Table1_1[[#This Row],[Occupation]]="Skilled manual","Blue collar",IF(Table1_1[[#This Row],[Occupation]]="Manual","Blue collar","White collar"))</f>
        <v>Blue collar</v>
      </c>
    </row>
    <row r="680" spans="1:22" x14ac:dyDescent="0.3">
      <c r="A680" t="s">
        <v>714</v>
      </c>
      <c r="B680" s="6" t="s">
        <v>1042</v>
      </c>
      <c r="C680" s="6" t="s">
        <v>1046</v>
      </c>
      <c r="D680" s="3">
        <v>80000</v>
      </c>
      <c r="E680">
        <v>5</v>
      </c>
      <c r="F680" s="6" t="s">
        <v>13</v>
      </c>
      <c r="G680" s="6" t="s">
        <v>28</v>
      </c>
      <c r="H680" s="6" t="s">
        <v>18</v>
      </c>
      <c r="I680">
        <v>2</v>
      </c>
      <c r="J680" t="s">
        <v>22</v>
      </c>
      <c r="K6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80" s="6" t="s">
        <v>17</v>
      </c>
      <c r="M680" s="7">
        <v>62</v>
      </c>
      <c r="N680" t="s">
        <v>18</v>
      </c>
      <c r="O680" s="9" t="str">
        <f>IF(Table1_1[[#This Row],[Purchased Bike]]="yes","1","0")</f>
        <v>0</v>
      </c>
      <c r="P680" s="4" t="str">
        <f>IF(Table1_1[[#This Row],[Income]]&lt;=30000,"Low ",IF(Table1_1[[#This Row],[Income]]&lt;=70000,"Middle","High"))</f>
        <v>High</v>
      </c>
      <c r="Q680" s="6" t="str">
        <f>IF(Table1_1[[#This Row],[Age]]&lt;30,"Young",IF(Table1_1[[#This Row],[Age]]&lt;50,"Middle aged","Senior citizen"))</f>
        <v>Senior citizen</v>
      </c>
      <c r="R680" s="7">
        <f>IF(Table1_1[[#This Row],[Marriedarital SingletatuSingle]]="M",Table1_1[[#This Row],[Children]]+2,Table1_1[[#This Row],[Children]]+1)</f>
        <v>6</v>
      </c>
      <c r="S680" s="4" t="str">
        <f>IF(Table1_1[[#This Row],[Cars]]=0,"No","Yes")</f>
        <v>Yes</v>
      </c>
      <c r="T680" s="6" t="str">
        <f>IF(AND(Table1_1[[#This Row],[Income]]&gt;50000,Table1_1[[#This Row],[Home Owner]]="Yes"),"High stability","Low stability")</f>
        <v>Low stability</v>
      </c>
      <c r="U680" s="3">
        <f>Table1_1[[#This Row],[Income]]/Table1_1[[#This Row],[Family size]]</f>
        <v>13333.333333333334</v>
      </c>
      <c r="V680" s="6" t="str">
        <f>IF(Table1_1[[#This Row],[Occupation]]="Skilled manual","Blue collar",IF(Table1_1[[#This Row],[Occupation]]="Manual","Blue collar","White collar"))</f>
        <v>White collar</v>
      </c>
    </row>
    <row r="681" spans="1:22" x14ac:dyDescent="0.3">
      <c r="A681" t="s">
        <v>715</v>
      </c>
      <c r="B681" s="6" t="s">
        <v>1042</v>
      </c>
      <c r="C681" s="6" t="s">
        <v>1046</v>
      </c>
      <c r="D681" s="3">
        <v>60000</v>
      </c>
      <c r="E681">
        <v>4</v>
      </c>
      <c r="F681" s="6" t="s">
        <v>13</v>
      </c>
      <c r="G681" s="6" t="s">
        <v>28</v>
      </c>
      <c r="H681" s="6" t="s">
        <v>15</v>
      </c>
      <c r="I681">
        <v>2</v>
      </c>
      <c r="J681" t="s">
        <v>30</v>
      </c>
      <c r="K6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681" s="6" t="s">
        <v>32</v>
      </c>
      <c r="M681" s="7">
        <v>60</v>
      </c>
      <c r="N681" t="s">
        <v>18</v>
      </c>
      <c r="O681" s="9" t="str">
        <f>IF(Table1_1[[#This Row],[Purchased Bike]]="yes","1","0")</f>
        <v>0</v>
      </c>
      <c r="P681" s="4" t="str">
        <f>IF(Table1_1[[#This Row],[Income]]&lt;=30000,"Low ",IF(Table1_1[[#This Row],[Income]]&lt;=70000,"Middle","High"))</f>
        <v>Middle</v>
      </c>
      <c r="Q681" s="6" t="str">
        <f>IF(Table1_1[[#This Row],[Age]]&lt;30,"Young",IF(Table1_1[[#This Row],[Age]]&lt;50,"Middle aged","Senior citizen"))</f>
        <v>Senior citizen</v>
      </c>
      <c r="R681" s="7">
        <f>IF(Table1_1[[#This Row],[Marriedarital SingletatuSingle]]="M",Table1_1[[#This Row],[Children]]+2,Table1_1[[#This Row],[Children]]+1)</f>
        <v>5</v>
      </c>
      <c r="S681" s="4" t="str">
        <f>IF(Table1_1[[#This Row],[Cars]]=0,"No","Yes")</f>
        <v>Yes</v>
      </c>
      <c r="T681" s="6" t="str">
        <f>IF(AND(Table1_1[[#This Row],[Income]]&gt;50000,Table1_1[[#This Row],[Home Owner]]="Yes"),"High stability","Low stability")</f>
        <v>High stability</v>
      </c>
      <c r="U681" s="3">
        <f>Table1_1[[#This Row],[Income]]/Table1_1[[#This Row],[Family size]]</f>
        <v>12000</v>
      </c>
      <c r="V681" s="6" t="str">
        <f>IF(Table1_1[[#This Row],[Occupation]]="Skilled manual","Blue collar",IF(Table1_1[[#This Row],[Occupation]]="Manual","Blue collar","White collar"))</f>
        <v>White collar</v>
      </c>
    </row>
    <row r="682" spans="1:22" x14ac:dyDescent="0.3">
      <c r="A682" t="s">
        <v>716</v>
      </c>
      <c r="B682" s="6" t="s">
        <v>1042</v>
      </c>
      <c r="C682" s="6" t="s">
        <v>1045</v>
      </c>
      <c r="D682" s="3">
        <v>60000</v>
      </c>
      <c r="E682">
        <v>0</v>
      </c>
      <c r="F682" s="6" t="s">
        <v>19</v>
      </c>
      <c r="G682" s="6" t="s">
        <v>14</v>
      </c>
      <c r="H682" s="6" t="s">
        <v>18</v>
      </c>
      <c r="I682">
        <v>1</v>
      </c>
      <c r="J682" t="s">
        <v>26</v>
      </c>
      <c r="K6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82" s="6" t="s">
        <v>32</v>
      </c>
      <c r="M682" s="7">
        <v>33</v>
      </c>
      <c r="N682" t="s">
        <v>18</v>
      </c>
      <c r="O682" s="9" t="str">
        <f>IF(Table1_1[[#This Row],[Purchased Bike]]="yes","1","0")</f>
        <v>0</v>
      </c>
      <c r="P682" s="4" t="str">
        <f>IF(Table1_1[[#This Row],[Income]]&lt;=30000,"Low ",IF(Table1_1[[#This Row],[Income]]&lt;=70000,"Middle","High"))</f>
        <v>Middle</v>
      </c>
      <c r="Q682" s="6" t="str">
        <f>IF(Table1_1[[#This Row],[Age]]&lt;30,"Young",IF(Table1_1[[#This Row],[Age]]&lt;50,"Middle aged","Senior citizen"))</f>
        <v>Middle aged</v>
      </c>
      <c r="R682" s="7">
        <f>IF(Table1_1[[#This Row],[Marriedarital SingletatuSingle]]="M",Table1_1[[#This Row],[Children]]+2,Table1_1[[#This Row],[Children]]+1)</f>
        <v>1</v>
      </c>
      <c r="S682" s="4" t="str">
        <f>IF(Table1_1[[#This Row],[Cars]]=0,"No","Yes")</f>
        <v>Yes</v>
      </c>
      <c r="T682" s="6" t="str">
        <f>IF(AND(Table1_1[[#This Row],[Income]]&gt;50000,Table1_1[[#This Row],[Home Owner]]="Yes"),"High stability","Low stability")</f>
        <v>Low stability</v>
      </c>
      <c r="U682" s="3">
        <f>Table1_1[[#This Row],[Income]]/Table1_1[[#This Row],[Family size]]</f>
        <v>60000</v>
      </c>
      <c r="V682" s="6" t="str">
        <f>IF(Table1_1[[#This Row],[Occupation]]="Skilled manual","Blue collar",IF(Table1_1[[#This Row],[Occupation]]="Manual","Blue collar","White collar"))</f>
        <v>Blue collar</v>
      </c>
    </row>
    <row r="683" spans="1:22" x14ac:dyDescent="0.3">
      <c r="A683" t="s">
        <v>717</v>
      </c>
      <c r="B683" s="6" t="s">
        <v>1044</v>
      </c>
      <c r="C683" s="6" t="s">
        <v>1045</v>
      </c>
      <c r="D683" s="3">
        <v>80000</v>
      </c>
      <c r="E683">
        <v>4</v>
      </c>
      <c r="F683" s="6" t="s">
        <v>31</v>
      </c>
      <c r="G683" s="6" t="s">
        <v>14</v>
      </c>
      <c r="H683" s="6" t="s">
        <v>18</v>
      </c>
      <c r="I683">
        <v>0</v>
      </c>
      <c r="J683" t="s">
        <v>16</v>
      </c>
      <c r="K6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83" s="6" t="s">
        <v>32</v>
      </c>
      <c r="M683" s="7">
        <v>47</v>
      </c>
      <c r="N683" t="s">
        <v>18</v>
      </c>
      <c r="O683" s="9" t="str">
        <f>IF(Table1_1[[#This Row],[Purchased Bike]]="yes","1","0")</f>
        <v>0</v>
      </c>
      <c r="P683" s="4" t="str">
        <f>IF(Table1_1[[#This Row],[Income]]&lt;=30000,"Low ",IF(Table1_1[[#This Row],[Income]]&lt;=70000,"Middle","High"))</f>
        <v>High</v>
      </c>
      <c r="Q683" s="6" t="str">
        <f>IF(Table1_1[[#This Row],[Age]]&lt;30,"Young",IF(Table1_1[[#This Row],[Age]]&lt;50,"Middle aged","Senior citizen"))</f>
        <v>Middle aged</v>
      </c>
      <c r="R683" s="7">
        <f>IF(Table1_1[[#This Row],[Marriedarital SingletatuSingle]]="M",Table1_1[[#This Row],[Children]]+2,Table1_1[[#This Row],[Children]]+1)</f>
        <v>5</v>
      </c>
      <c r="S683" s="4" t="str">
        <f>IF(Table1_1[[#This Row],[Cars]]=0,"No","Yes")</f>
        <v>No</v>
      </c>
      <c r="T683" s="6" t="str">
        <f>IF(AND(Table1_1[[#This Row],[Income]]&gt;50000,Table1_1[[#This Row],[Home Owner]]="Yes"),"High stability","Low stability")</f>
        <v>Low stability</v>
      </c>
      <c r="U683" s="3">
        <f>Table1_1[[#This Row],[Income]]/Table1_1[[#This Row],[Family size]]</f>
        <v>16000</v>
      </c>
      <c r="V683" s="6" t="str">
        <f>IF(Table1_1[[#This Row],[Occupation]]="Skilled manual","Blue collar",IF(Table1_1[[#This Row],[Occupation]]="Manual","Blue collar","White collar"))</f>
        <v>Blue collar</v>
      </c>
    </row>
    <row r="684" spans="1:22" x14ac:dyDescent="0.3">
      <c r="A684" t="s">
        <v>718</v>
      </c>
      <c r="B684" s="6" t="s">
        <v>1042</v>
      </c>
      <c r="C684" s="6" t="s">
        <v>1046</v>
      </c>
      <c r="D684" s="3">
        <v>20000</v>
      </c>
      <c r="E684">
        <v>3</v>
      </c>
      <c r="F684" s="6" t="s">
        <v>29</v>
      </c>
      <c r="G684" s="6" t="s">
        <v>20</v>
      </c>
      <c r="H684" s="6" t="s">
        <v>18</v>
      </c>
      <c r="I684">
        <v>2</v>
      </c>
      <c r="J684" t="s">
        <v>16</v>
      </c>
      <c r="K6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84" s="6" t="s">
        <v>32</v>
      </c>
      <c r="M684" s="7">
        <v>52</v>
      </c>
      <c r="N684" t="s">
        <v>18</v>
      </c>
      <c r="O684" s="9" t="str">
        <f>IF(Table1_1[[#This Row],[Purchased Bike]]="yes","1","0")</f>
        <v>0</v>
      </c>
      <c r="P684" s="4" t="str">
        <f>IF(Table1_1[[#This Row],[Income]]&lt;=30000,"Low ",IF(Table1_1[[#This Row],[Income]]&lt;=70000,"Middle","High"))</f>
        <v xml:space="preserve">Low </v>
      </c>
      <c r="Q684" s="6" t="str">
        <f>IF(Table1_1[[#This Row],[Age]]&lt;30,"Young",IF(Table1_1[[#This Row],[Age]]&lt;50,"Middle aged","Senior citizen"))</f>
        <v>Senior citizen</v>
      </c>
      <c r="R684" s="7">
        <f>IF(Table1_1[[#This Row],[Marriedarital SingletatuSingle]]="M",Table1_1[[#This Row],[Children]]+2,Table1_1[[#This Row],[Children]]+1)</f>
        <v>4</v>
      </c>
      <c r="S684" s="4" t="str">
        <f>IF(Table1_1[[#This Row],[Cars]]=0,"No","Yes")</f>
        <v>Yes</v>
      </c>
      <c r="T684" s="6" t="str">
        <f>IF(AND(Table1_1[[#This Row],[Income]]&gt;50000,Table1_1[[#This Row],[Home Owner]]="Yes"),"High stability","Low stability")</f>
        <v>Low stability</v>
      </c>
      <c r="U684" s="3">
        <f>Table1_1[[#This Row],[Income]]/Table1_1[[#This Row],[Family size]]</f>
        <v>5000</v>
      </c>
      <c r="V684" s="6" t="str">
        <f>IF(Table1_1[[#This Row],[Occupation]]="Skilled manual","Blue collar",IF(Table1_1[[#This Row],[Occupation]]="Manual","Blue collar","White collar"))</f>
        <v>White collar</v>
      </c>
    </row>
    <row r="685" spans="1:22" x14ac:dyDescent="0.3">
      <c r="A685" t="s">
        <v>719</v>
      </c>
      <c r="B685" s="6" t="s">
        <v>1042</v>
      </c>
      <c r="C685" s="6" t="s">
        <v>1045</v>
      </c>
      <c r="D685" s="3">
        <v>90000</v>
      </c>
      <c r="E685">
        <v>5</v>
      </c>
      <c r="F685" s="6" t="s">
        <v>19</v>
      </c>
      <c r="G685" s="6" t="s">
        <v>21</v>
      </c>
      <c r="H685" s="6" t="s">
        <v>15</v>
      </c>
      <c r="I685">
        <v>3</v>
      </c>
      <c r="J685" t="s">
        <v>22</v>
      </c>
      <c r="K6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85" s="6" t="s">
        <v>32</v>
      </c>
      <c r="M685" s="7">
        <v>40</v>
      </c>
      <c r="N685" t="s">
        <v>18</v>
      </c>
      <c r="O685" s="9" t="str">
        <f>IF(Table1_1[[#This Row],[Purchased Bike]]="yes","1","0")</f>
        <v>0</v>
      </c>
      <c r="P685" s="4" t="str">
        <f>IF(Table1_1[[#This Row],[Income]]&lt;=30000,"Low ",IF(Table1_1[[#This Row],[Income]]&lt;=70000,"Middle","High"))</f>
        <v>High</v>
      </c>
      <c r="Q685" s="6" t="str">
        <f>IF(Table1_1[[#This Row],[Age]]&lt;30,"Young",IF(Table1_1[[#This Row],[Age]]&lt;50,"Middle aged","Senior citizen"))</f>
        <v>Middle aged</v>
      </c>
      <c r="R685" s="7">
        <f>IF(Table1_1[[#This Row],[Marriedarital SingletatuSingle]]="M",Table1_1[[#This Row],[Children]]+2,Table1_1[[#This Row],[Children]]+1)</f>
        <v>6</v>
      </c>
      <c r="S685" s="4" t="str">
        <f>IF(Table1_1[[#This Row],[Cars]]=0,"No","Yes")</f>
        <v>Yes</v>
      </c>
      <c r="T685" s="6" t="str">
        <f>IF(AND(Table1_1[[#This Row],[Income]]&gt;50000,Table1_1[[#This Row],[Home Owner]]="Yes"),"High stability","Low stability")</f>
        <v>High stability</v>
      </c>
      <c r="U685" s="3">
        <f>Table1_1[[#This Row],[Income]]/Table1_1[[#This Row],[Family size]]</f>
        <v>15000</v>
      </c>
      <c r="V685" s="6" t="str">
        <f>IF(Table1_1[[#This Row],[Occupation]]="Skilled manual","Blue collar",IF(Table1_1[[#This Row],[Occupation]]="Manual","Blue collar","White collar"))</f>
        <v>White collar</v>
      </c>
    </row>
    <row r="686" spans="1:22" x14ac:dyDescent="0.3">
      <c r="A686" t="s">
        <v>720</v>
      </c>
      <c r="B686" s="6" t="s">
        <v>1044</v>
      </c>
      <c r="C686" s="6" t="s">
        <v>1045</v>
      </c>
      <c r="D686" s="3">
        <v>60000</v>
      </c>
      <c r="E686">
        <v>4</v>
      </c>
      <c r="F686" s="6" t="s">
        <v>13</v>
      </c>
      <c r="G686" s="6" t="s">
        <v>14</v>
      </c>
      <c r="H686" s="6" t="s">
        <v>18</v>
      </c>
      <c r="I686">
        <v>2</v>
      </c>
      <c r="J686" t="s">
        <v>16</v>
      </c>
      <c r="K6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86" s="6" t="s">
        <v>32</v>
      </c>
      <c r="M686" s="7">
        <v>42</v>
      </c>
      <c r="N686" t="s">
        <v>18</v>
      </c>
      <c r="O686" s="9" t="str">
        <f>IF(Table1_1[[#This Row],[Purchased Bike]]="yes","1","0")</f>
        <v>0</v>
      </c>
      <c r="P686" s="4" t="str">
        <f>IF(Table1_1[[#This Row],[Income]]&lt;=30000,"Low ",IF(Table1_1[[#This Row],[Income]]&lt;=70000,"Middle","High"))</f>
        <v>Middle</v>
      </c>
      <c r="Q686" s="6" t="str">
        <f>IF(Table1_1[[#This Row],[Age]]&lt;30,"Young",IF(Table1_1[[#This Row],[Age]]&lt;50,"Middle aged","Senior citizen"))</f>
        <v>Middle aged</v>
      </c>
      <c r="R686" s="7">
        <f>IF(Table1_1[[#This Row],[Marriedarital SingletatuSingle]]="M",Table1_1[[#This Row],[Children]]+2,Table1_1[[#This Row],[Children]]+1)</f>
        <v>5</v>
      </c>
      <c r="S686" s="4" t="str">
        <f>IF(Table1_1[[#This Row],[Cars]]=0,"No","Yes")</f>
        <v>Yes</v>
      </c>
      <c r="T686" s="6" t="str">
        <f>IF(AND(Table1_1[[#This Row],[Income]]&gt;50000,Table1_1[[#This Row],[Home Owner]]="Yes"),"High stability","Low stability")</f>
        <v>Low stability</v>
      </c>
      <c r="U686" s="3">
        <f>Table1_1[[#This Row],[Income]]/Table1_1[[#This Row],[Family size]]</f>
        <v>12000</v>
      </c>
      <c r="V686" s="6" t="str">
        <f>IF(Table1_1[[#This Row],[Occupation]]="Skilled manual","Blue collar",IF(Table1_1[[#This Row],[Occupation]]="Manual","Blue collar","White collar"))</f>
        <v>Blue collar</v>
      </c>
    </row>
    <row r="687" spans="1:22" x14ac:dyDescent="0.3">
      <c r="A687" t="s">
        <v>721</v>
      </c>
      <c r="B687" s="6" t="s">
        <v>1044</v>
      </c>
      <c r="C687" s="6" t="s">
        <v>1045</v>
      </c>
      <c r="D687" s="3">
        <v>60000</v>
      </c>
      <c r="E687">
        <v>3</v>
      </c>
      <c r="F687" s="6" t="s">
        <v>31</v>
      </c>
      <c r="G687" s="6" t="s">
        <v>28</v>
      </c>
      <c r="H687" s="6" t="s">
        <v>15</v>
      </c>
      <c r="I687">
        <v>2</v>
      </c>
      <c r="J687" t="s">
        <v>23</v>
      </c>
      <c r="K6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87" s="6" t="s">
        <v>32</v>
      </c>
      <c r="M687" s="7">
        <v>53</v>
      </c>
      <c r="N687" t="s">
        <v>15</v>
      </c>
      <c r="O687" s="9" t="str">
        <f>IF(Table1_1[[#This Row],[Purchased Bike]]="yes","1","0")</f>
        <v>1</v>
      </c>
      <c r="P687" s="4" t="str">
        <f>IF(Table1_1[[#This Row],[Income]]&lt;=30000,"Low ",IF(Table1_1[[#This Row],[Income]]&lt;=70000,"Middle","High"))</f>
        <v>Middle</v>
      </c>
      <c r="Q687" s="6" t="str">
        <f>IF(Table1_1[[#This Row],[Age]]&lt;30,"Young",IF(Table1_1[[#This Row],[Age]]&lt;50,"Middle aged","Senior citizen"))</f>
        <v>Senior citizen</v>
      </c>
      <c r="R687" s="7">
        <f>IF(Table1_1[[#This Row],[Marriedarital SingletatuSingle]]="M",Table1_1[[#This Row],[Children]]+2,Table1_1[[#This Row],[Children]]+1)</f>
        <v>4</v>
      </c>
      <c r="S687" s="4" t="str">
        <f>IF(Table1_1[[#This Row],[Cars]]=0,"No","Yes")</f>
        <v>Yes</v>
      </c>
      <c r="T687" s="6" t="str">
        <f>IF(AND(Table1_1[[#This Row],[Income]]&gt;50000,Table1_1[[#This Row],[Home Owner]]="Yes"),"High stability","Low stability")</f>
        <v>High stability</v>
      </c>
      <c r="U687" s="3">
        <f>Table1_1[[#This Row],[Income]]/Table1_1[[#This Row],[Family size]]</f>
        <v>15000</v>
      </c>
      <c r="V687" s="6" t="str">
        <f>IF(Table1_1[[#This Row],[Occupation]]="Skilled manual","Blue collar",IF(Table1_1[[#This Row],[Occupation]]="Manual","Blue collar","White collar"))</f>
        <v>White collar</v>
      </c>
    </row>
    <row r="688" spans="1:22" x14ac:dyDescent="0.3">
      <c r="A688" t="s">
        <v>722</v>
      </c>
      <c r="B688" s="6" t="s">
        <v>1042</v>
      </c>
      <c r="C688" s="6" t="s">
        <v>1045</v>
      </c>
      <c r="D688" s="3">
        <v>40000</v>
      </c>
      <c r="E688">
        <v>1</v>
      </c>
      <c r="F688" s="6" t="s">
        <v>19</v>
      </c>
      <c r="G688" s="6" t="s">
        <v>20</v>
      </c>
      <c r="H688" s="6" t="s">
        <v>15</v>
      </c>
      <c r="I688">
        <v>1</v>
      </c>
      <c r="J688" t="s">
        <v>26</v>
      </c>
      <c r="K6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88" s="6" t="s">
        <v>32</v>
      </c>
      <c r="M688" s="7">
        <v>51</v>
      </c>
      <c r="N688" t="s">
        <v>15</v>
      </c>
      <c r="O688" s="9" t="str">
        <f>IF(Table1_1[[#This Row],[Purchased Bike]]="yes","1","0")</f>
        <v>1</v>
      </c>
      <c r="P688" s="4" t="str">
        <f>IF(Table1_1[[#This Row],[Income]]&lt;=30000,"Low ",IF(Table1_1[[#This Row],[Income]]&lt;=70000,"Middle","High"))</f>
        <v>Middle</v>
      </c>
      <c r="Q688" s="6" t="str">
        <f>IF(Table1_1[[#This Row],[Age]]&lt;30,"Young",IF(Table1_1[[#This Row],[Age]]&lt;50,"Middle aged","Senior citizen"))</f>
        <v>Senior citizen</v>
      </c>
      <c r="R688" s="7">
        <f>IF(Table1_1[[#This Row],[Marriedarital SingletatuSingle]]="M",Table1_1[[#This Row],[Children]]+2,Table1_1[[#This Row],[Children]]+1)</f>
        <v>2</v>
      </c>
      <c r="S688" s="4" t="str">
        <f>IF(Table1_1[[#This Row],[Cars]]=0,"No","Yes")</f>
        <v>Yes</v>
      </c>
      <c r="T688" s="6" t="str">
        <f>IF(AND(Table1_1[[#This Row],[Income]]&gt;50000,Table1_1[[#This Row],[Home Owner]]="Yes"),"High stability","Low stability")</f>
        <v>Low stability</v>
      </c>
      <c r="U688" s="3">
        <f>Table1_1[[#This Row],[Income]]/Table1_1[[#This Row],[Family size]]</f>
        <v>20000</v>
      </c>
      <c r="V688" s="6" t="str">
        <f>IF(Table1_1[[#This Row],[Occupation]]="Skilled manual","Blue collar",IF(Table1_1[[#This Row],[Occupation]]="Manual","Blue collar","White collar"))</f>
        <v>White collar</v>
      </c>
    </row>
    <row r="689" spans="1:22" x14ac:dyDescent="0.3">
      <c r="A689" t="s">
        <v>723</v>
      </c>
      <c r="B689" s="6" t="s">
        <v>1044</v>
      </c>
      <c r="C689" s="6" t="s">
        <v>1046</v>
      </c>
      <c r="D689" s="3">
        <v>30000</v>
      </c>
      <c r="E689">
        <v>0</v>
      </c>
      <c r="F689" s="6" t="s">
        <v>19</v>
      </c>
      <c r="G689" s="6" t="s">
        <v>14</v>
      </c>
      <c r="H689" s="6" t="s">
        <v>15</v>
      </c>
      <c r="I689">
        <v>2</v>
      </c>
      <c r="J689" t="s">
        <v>23</v>
      </c>
      <c r="K6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89" s="6" t="s">
        <v>32</v>
      </c>
      <c r="M689" s="7">
        <v>30</v>
      </c>
      <c r="N689" t="s">
        <v>18</v>
      </c>
      <c r="O689" s="9" t="str">
        <f>IF(Table1_1[[#This Row],[Purchased Bike]]="yes","1","0")</f>
        <v>0</v>
      </c>
      <c r="P689" s="4" t="str">
        <f>IF(Table1_1[[#This Row],[Income]]&lt;=30000,"Low ",IF(Table1_1[[#This Row],[Income]]&lt;=70000,"Middle","High"))</f>
        <v xml:space="preserve">Low </v>
      </c>
      <c r="Q689" s="6" t="str">
        <f>IF(Table1_1[[#This Row],[Age]]&lt;30,"Young",IF(Table1_1[[#This Row],[Age]]&lt;50,"Middle aged","Senior citizen"))</f>
        <v>Middle aged</v>
      </c>
      <c r="R689" s="7">
        <f>IF(Table1_1[[#This Row],[Marriedarital SingletatuSingle]]="M",Table1_1[[#This Row],[Children]]+2,Table1_1[[#This Row],[Children]]+1)</f>
        <v>1</v>
      </c>
      <c r="S689" s="4" t="str">
        <f>IF(Table1_1[[#This Row],[Cars]]=0,"No","Yes")</f>
        <v>Yes</v>
      </c>
      <c r="T689" s="6" t="str">
        <f>IF(AND(Table1_1[[#This Row],[Income]]&gt;50000,Table1_1[[#This Row],[Home Owner]]="Yes"),"High stability","Low stability")</f>
        <v>Low stability</v>
      </c>
      <c r="U689" s="3">
        <f>Table1_1[[#This Row],[Income]]/Table1_1[[#This Row],[Family size]]</f>
        <v>30000</v>
      </c>
      <c r="V689" s="6" t="str">
        <f>IF(Table1_1[[#This Row],[Occupation]]="Skilled manual","Blue collar",IF(Table1_1[[#This Row],[Occupation]]="Manual","Blue collar","White collar"))</f>
        <v>Blue collar</v>
      </c>
    </row>
    <row r="690" spans="1:22" x14ac:dyDescent="0.3">
      <c r="A690" t="s">
        <v>724</v>
      </c>
      <c r="B690" s="6" t="s">
        <v>1044</v>
      </c>
      <c r="C690" s="6" t="s">
        <v>1046</v>
      </c>
      <c r="D690" s="3">
        <v>60000</v>
      </c>
      <c r="E690">
        <v>0</v>
      </c>
      <c r="F690" s="6" t="s">
        <v>13</v>
      </c>
      <c r="G690" s="6" t="s">
        <v>14</v>
      </c>
      <c r="H690" s="6" t="s">
        <v>18</v>
      </c>
      <c r="I690">
        <v>2</v>
      </c>
      <c r="J690" t="s">
        <v>16</v>
      </c>
      <c r="K6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90" s="6" t="s">
        <v>32</v>
      </c>
      <c r="M690" s="7">
        <v>30</v>
      </c>
      <c r="N690" t="s">
        <v>18</v>
      </c>
      <c r="O690" s="9" t="str">
        <f>IF(Table1_1[[#This Row],[Purchased Bike]]="yes","1","0")</f>
        <v>0</v>
      </c>
      <c r="P690" s="4" t="str">
        <f>IF(Table1_1[[#This Row],[Income]]&lt;=30000,"Low ",IF(Table1_1[[#This Row],[Income]]&lt;=70000,"Middle","High"))</f>
        <v>Middle</v>
      </c>
      <c r="Q690" s="6" t="str">
        <f>IF(Table1_1[[#This Row],[Age]]&lt;30,"Young",IF(Table1_1[[#This Row],[Age]]&lt;50,"Middle aged","Senior citizen"))</f>
        <v>Middle aged</v>
      </c>
      <c r="R690" s="7">
        <f>IF(Table1_1[[#This Row],[Marriedarital SingletatuSingle]]="M",Table1_1[[#This Row],[Children]]+2,Table1_1[[#This Row],[Children]]+1)</f>
        <v>1</v>
      </c>
      <c r="S690" s="4" t="str">
        <f>IF(Table1_1[[#This Row],[Cars]]=0,"No","Yes")</f>
        <v>Yes</v>
      </c>
      <c r="T690" s="6" t="str">
        <f>IF(AND(Table1_1[[#This Row],[Income]]&gt;50000,Table1_1[[#This Row],[Home Owner]]="Yes"),"High stability","Low stability")</f>
        <v>Low stability</v>
      </c>
      <c r="U690" s="3">
        <f>Table1_1[[#This Row],[Income]]/Table1_1[[#This Row],[Family size]]</f>
        <v>60000</v>
      </c>
      <c r="V690" s="6" t="str">
        <f>IF(Table1_1[[#This Row],[Occupation]]="Skilled manual","Blue collar",IF(Table1_1[[#This Row],[Occupation]]="Manual","Blue collar","White collar"))</f>
        <v>Blue collar</v>
      </c>
    </row>
    <row r="691" spans="1:22" x14ac:dyDescent="0.3">
      <c r="A691" t="s">
        <v>725</v>
      </c>
      <c r="B691" s="6" t="s">
        <v>1042</v>
      </c>
      <c r="C691" s="6" t="s">
        <v>1046</v>
      </c>
      <c r="D691" s="3">
        <v>30000</v>
      </c>
      <c r="E691">
        <v>0</v>
      </c>
      <c r="F691" s="6" t="s">
        <v>27</v>
      </c>
      <c r="G691" s="6" t="s">
        <v>14</v>
      </c>
      <c r="H691" s="6" t="s">
        <v>15</v>
      </c>
      <c r="I691">
        <v>2</v>
      </c>
      <c r="J691" t="s">
        <v>23</v>
      </c>
      <c r="K6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691" s="6" t="s">
        <v>32</v>
      </c>
      <c r="M691" s="7">
        <v>26</v>
      </c>
      <c r="N691" t="s">
        <v>18</v>
      </c>
      <c r="O691" s="9" t="str">
        <f>IF(Table1_1[[#This Row],[Purchased Bike]]="yes","1","0")</f>
        <v>0</v>
      </c>
      <c r="P691" s="4" t="str">
        <f>IF(Table1_1[[#This Row],[Income]]&lt;=30000,"Low ",IF(Table1_1[[#This Row],[Income]]&lt;=70000,"Middle","High"))</f>
        <v xml:space="preserve">Low </v>
      </c>
      <c r="Q691" s="6" t="str">
        <f>IF(Table1_1[[#This Row],[Age]]&lt;30,"Young",IF(Table1_1[[#This Row],[Age]]&lt;50,"Middle aged","Senior citizen"))</f>
        <v>Young</v>
      </c>
      <c r="R691" s="7">
        <f>IF(Table1_1[[#This Row],[Marriedarital SingletatuSingle]]="M",Table1_1[[#This Row],[Children]]+2,Table1_1[[#This Row],[Children]]+1)</f>
        <v>1</v>
      </c>
      <c r="S691" s="4" t="str">
        <f>IF(Table1_1[[#This Row],[Cars]]=0,"No","Yes")</f>
        <v>Yes</v>
      </c>
      <c r="T691" s="6" t="str">
        <f>IF(AND(Table1_1[[#This Row],[Income]]&gt;50000,Table1_1[[#This Row],[Home Owner]]="Yes"),"High stability","Low stability")</f>
        <v>Low stability</v>
      </c>
      <c r="U691" s="3">
        <f>Table1_1[[#This Row],[Income]]/Table1_1[[#This Row],[Family size]]</f>
        <v>30000</v>
      </c>
      <c r="V691" s="6" t="str">
        <f>IF(Table1_1[[#This Row],[Occupation]]="Skilled manual","Blue collar",IF(Table1_1[[#This Row],[Occupation]]="Manual","Blue collar","White collar"))</f>
        <v>Blue collar</v>
      </c>
    </row>
    <row r="692" spans="1:22" x14ac:dyDescent="0.3">
      <c r="A692" t="s">
        <v>726</v>
      </c>
      <c r="B692" s="6" t="s">
        <v>1044</v>
      </c>
      <c r="C692" s="6" t="s">
        <v>1045</v>
      </c>
      <c r="D692" s="3">
        <v>130000</v>
      </c>
      <c r="E692">
        <v>1</v>
      </c>
      <c r="F692" s="6" t="s">
        <v>13</v>
      </c>
      <c r="G692" s="6" t="s">
        <v>28</v>
      </c>
      <c r="H692" s="6" t="s">
        <v>18</v>
      </c>
      <c r="I692">
        <v>1</v>
      </c>
      <c r="J692" t="s">
        <v>22</v>
      </c>
      <c r="K6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92" s="6" t="s">
        <v>32</v>
      </c>
      <c r="M692" s="7">
        <v>45</v>
      </c>
      <c r="N692" t="s">
        <v>18</v>
      </c>
      <c r="O692" s="9" t="str">
        <f>IF(Table1_1[[#This Row],[Purchased Bike]]="yes","1","0")</f>
        <v>0</v>
      </c>
      <c r="P692" s="4" t="str">
        <f>IF(Table1_1[[#This Row],[Income]]&lt;=30000,"Low ",IF(Table1_1[[#This Row],[Income]]&lt;=70000,"Middle","High"))</f>
        <v>High</v>
      </c>
      <c r="Q692" s="6" t="str">
        <f>IF(Table1_1[[#This Row],[Age]]&lt;30,"Young",IF(Table1_1[[#This Row],[Age]]&lt;50,"Middle aged","Senior citizen"))</f>
        <v>Middle aged</v>
      </c>
      <c r="R692" s="7">
        <f>IF(Table1_1[[#This Row],[Marriedarital SingletatuSingle]]="M",Table1_1[[#This Row],[Children]]+2,Table1_1[[#This Row],[Children]]+1)</f>
        <v>2</v>
      </c>
      <c r="S692" s="4" t="str">
        <f>IF(Table1_1[[#This Row],[Cars]]=0,"No","Yes")</f>
        <v>Yes</v>
      </c>
      <c r="T692" s="6" t="str">
        <f>IF(AND(Table1_1[[#This Row],[Income]]&gt;50000,Table1_1[[#This Row],[Home Owner]]="Yes"),"High stability","Low stability")</f>
        <v>Low stability</v>
      </c>
      <c r="U692" s="3">
        <f>Table1_1[[#This Row],[Income]]/Table1_1[[#This Row],[Family size]]</f>
        <v>65000</v>
      </c>
      <c r="V692" s="6" t="str">
        <f>IF(Table1_1[[#This Row],[Occupation]]="Skilled manual","Blue collar",IF(Table1_1[[#This Row],[Occupation]]="Manual","Blue collar","White collar"))</f>
        <v>White collar</v>
      </c>
    </row>
    <row r="693" spans="1:22" x14ac:dyDescent="0.3">
      <c r="A693" t="s">
        <v>727</v>
      </c>
      <c r="B693" s="6" t="s">
        <v>1042</v>
      </c>
      <c r="C693" s="6" t="s">
        <v>1046</v>
      </c>
      <c r="D693" s="3">
        <v>50000</v>
      </c>
      <c r="E693">
        <v>1</v>
      </c>
      <c r="F693" s="6" t="s">
        <v>13</v>
      </c>
      <c r="G693" s="6" t="s">
        <v>14</v>
      </c>
      <c r="H693" s="6" t="s">
        <v>15</v>
      </c>
      <c r="I693">
        <v>0</v>
      </c>
      <c r="J693" t="s">
        <v>16</v>
      </c>
      <c r="K6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93" s="6" t="s">
        <v>32</v>
      </c>
      <c r="M693" s="7">
        <v>34</v>
      </c>
      <c r="N693" t="s">
        <v>15</v>
      </c>
      <c r="O693" s="9" t="str">
        <f>IF(Table1_1[[#This Row],[Purchased Bike]]="yes","1","0")</f>
        <v>1</v>
      </c>
      <c r="P693" s="4" t="str">
        <f>IF(Table1_1[[#This Row],[Income]]&lt;=30000,"Low ",IF(Table1_1[[#This Row],[Income]]&lt;=70000,"Middle","High"))</f>
        <v>Middle</v>
      </c>
      <c r="Q693" s="6" t="str">
        <f>IF(Table1_1[[#This Row],[Age]]&lt;30,"Young",IF(Table1_1[[#This Row],[Age]]&lt;50,"Middle aged","Senior citizen"))</f>
        <v>Middle aged</v>
      </c>
      <c r="R693" s="7">
        <f>IF(Table1_1[[#This Row],[Marriedarital SingletatuSingle]]="M",Table1_1[[#This Row],[Children]]+2,Table1_1[[#This Row],[Children]]+1)</f>
        <v>2</v>
      </c>
      <c r="S693" s="4" t="str">
        <f>IF(Table1_1[[#This Row],[Cars]]=0,"No","Yes")</f>
        <v>No</v>
      </c>
      <c r="T693" s="6" t="str">
        <f>IF(AND(Table1_1[[#This Row],[Income]]&gt;50000,Table1_1[[#This Row],[Home Owner]]="Yes"),"High stability","Low stability")</f>
        <v>Low stability</v>
      </c>
      <c r="U693" s="3">
        <f>Table1_1[[#This Row],[Income]]/Table1_1[[#This Row],[Family size]]</f>
        <v>25000</v>
      </c>
      <c r="V693" s="6" t="str">
        <f>IF(Table1_1[[#This Row],[Occupation]]="Skilled manual","Blue collar",IF(Table1_1[[#This Row],[Occupation]]="Manual","Blue collar","White collar"))</f>
        <v>Blue collar</v>
      </c>
    </row>
    <row r="694" spans="1:22" x14ac:dyDescent="0.3">
      <c r="A694" t="s">
        <v>728</v>
      </c>
      <c r="B694" s="6" t="s">
        <v>1042</v>
      </c>
      <c r="C694" s="6" t="s">
        <v>1046</v>
      </c>
      <c r="D694" s="3">
        <v>70000</v>
      </c>
      <c r="E694">
        <v>1</v>
      </c>
      <c r="F694" s="6" t="s">
        <v>13</v>
      </c>
      <c r="G694" s="6" t="s">
        <v>21</v>
      </c>
      <c r="H694" s="6" t="s">
        <v>15</v>
      </c>
      <c r="I694">
        <v>1</v>
      </c>
      <c r="J694" t="s">
        <v>22</v>
      </c>
      <c r="K6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694" s="6" t="s">
        <v>32</v>
      </c>
      <c r="M694" s="7">
        <v>44</v>
      </c>
      <c r="N694" t="s">
        <v>15</v>
      </c>
      <c r="O694" s="9" t="str">
        <f>IF(Table1_1[[#This Row],[Purchased Bike]]="yes","1","0")</f>
        <v>1</v>
      </c>
      <c r="P694" s="4" t="str">
        <f>IF(Table1_1[[#This Row],[Income]]&lt;=30000,"Low ",IF(Table1_1[[#This Row],[Income]]&lt;=70000,"Middle","High"))</f>
        <v>Middle</v>
      </c>
      <c r="Q694" s="6" t="str">
        <f>IF(Table1_1[[#This Row],[Age]]&lt;30,"Young",IF(Table1_1[[#This Row],[Age]]&lt;50,"Middle aged","Senior citizen"))</f>
        <v>Middle aged</v>
      </c>
      <c r="R694" s="7">
        <f>IF(Table1_1[[#This Row],[Marriedarital SingletatuSingle]]="M",Table1_1[[#This Row],[Children]]+2,Table1_1[[#This Row],[Children]]+1)</f>
        <v>2</v>
      </c>
      <c r="S694" s="4" t="str">
        <f>IF(Table1_1[[#This Row],[Cars]]=0,"No","Yes")</f>
        <v>Yes</v>
      </c>
      <c r="T694" s="6" t="str">
        <f>IF(AND(Table1_1[[#This Row],[Income]]&gt;50000,Table1_1[[#This Row],[Home Owner]]="Yes"),"High stability","Low stability")</f>
        <v>High stability</v>
      </c>
      <c r="U694" s="3">
        <f>Table1_1[[#This Row],[Income]]/Table1_1[[#This Row],[Family size]]</f>
        <v>35000</v>
      </c>
      <c r="V694" s="6" t="str">
        <f>IF(Table1_1[[#This Row],[Occupation]]="Skilled manual","Blue collar",IF(Table1_1[[#This Row],[Occupation]]="Manual","Blue collar","White collar"))</f>
        <v>White collar</v>
      </c>
    </row>
    <row r="695" spans="1:22" x14ac:dyDescent="0.3">
      <c r="A695" t="s">
        <v>729</v>
      </c>
      <c r="B695" s="6" t="s">
        <v>1044</v>
      </c>
      <c r="C695" s="6" t="s">
        <v>1045</v>
      </c>
      <c r="D695" s="3">
        <v>60000</v>
      </c>
      <c r="E695">
        <v>4</v>
      </c>
      <c r="F695" s="6" t="s">
        <v>13</v>
      </c>
      <c r="G695" s="6" t="s">
        <v>14</v>
      </c>
      <c r="H695" s="6" t="s">
        <v>18</v>
      </c>
      <c r="I695">
        <v>2</v>
      </c>
      <c r="J695" t="s">
        <v>16</v>
      </c>
      <c r="K6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95" s="6" t="s">
        <v>32</v>
      </c>
      <c r="M695" s="7">
        <v>41</v>
      </c>
      <c r="N695" t="s">
        <v>15</v>
      </c>
      <c r="O695" s="9" t="str">
        <f>IF(Table1_1[[#This Row],[Purchased Bike]]="yes","1","0")</f>
        <v>1</v>
      </c>
      <c r="P695" s="4" t="str">
        <f>IF(Table1_1[[#This Row],[Income]]&lt;=30000,"Low ",IF(Table1_1[[#This Row],[Income]]&lt;=70000,"Middle","High"))</f>
        <v>Middle</v>
      </c>
      <c r="Q695" s="6" t="str">
        <f>IF(Table1_1[[#This Row],[Age]]&lt;30,"Young",IF(Table1_1[[#This Row],[Age]]&lt;50,"Middle aged","Senior citizen"))</f>
        <v>Middle aged</v>
      </c>
      <c r="R695" s="7">
        <f>IF(Table1_1[[#This Row],[Marriedarital SingletatuSingle]]="M",Table1_1[[#This Row],[Children]]+2,Table1_1[[#This Row],[Children]]+1)</f>
        <v>5</v>
      </c>
      <c r="S695" s="4" t="str">
        <f>IF(Table1_1[[#This Row],[Cars]]=0,"No","Yes")</f>
        <v>Yes</v>
      </c>
      <c r="T695" s="6" t="str">
        <f>IF(AND(Table1_1[[#This Row],[Income]]&gt;50000,Table1_1[[#This Row],[Home Owner]]="Yes"),"High stability","Low stability")</f>
        <v>Low stability</v>
      </c>
      <c r="U695" s="3">
        <f>Table1_1[[#This Row],[Income]]/Table1_1[[#This Row],[Family size]]</f>
        <v>12000</v>
      </c>
      <c r="V695" s="6" t="str">
        <f>IF(Table1_1[[#This Row],[Occupation]]="Skilled manual","Blue collar",IF(Table1_1[[#This Row],[Occupation]]="Manual","Blue collar","White collar"))</f>
        <v>Blue collar</v>
      </c>
    </row>
    <row r="696" spans="1:22" x14ac:dyDescent="0.3">
      <c r="A696" t="s">
        <v>730</v>
      </c>
      <c r="B696" s="6" t="s">
        <v>1044</v>
      </c>
      <c r="C696" s="6" t="s">
        <v>1045</v>
      </c>
      <c r="D696" s="3">
        <v>80000</v>
      </c>
      <c r="E696">
        <v>3</v>
      </c>
      <c r="F696" s="6" t="s">
        <v>31</v>
      </c>
      <c r="G696" s="6" t="s">
        <v>21</v>
      </c>
      <c r="H696" s="6" t="s">
        <v>18</v>
      </c>
      <c r="I696">
        <v>0</v>
      </c>
      <c r="J696" t="s">
        <v>16</v>
      </c>
      <c r="K6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96" s="6" t="s">
        <v>32</v>
      </c>
      <c r="M696" s="7">
        <v>36</v>
      </c>
      <c r="N696" t="s">
        <v>15</v>
      </c>
      <c r="O696" s="9" t="str">
        <f>IF(Table1_1[[#This Row],[Purchased Bike]]="yes","1","0")</f>
        <v>1</v>
      </c>
      <c r="P696" s="4" t="str">
        <f>IF(Table1_1[[#This Row],[Income]]&lt;=30000,"Low ",IF(Table1_1[[#This Row],[Income]]&lt;=70000,"Middle","High"))</f>
        <v>High</v>
      </c>
      <c r="Q696" s="6" t="str">
        <f>IF(Table1_1[[#This Row],[Age]]&lt;30,"Young",IF(Table1_1[[#This Row],[Age]]&lt;50,"Middle aged","Senior citizen"))</f>
        <v>Middle aged</v>
      </c>
      <c r="R696" s="7">
        <f>IF(Table1_1[[#This Row],[Marriedarital SingletatuSingle]]="M",Table1_1[[#This Row],[Children]]+2,Table1_1[[#This Row],[Children]]+1)</f>
        <v>4</v>
      </c>
      <c r="S696" s="4" t="str">
        <f>IF(Table1_1[[#This Row],[Cars]]=0,"No","Yes")</f>
        <v>No</v>
      </c>
      <c r="T696" s="6" t="str">
        <f>IF(AND(Table1_1[[#This Row],[Income]]&gt;50000,Table1_1[[#This Row],[Home Owner]]="Yes"),"High stability","Low stability")</f>
        <v>Low stability</v>
      </c>
      <c r="U696" s="3">
        <f>Table1_1[[#This Row],[Income]]/Table1_1[[#This Row],[Family size]]</f>
        <v>20000</v>
      </c>
      <c r="V696" s="6" t="str">
        <f>IF(Table1_1[[#This Row],[Occupation]]="Skilled manual","Blue collar",IF(Table1_1[[#This Row],[Occupation]]="Manual","Blue collar","White collar"))</f>
        <v>White collar</v>
      </c>
    </row>
    <row r="697" spans="1:22" x14ac:dyDescent="0.3">
      <c r="A697" t="s">
        <v>731</v>
      </c>
      <c r="B697" s="6" t="s">
        <v>1042</v>
      </c>
      <c r="C697" s="6" t="s">
        <v>1046</v>
      </c>
      <c r="D697" s="3">
        <v>80000</v>
      </c>
      <c r="E697">
        <v>5</v>
      </c>
      <c r="F697" s="6" t="s">
        <v>19</v>
      </c>
      <c r="G697" s="6" t="s">
        <v>21</v>
      </c>
      <c r="H697" s="6" t="s">
        <v>15</v>
      </c>
      <c r="I697">
        <v>2</v>
      </c>
      <c r="J697" t="s">
        <v>16</v>
      </c>
      <c r="K6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97" s="6" t="s">
        <v>32</v>
      </c>
      <c r="M697" s="7">
        <v>44</v>
      </c>
      <c r="N697" t="s">
        <v>18</v>
      </c>
      <c r="O697" s="9" t="str">
        <f>IF(Table1_1[[#This Row],[Purchased Bike]]="yes","1","0")</f>
        <v>0</v>
      </c>
      <c r="P697" s="4" t="str">
        <f>IF(Table1_1[[#This Row],[Income]]&lt;=30000,"Low ",IF(Table1_1[[#This Row],[Income]]&lt;=70000,"Middle","High"))</f>
        <v>High</v>
      </c>
      <c r="Q697" s="6" t="str">
        <f>IF(Table1_1[[#This Row],[Age]]&lt;30,"Young",IF(Table1_1[[#This Row],[Age]]&lt;50,"Middle aged","Senior citizen"))</f>
        <v>Middle aged</v>
      </c>
      <c r="R697" s="7">
        <f>IF(Table1_1[[#This Row],[Marriedarital SingletatuSingle]]="M",Table1_1[[#This Row],[Children]]+2,Table1_1[[#This Row],[Children]]+1)</f>
        <v>6</v>
      </c>
      <c r="S697" s="4" t="str">
        <f>IF(Table1_1[[#This Row],[Cars]]=0,"No","Yes")</f>
        <v>Yes</v>
      </c>
      <c r="T697" s="6" t="str">
        <f>IF(AND(Table1_1[[#This Row],[Income]]&gt;50000,Table1_1[[#This Row],[Home Owner]]="Yes"),"High stability","Low stability")</f>
        <v>High stability</v>
      </c>
      <c r="U697" s="3">
        <f>Table1_1[[#This Row],[Income]]/Table1_1[[#This Row],[Family size]]</f>
        <v>13333.333333333334</v>
      </c>
      <c r="V697" s="6" t="str">
        <f>IF(Table1_1[[#This Row],[Occupation]]="Skilled manual","Blue collar",IF(Table1_1[[#This Row],[Occupation]]="Manual","Blue collar","White collar"))</f>
        <v>White collar</v>
      </c>
    </row>
    <row r="698" spans="1:22" x14ac:dyDescent="0.3">
      <c r="A698" t="s">
        <v>732</v>
      </c>
      <c r="B698" s="6" t="s">
        <v>1044</v>
      </c>
      <c r="C698" s="6" t="s">
        <v>1046</v>
      </c>
      <c r="D698" s="3">
        <v>60000</v>
      </c>
      <c r="E698">
        <v>0</v>
      </c>
      <c r="F698" s="6" t="s">
        <v>19</v>
      </c>
      <c r="G698" s="6" t="s">
        <v>21</v>
      </c>
      <c r="H698" s="6" t="s">
        <v>18</v>
      </c>
      <c r="I698">
        <v>2</v>
      </c>
      <c r="J698" t="s">
        <v>26</v>
      </c>
      <c r="K6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698" s="6" t="s">
        <v>32</v>
      </c>
      <c r="M698" s="7">
        <v>30</v>
      </c>
      <c r="N698" t="s">
        <v>18</v>
      </c>
      <c r="O698" s="9" t="str">
        <f>IF(Table1_1[[#This Row],[Purchased Bike]]="yes","1","0")</f>
        <v>0</v>
      </c>
      <c r="P698" s="4" t="str">
        <f>IF(Table1_1[[#This Row],[Income]]&lt;=30000,"Low ",IF(Table1_1[[#This Row],[Income]]&lt;=70000,"Middle","High"))</f>
        <v>Middle</v>
      </c>
      <c r="Q698" s="6" t="str">
        <f>IF(Table1_1[[#This Row],[Age]]&lt;30,"Young",IF(Table1_1[[#This Row],[Age]]&lt;50,"Middle aged","Senior citizen"))</f>
        <v>Middle aged</v>
      </c>
      <c r="R698" s="7">
        <f>IF(Table1_1[[#This Row],[Marriedarital SingletatuSingle]]="M",Table1_1[[#This Row],[Children]]+2,Table1_1[[#This Row],[Children]]+1)</f>
        <v>1</v>
      </c>
      <c r="S698" s="4" t="str">
        <f>IF(Table1_1[[#This Row],[Cars]]=0,"No","Yes")</f>
        <v>Yes</v>
      </c>
      <c r="T698" s="6" t="str">
        <f>IF(AND(Table1_1[[#This Row],[Income]]&gt;50000,Table1_1[[#This Row],[Home Owner]]="Yes"),"High stability","Low stability")</f>
        <v>Low stability</v>
      </c>
      <c r="U698" s="3">
        <f>Table1_1[[#This Row],[Income]]/Table1_1[[#This Row],[Family size]]</f>
        <v>60000</v>
      </c>
      <c r="V698" s="6" t="str">
        <f>IF(Table1_1[[#This Row],[Occupation]]="Skilled manual","Blue collar",IF(Table1_1[[#This Row],[Occupation]]="Manual","Blue collar","White collar"))</f>
        <v>White collar</v>
      </c>
    </row>
    <row r="699" spans="1:22" x14ac:dyDescent="0.3">
      <c r="A699" t="s">
        <v>733</v>
      </c>
      <c r="B699" s="6" t="s">
        <v>1042</v>
      </c>
      <c r="C699" s="6" t="s">
        <v>1045</v>
      </c>
      <c r="D699" s="3">
        <v>30000</v>
      </c>
      <c r="E699">
        <v>0</v>
      </c>
      <c r="F699" s="6" t="s">
        <v>29</v>
      </c>
      <c r="G699" s="6" t="s">
        <v>20</v>
      </c>
      <c r="H699" s="6" t="s">
        <v>18</v>
      </c>
      <c r="I699">
        <v>2</v>
      </c>
      <c r="J699" t="s">
        <v>16</v>
      </c>
      <c r="K6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699" s="6" t="s">
        <v>32</v>
      </c>
      <c r="M699" s="7">
        <v>28</v>
      </c>
      <c r="N699" t="s">
        <v>18</v>
      </c>
      <c r="O699" s="9" t="str">
        <f>IF(Table1_1[[#This Row],[Purchased Bike]]="yes","1","0")</f>
        <v>0</v>
      </c>
      <c r="P699" s="4" t="str">
        <f>IF(Table1_1[[#This Row],[Income]]&lt;=30000,"Low ",IF(Table1_1[[#This Row],[Income]]&lt;=70000,"Middle","High"))</f>
        <v xml:space="preserve">Low </v>
      </c>
      <c r="Q699" s="6" t="str">
        <f>IF(Table1_1[[#This Row],[Age]]&lt;30,"Young",IF(Table1_1[[#This Row],[Age]]&lt;50,"Middle aged","Senior citizen"))</f>
        <v>Young</v>
      </c>
      <c r="R699" s="7">
        <f>IF(Table1_1[[#This Row],[Marriedarital SingletatuSingle]]="M",Table1_1[[#This Row],[Children]]+2,Table1_1[[#This Row],[Children]]+1)</f>
        <v>1</v>
      </c>
      <c r="S699" s="4" t="str">
        <f>IF(Table1_1[[#This Row],[Cars]]=0,"No","Yes")</f>
        <v>Yes</v>
      </c>
      <c r="T699" s="6" t="str">
        <f>IF(AND(Table1_1[[#This Row],[Income]]&gt;50000,Table1_1[[#This Row],[Home Owner]]="Yes"),"High stability","Low stability")</f>
        <v>Low stability</v>
      </c>
      <c r="U699" s="3">
        <f>Table1_1[[#This Row],[Income]]/Table1_1[[#This Row],[Family size]]</f>
        <v>30000</v>
      </c>
      <c r="V699" s="6" t="str">
        <f>IF(Table1_1[[#This Row],[Occupation]]="Skilled manual","Blue collar",IF(Table1_1[[#This Row],[Occupation]]="Manual","Blue collar","White collar"))</f>
        <v>White collar</v>
      </c>
    </row>
    <row r="700" spans="1:22" x14ac:dyDescent="0.3">
      <c r="A700" t="s">
        <v>734</v>
      </c>
      <c r="B700" s="6" t="s">
        <v>1042</v>
      </c>
      <c r="C700" s="6" t="s">
        <v>1046</v>
      </c>
      <c r="D700" s="3">
        <v>20000</v>
      </c>
      <c r="E700">
        <v>2</v>
      </c>
      <c r="F700" s="6" t="s">
        <v>29</v>
      </c>
      <c r="G700" s="6" t="s">
        <v>20</v>
      </c>
      <c r="H700" s="6" t="s">
        <v>15</v>
      </c>
      <c r="I700">
        <v>2</v>
      </c>
      <c r="J700" t="s">
        <v>26</v>
      </c>
      <c r="K7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00" s="6" t="s">
        <v>32</v>
      </c>
      <c r="M700" s="7">
        <v>49</v>
      </c>
      <c r="N700" t="s">
        <v>18</v>
      </c>
      <c r="O700" s="9" t="str">
        <f>IF(Table1_1[[#This Row],[Purchased Bike]]="yes","1","0")</f>
        <v>0</v>
      </c>
      <c r="P700" s="4" t="str">
        <f>IF(Table1_1[[#This Row],[Income]]&lt;=30000,"Low ",IF(Table1_1[[#This Row],[Income]]&lt;=70000,"Middle","High"))</f>
        <v xml:space="preserve">Low </v>
      </c>
      <c r="Q700" s="6" t="str">
        <f>IF(Table1_1[[#This Row],[Age]]&lt;30,"Young",IF(Table1_1[[#This Row],[Age]]&lt;50,"Middle aged","Senior citizen"))</f>
        <v>Middle aged</v>
      </c>
      <c r="R700" s="7">
        <f>IF(Table1_1[[#This Row],[Marriedarital SingletatuSingle]]="M",Table1_1[[#This Row],[Children]]+2,Table1_1[[#This Row],[Children]]+1)</f>
        <v>3</v>
      </c>
      <c r="S700" s="4" t="str">
        <f>IF(Table1_1[[#This Row],[Cars]]=0,"No","Yes")</f>
        <v>Yes</v>
      </c>
      <c r="T700" s="6" t="str">
        <f>IF(AND(Table1_1[[#This Row],[Income]]&gt;50000,Table1_1[[#This Row],[Home Owner]]="Yes"),"High stability","Low stability")</f>
        <v>Low stability</v>
      </c>
      <c r="U700" s="3">
        <f>Table1_1[[#This Row],[Income]]/Table1_1[[#This Row],[Family size]]</f>
        <v>6666.666666666667</v>
      </c>
      <c r="V700" s="6" t="str">
        <f>IF(Table1_1[[#This Row],[Occupation]]="Skilled manual","Blue collar",IF(Table1_1[[#This Row],[Occupation]]="Manual","Blue collar","White collar"))</f>
        <v>White collar</v>
      </c>
    </row>
    <row r="701" spans="1:22" x14ac:dyDescent="0.3">
      <c r="A701" t="s">
        <v>735</v>
      </c>
      <c r="B701" s="6" t="s">
        <v>1044</v>
      </c>
      <c r="C701" s="6" t="s">
        <v>1046</v>
      </c>
      <c r="D701" s="3">
        <v>90000</v>
      </c>
      <c r="E701">
        <v>0</v>
      </c>
      <c r="F701" s="6" t="s">
        <v>19</v>
      </c>
      <c r="G701" s="6" t="s">
        <v>21</v>
      </c>
      <c r="H701" s="6" t="s">
        <v>18</v>
      </c>
      <c r="I701">
        <v>2</v>
      </c>
      <c r="J701" t="s">
        <v>16</v>
      </c>
      <c r="K7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01" s="6" t="s">
        <v>32</v>
      </c>
      <c r="M701" s="7">
        <v>43</v>
      </c>
      <c r="N701" t="s">
        <v>15</v>
      </c>
      <c r="O701" s="9" t="str">
        <f>IF(Table1_1[[#This Row],[Purchased Bike]]="yes","1","0")</f>
        <v>1</v>
      </c>
      <c r="P701" s="4" t="str">
        <f>IF(Table1_1[[#This Row],[Income]]&lt;=30000,"Low ",IF(Table1_1[[#This Row],[Income]]&lt;=70000,"Middle","High"))</f>
        <v>High</v>
      </c>
      <c r="Q701" s="6" t="str">
        <f>IF(Table1_1[[#This Row],[Age]]&lt;30,"Young",IF(Table1_1[[#This Row],[Age]]&lt;50,"Middle aged","Senior citizen"))</f>
        <v>Middle aged</v>
      </c>
      <c r="R701" s="7">
        <f>IF(Table1_1[[#This Row],[Marriedarital SingletatuSingle]]="M",Table1_1[[#This Row],[Children]]+2,Table1_1[[#This Row],[Children]]+1)</f>
        <v>1</v>
      </c>
      <c r="S701" s="4" t="str">
        <f>IF(Table1_1[[#This Row],[Cars]]=0,"No","Yes")</f>
        <v>Yes</v>
      </c>
      <c r="T701" s="6" t="str">
        <f>IF(AND(Table1_1[[#This Row],[Income]]&gt;50000,Table1_1[[#This Row],[Home Owner]]="Yes"),"High stability","Low stability")</f>
        <v>Low stability</v>
      </c>
      <c r="U701" s="3">
        <f>Table1_1[[#This Row],[Income]]/Table1_1[[#This Row],[Family size]]</f>
        <v>90000</v>
      </c>
      <c r="V701" s="6" t="str">
        <f>IF(Table1_1[[#This Row],[Occupation]]="Skilled manual","Blue collar",IF(Table1_1[[#This Row],[Occupation]]="Manual","Blue collar","White collar"))</f>
        <v>White collar</v>
      </c>
    </row>
    <row r="702" spans="1:22" x14ac:dyDescent="0.3">
      <c r="A702" t="s">
        <v>736</v>
      </c>
      <c r="B702" s="6" t="s">
        <v>1042</v>
      </c>
      <c r="C702" s="6" t="s">
        <v>1045</v>
      </c>
      <c r="D702" s="3">
        <v>70000</v>
      </c>
      <c r="E702">
        <v>4</v>
      </c>
      <c r="F702" s="6" t="s">
        <v>13</v>
      </c>
      <c r="G702" s="6" t="s">
        <v>28</v>
      </c>
      <c r="H702" s="6" t="s">
        <v>15</v>
      </c>
      <c r="I702">
        <v>1</v>
      </c>
      <c r="J702" t="s">
        <v>26</v>
      </c>
      <c r="K70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02" s="6" t="s">
        <v>32</v>
      </c>
      <c r="M702" s="7">
        <v>59</v>
      </c>
      <c r="N702" t="s">
        <v>18</v>
      </c>
      <c r="O702" s="9" t="str">
        <f>IF(Table1_1[[#This Row],[Purchased Bike]]="yes","1","0")</f>
        <v>0</v>
      </c>
      <c r="P702" s="4" t="str">
        <f>IF(Table1_1[[#This Row],[Income]]&lt;=30000,"Low ",IF(Table1_1[[#This Row],[Income]]&lt;=70000,"Middle","High"))</f>
        <v>Middle</v>
      </c>
      <c r="Q702" s="6" t="str">
        <f>IF(Table1_1[[#This Row],[Age]]&lt;30,"Young",IF(Table1_1[[#This Row],[Age]]&lt;50,"Middle aged","Senior citizen"))</f>
        <v>Senior citizen</v>
      </c>
      <c r="R702" s="7">
        <f>IF(Table1_1[[#This Row],[Marriedarital SingletatuSingle]]="M",Table1_1[[#This Row],[Children]]+2,Table1_1[[#This Row],[Children]]+1)</f>
        <v>5</v>
      </c>
      <c r="S702" s="4" t="str">
        <f>IF(Table1_1[[#This Row],[Cars]]=0,"No","Yes")</f>
        <v>Yes</v>
      </c>
      <c r="T702" s="6" t="str">
        <f>IF(AND(Table1_1[[#This Row],[Income]]&gt;50000,Table1_1[[#This Row],[Home Owner]]="Yes"),"High stability","Low stability")</f>
        <v>High stability</v>
      </c>
      <c r="U702" s="3">
        <f>Table1_1[[#This Row],[Income]]/Table1_1[[#This Row],[Family size]]</f>
        <v>14000</v>
      </c>
      <c r="V702" s="6" t="str">
        <f>IF(Table1_1[[#This Row],[Occupation]]="Skilled manual","Blue collar",IF(Table1_1[[#This Row],[Occupation]]="Manual","Blue collar","White collar"))</f>
        <v>White collar</v>
      </c>
    </row>
    <row r="703" spans="1:22" x14ac:dyDescent="0.3">
      <c r="A703" t="s">
        <v>737</v>
      </c>
      <c r="B703" s="6" t="s">
        <v>1044</v>
      </c>
      <c r="C703" s="6" t="s">
        <v>1046</v>
      </c>
      <c r="D703" s="3">
        <v>30000</v>
      </c>
      <c r="E703">
        <v>0</v>
      </c>
      <c r="F703" s="6" t="s">
        <v>27</v>
      </c>
      <c r="G703" s="6" t="s">
        <v>14</v>
      </c>
      <c r="H703" s="6" t="s">
        <v>15</v>
      </c>
      <c r="I703">
        <v>2</v>
      </c>
      <c r="J703" t="s">
        <v>23</v>
      </c>
      <c r="K70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03" s="6" t="s">
        <v>32</v>
      </c>
      <c r="M703" s="7">
        <v>26</v>
      </c>
      <c r="N703" t="s">
        <v>18</v>
      </c>
      <c r="O703" s="9" t="str">
        <f>IF(Table1_1[[#This Row],[Purchased Bike]]="yes","1","0")</f>
        <v>0</v>
      </c>
      <c r="P703" s="4" t="str">
        <f>IF(Table1_1[[#This Row],[Income]]&lt;=30000,"Low ",IF(Table1_1[[#This Row],[Income]]&lt;=70000,"Middle","High"))</f>
        <v xml:space="preserve">Low </v>
      </c>
      <c r="Q703" s="6" t="str">
        <f>IF(Table1_1[[#This Row],[Age]]&lt;30,"Young",IF(Table1_1[[#This Row],[Age]]&lt;50,"Middle aged","Senior citizen"))</f>
        <v>Young</v>
      </c>
      <c r="R703" s="7">
        <f>IF(Table1_1[[#This Row],[Marriedarital SingletatuSingle]]="M",Table1_1[[#This Row],[Children]]+2,Table1_1[[#This Row],[Children]]+1)</f>
        <v>1</v>
      </c>
      <c r="S703" s="4" t="str">
        <f>IF(Table1_1[[#This Row],[Cars]]=0,"No","Yes")</f>
        <v>Yes</v>
      </c>
      <c r="T703" s="6" t="str">
        <f>IF(AND(Table1_1[[#This Row],[Income]]&gt;50000,Table1_1[[#This Row],[Home Owner]]="Yes"),"High stability","Low stability")</f>
        <v>Low stability</v>
      </c>
      <c r="U703" s="3">
        <f>Table1_1[[#This Row],[Income]]/Table1_1[[#This Row],[Family size]]</f>
        <v>30000</v>
      </c>
      <c r="V703" s="6" t="str">
        <f>IF(Table1_1[[#This Row],[Occupation]]="Skilled manual","Blue collar",IF(Table1_1[[#This Row],[Occupation]]="Manual","Blue collar","White collar"))</f>
        <v>Blue collar</v>
      </c>
    </row>
    <row r="704" spans="1:22" x14ac:dyDescent="0.3">
      <c r="A704" t="s">
        <v>738</v>
      </c>
      <c r="B704" s="6" t="s">
        <v>1042</v>
      </c>
      <c r="C704" s="6" t="s">
        <v>1046</v>
      </c>
      <c r="D704" s="3">
        <v>120000</v>
      </c>
      <c r="E704">
        <v>1</v>
      </c>
      <c r="F704" s="6" t="s">
        <v>27</v>
      </c>
      <c r="G704" s="6" t="s">
        <v>21</v>
      </c>
      <c r="H704" s="6" t="s">
        <v>15</v>
      </c>
      <c r="I704">
        <v>4</v>
      </c>
      <c r="J704" t="s">
        <v>23</v>
      </c>
      <c r="K70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04" s="6" t="s">
        <v>32</v>
      </c>
      <c r="M704" s="7">
        <v>46</v>
      </c>
      <c r="N704" t="s">
        <v>15</v>
      </c>
      <c r="O704" s="9" t="str">
        <f>IF(Table1_1[[#This Row],[Purchased Bike]]="yes","1","0")</f>
        <v>1</v>
      </c>
      <c r="P704" s="4" t="str">
        <f>IF(Table1_1[[#This Row],[Income]]&lt;=30000,"Low ",IF(Table1_1[[#This Row],[Income]]&lt;=70000,"Middle","High"))</f>
        <v>High</v>
      </c>
      <c r="Q704" s="6" t="str">
        <f>IF(Table1_1[[#This Row],[Age]]&lt;30,"Young",IF(Table1_1[[#This Row],[Age]]&lt;50,"Middle aged","Senior citizen"))</f>
        <v>Middle aged</v>
      </c>
      <c r="R704" s="7">
        <f>IF(Table1_1[[#This Row],[Marriedarital SingletatuSingle]]="M",Table1_1[[#This Row],[Children]]+2,Table1_1[[#This Row],[Children]]+1)</f>
        <v>2</v>
      </c>
      <c r="S704" s="4" t="str">
        <f>IF(Table1_1[[#This Row],[Cars]]=0,"No","Yes")</f>
        <v>Yes</v>
      </c>
      <c r="T704" s="6" t="str">
        <f>IF(AND(Table1_1[[#This Row],[Income]]&gt;50000,Table1_1[[#This Row],[Home Owner]]="Yes"),"High stability","Low stability")</f>
        <v>High stability</v>
      </c>
      <c r="U704" s="3">
        <f>Table1_1[[#This Row],[Income]]/Table1_1[[#This Row],[Family size]]</f>
        <v>60000</v>
      </c>
      <c r="V704" s="6" t="str">
        <f>IF(Table1_1[[#This Row],[Occupation]]="Skilled manual","Blue collar",IF(Table1_1[[#This Row],[Occupation]]="Manual","Blue collar","White collar"))</f>
        <v>White collar</v>
      </c>
    </row>
    <row r="705" spans="1:22" x14ac:dyDescent="0.3">
      <c r="A705" t="s">
        <v>739</v>
      </c>
      <c r="B705" s="6" t="s">
        <v>1044</v>
      </c>
      <c r="C705" s="6" t="s">
        <v>1045</v>
      </c>
      <c r="D705" s="3">
        <v>50000</v>
      </c>
      <c r="E705">
        <v>0</v>
      </c>
      <c r="F705" s="6" t="s">
        <v>31</v>
      </c>
      <c r="G705" s="6" t="s">
        <v>14</v>
      </c>
      <c r="H705" s="6" t="s">
        <v>15</v>
      </c>
      <c r="I705">
        <v>0</v>
      </c>
      <c r="J705" t="s">
        <v>26</v>
      </c>
      <c r="K70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05" s="6" t="s">
        <v>32</v>
      </c>
      <c r="M705" s="7">
        <v>33</v>
      </c>
      <c r="N705" t="s">
        <v>18</v>
      </c>
      <c r="O705" s="9" t="str">
        <f>IF(Table1_1[[#This Row],[Purchased Bike]]="yes","1","0")</f>
        <v>0</v>
      </c>
      <c r="P705" s="4" t="str">
        <f>IF(Table1_1[[#This Row],[Income]]&lt;=30000,"Low ",IF(Table1_1[[#This Row],[Income]]&lt;=70000,"Middle","High"))</f>
        <v>Middle</v>
      </c>
      <c r="Q705" s="6" t="str">
        <f>IF(Table1_1[[#This Row],[Age]]&lt;30,"Young",IF(Table1_1[[#This Row],[Age]]&lt;50,"Middle aged","Senior citizen"))</f>
        <v>Middle aged</v>
      </c>
      <c r="R705" s="7">
        <f>IF(Table1_1[[#This Row],[Marriedarital SingletatuSingle]]="M",Table1_1[[#This Row],[Children]]+2,Table1_1[[#This Row],[Children]]+1)</f>
        <v>1</v>
      </c>
      <c r="S705" s="4" t="str">
        <f>IF(Table1_1[[#This Row],[Cars]]=0,"No","Yes")</f>
        <v>No</v>
      </c>
      <c r="T705" s="6" t="str">
        <f>IF(AND(Table1_1[[#This Row],[Income]]&gt;50000,Table1_1[[#This Row],[Home Owner]]="Yes"),"High stability","Low stability")</f>
        <v>Low stability</v>
      </c>
      <c r="U705" s="3">
        <f>Table1_1[[#This Row],[Income]]/Table1_1[[#This Row],[Family size]]</f>
        <v>50000</v>
      </c>
      <c r="V705" s="6" t="str">
        <f>IF(Table1_1[[#This Row],[Occupation]]="Skilled manual","Blue collar",IF(Table1_1[[#This Row],[Occupation]]="Manual","Blue collar","White collar"))</f>
        <v>Blue collar</v>
      </c>
    </row>
    <row r="706" spans="1:22" x14ac:dyDescent="0.3">
      <c r="A706" t="s">
        <v>740</v>
      </c>
      <c r="B706" s="6" t="s">
        <v>1044</v>
      </c>
      <c r="C706" s="6" t="s">
        <v>1045</v>
      </c>
      <c r="D706" s="3">
        <v>40000</v>
      </c>
      <c r="E706">
        <v>0</v>
      </c>
      <c r="F706" s="6" t="s">
        <v>13</v>
      </c>
      <c r="G706" s="6" t="s">
        <v>21</v>
      </c>
      <c r="H706" s="6" t="s">
        <v>15</v>
      </c>
      <c r="I706">
        <v>1</v>
      </c>
      <c r="J706" t="s">
        <v>22</v>
      </c>
      <c r="K70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06" s="6" t="s">
        <v>32</v>
      </c>
      <c r="M706" s="7">
        <v>42</v>
      </c>
      <c r="N706" t="s">
        <v>15</v>
      </c>
      <c r="O706" s="9" t="str">
        <f>IF(Table1_1[[#This Row],[Purchased Bike]]="yes","1","0")</f>
        <v>1</v>
      </c>
      <c r="P706" s="4" t="str">
        <f>IF(Table1_1[[#This Row],[Income]]&lt;=30000,"Low ",IF(Table1_1[[#This Row],[Income]]&lt;=70000,"Middle","High"))</f>
        <v>Middle</v>
      </c>
      <c r="Q706" s="6" t="str">
        <f>IF(Table1_1[[#This Row],[Age]]&lt;30,"Young",IF(Table1_1[[#This Row],[Age]]&lt;50,"Middle aged","Senior citizen"))</f>
        <v>Middle aged</v>
      </c>
      <c r="R706" s="7">
        <f>IF(Table1_1[[#This Row],[Marriedarital SingletatuSingle]]="M",Table1_1[[#This Row],[Children]]+2,Table1_1[[#This Row],[Children]]+1)</f>
        <v>1</v>
      </c>
      <c r="S706" s="4" t="str">
        <f>IF(Table1_1[[#This Row],[Cars]]=0,"No","Yes")</f>
        <v>Yes</v>
      </c>
      <c r="T706" s="6" t="str">
        <f>IF(AND(Table1_1[[#This Row],[Income]]&gt;50000,Table1_1[[#This Row],[Home Owner]]="Yes"),"High stability","Low stability")</f>
        <v>Low stability</v>
      </c>
      <c r="U706" s="3">
        <f>Table1_1[[#This Row],[Income]]/Table1_1[[#This Row],[Family size]]</f>
        <v>40000</v>
      </c>
      <c r="V706" s="6" t="str">
        <f>IF(Table1_1[[#This Row],[Occupation]]="Skilled manual","Blue collar",IF(Table1_1[[#This Row],[Occupation]]="Manual","Blue collar","White collar"))</f>
        <v>White collar</v>
      </c>
    </row>
    <row r="707" spans="1:22" x14ac:dyDescent="0.3">
      <c r="A707" t="s">
        <v>741</v>
      </c>
      <c r="B707" s="6" t="s">
        <v>1042</v>
      </c>
      <c r="C707" s="6" t="s">
        <v>1045</v>
      </c>
      <c r="D707" s="3">
        <v>70000</v>
      </c>
      <c r="E707">
        <v>4</v>
      </c>
      <c r="F707" s="6" t="s">
        <v>13</v>
      </c>
      <c r="G707" s="6" t="s">
        <v>28</v>
      </c>
      <c r="H707" s="6" t="s">
        <v>15</v>
      </c>
      <c r="I707">
        <v>1</v>
      </c>
      <c r="J707" t="s">
        <v>30</v>
      </c>
      <c r="K70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07" s="6" t="s">
        <v>32</v>
      </c>
      <c r="M707" s="7">
        <v>59</v>
      </c>
      <c r="N707" t="s">
        <v>18</v>
      </c>
      <c r="O707" s="9" t="str">
        <f>IF(Table1_1[[#This Row],[Purchased Bike]]="yes","1","0")</f>
        <v>0</v>
      </c>
      <c r="P707" s="4" t="str">
        <f>IF(Table1_1[[#This Row],[Income]]&lt;=30000,"Low ",IF(Table1_1[[#This Row],[Income]]&lt;=70000,"Middle","High"))</f>
        <v>Middle</v>
      </c>
      <c r="Q707" s="6" t="str">
        <f>IF(Table1_1[[#This Row],[Age]]&lt;30,"Young",IF(Table1_1[[#This Row],[Age]]&lt;50,"Middle aged","Senior citizen"))</f>
        <v>Senior citizen</v>
      </c>
      <c r="R707" s="7">
        <f>IF(Table1_1[[#This Row],[Marriedarital SingletatuSingle]]="M",Table1_1[[#This Row],[Children]]+2,Table1_1[[#This Row],[Children]]+1)</f>
        <v>5</v>
      </c>
      <c r="S707" s="4" t="str">
        <f>IF(Table1_1[[#This Row],[Cars]]=0,"No","Yes")</f>
        <v>Yes</v>
      </c>
      <c r="T707" s="6" t="str">
        <f>IF(AND(Table1_1[[#This Row],[Income]]&gt;50000,Table1_1[[#This Row],[Home Owner]]="Yes"),"High stability","Low stability")</f>
        <v>High stability</v>
      </c>
      <c r="U707" s="3">
        <f>Table1_1[[#This Row],[Income]]/Table1_1[[#This Row],[Family size]]</f>
        <v>14000</v>
      </c>
      <c r="V707" s="6" t="str">
        <f>IF(Table1_1[[#This Row],[Occupation]]="Skilled manual","Blue collar",IF(Table1_1[[#This Row],[Occupation]]="Manual","Blue collar","White collar"))</f>
        <v>White collar</v>
      </c>
    </row>
    <row r="708" spans="1:22" x14ac:dyDescent="0.3">
      <c r="A708" t="s">
        <v>742</v>
      </c>
      <c r="B708" s="6" t="s">
        <v>1044</v>
      </c>
      <c r="C708" s="6" t="s">
        <v>1045</v>
      </c>
      <c r="D708" s="3">
        <v>60000</v>
      </c>
      <c r="E708">
        <v>0</v>
      </c>
      <c r="F708" s="6" t="s">
        <v>19</v>
      </c>
      <c r="G708" s="6" t="s">
        <v>14</v>
      </c>
      <c r="H708" s="6" t="s">
        <v>18</v>
      </c>
      <c r="I708">
        <v>1</v>
      </c>
      <c r="J708" t="s">
        <v>26</v>
      </c>
      <c r="K70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08" s="6" t="s">
        <v>32</v>
      </c>
      <c r="M708" s="7">
        <v>33</v>
      </c>
      <c r="N708" t="s">
        <v>15</v>
      </c>
      <c r="O708" s="9" t="str">
        <f>IF(Table1_1[[#This Row],[Purchased Bike]]="yes","1","0")</f>
        <v>1</v>
      </c>
      <c r="P708" s="4" t="str">
        <f>IF(Table1_1[[#This Row],[Income]]&lt;=30000,"Low ",IF(Table1_1[[#This Row],[Income]]&lt;=70000,"Middle","High"))</f>
        <v>Middle</v>
      </c>
      <c r="Q708" s="6" t="str">
        <f>IF(Table1_1[[#This Row],[Age]]&lt;30,"Young",IF(Table1_1[[#This Row],[Age]]&lt;50,"Middle aged","Senior citizen"))</f>
        <v>Middle aged</v>
      </c>
      <c r="R708" s="7">
        <f>IF(Table1_1[[#This Row],[Marriedarital SingletatuSingle]]="M",Table1_1[[#This Row],[Children]]+2,Table1_1[[#This Row],[Children]]+1)</f>
        <v>1</v>
      </c>
      <c r="S708" s="4" t="str">
        <f>IF(Table1_1[[#This Row],[Cars]]=0,"No","Yes")</f>
        <v>Yes</v>
      </c>
      <c r="T708" s="6" t="str">
        <f>IF(AND(Table1_1[[#This Row],[Income]]&gt;50000,Table1_1[[#This Row],[Home Owner]]="Yes"),"High stability","Low stability")</f>
        <v>Low stability</v>
      </c>
      <c r="U708" s="3">
        <f>Table1_1[[#This Row],[Income]]/Table1_1[[#This Row],[Family size]]</f>
        <v>60000</v>
      </c>
      <c r="V708" s="6" t="str">
        <f>IF(Table1_1[[#This Row],[Occupation]]="Skilled manual","Blue collar",IF(Table1_1[[#This Row],[Occupation]]="Manual","Blue collar","White collar"))</f>
        <v>Blue collar</v>
      </c>
    </row>
    <row r="709" spans="1:22" x14ac:dyDescent="0.3">
      <c r="A709" t="s">
        <v>743</v>
      </c>
      <c r="B709" s="6" t="s">
        <v>1042</v>
      </c>
      <c r="C709" s="6" t="s">
        <v>1045</v>
      </c>
      <c r="D709" s="3">
        <v>70000</v>
      </c>
      <c r="E709">
        <v>1</v>
      </c>
      <c r="F709" s="6" t="s">
        <v>19</v>
      </c>
      <c r="G709" s="6" t="s">
        <v>14</v>
      </c>
      <c r="H709" s="6" t="s">
        <v>15</v>
      </c>
      <c r="I709">
        <v>1</v>
      </c>
      <c r="J709" t="s">
        <v>16</v>
      </c>
      <c r="K70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09" s="6" t="s">
        <v>32</v>
      </c>
      <c r="M709" s="7">
        <v>44</v>
      </c>
      <c r="N709" t="s">
        <v>15</v>
      </c>
      <c r="O709" s="9" t="str">
        <f>IF(Table1_1[[#This Row],[Purchased Bike]]="yes","1","0")</f>
        <v>1</v>
      </c>
      <c r="P709" s="4" t="str">
        <f>IF(Table1_1[[#This Row],[Income]]&lt;=30000,"Low ",IF(Table1_1[[#This Row],[Income]]&lt;=70000,"Middle","High"))</f>
        <v>Middle</v>
      </c>
      <c r="Q709" s="6" t="str">
        <f>IF(Table1_1[[#This Row],[Age]]&lt;30,"Young",IF(Table1_1[[#This Row],[Age]]&lt;50,"Middle aged","Senior citizen"))</f>
        <v>Middle aged</v>
      </c>
      <c r="R709" s="7">
        <f>IF(Table1_1[[#This Row],[Marriedarital SingletatuSingle]]="M",Table1_1[[#This Row],[Children]]+2,Table1_1[[#This Row],[Children]]+1)</f>
        <v>2</v>
      </c>
      <c r="S709" s="4" t="str">
        <f>IF(Table1_1[[#This Row],[Cars]]=0,"No","Yes")</f>
        <v>Yes</v>
      </c>
      <c r="T709" s="6" t="str">
        <f>IF(AND(Table1_1[[#This Row],[Income]]&gt;50000,Table1_1[[#This Row],[Home Owner]]="Yes"),"High stability","Low stability")</f>
        <v>High stability</v>
      </c>
      <c r="U709" s="3">
        <f>Table1_1[[#This Row],[Income]]/Table1_1[[#This Row],[Family size]]</f>
        <v>35000</v>
      </c>
      <c r="V709" s="6" t="str">
        <f>IF(Table1_1[[#This Row],[Occupation]]="Skilled manual","Blue collar",IF(Table1_1[[#This Row],[Occupation]]="Manual","Blue collar","White collar"))</f>
        <v>Blue collar</v>
      </c>
    </row>
    <row r="710" spans="1:22" x14ac:dyDescent="0.3">
      <c r="A710" t="s">
        <v>744</v>
      </c>
      <c r="B710" s="6" t="s">
        <v>1042</v>
      </c>
      <c r="C710" s="6" t="s">
        <v>1046</v>
      </c>
      <c r="D710" s="3">
        <v>70000</v>
      </c>
      <c r="E710">
        <v>5</v>
      </c>
      <c r="F710" s="6" t="s">
        <v>13</v>
      </c>
      <c r="G710" s="6" t="s">
        <v>28</v>
      </c>
      <c r="H710" s="6" t="s">
        <v>15</v>
      </c>
      <c r="I710">
        <v>4</v>
      </c>
      <c r="J710" t="s">
        <v>30</v>
      </c>
      <c r="K7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10" s="6" t="s">
        <v>32</v>
      </c>
      <c r="M710" s="7">
        <v>60</v>
      </c>
      <c r="N710" t="s">
        <v>18</v>
      </c>
      <c r="O710" s="9" t="str">
        <f>IF(Table1_1[[#This Row],[Purchased Bike]]="yes","1","0")</f>
        <v>0</v>
      </c>
      <c r="P710" s="4" t="str">
        <f>IF(Table1_1[[#This Row],[Income]]&lt;=30000,"Low ",IF(Table1_1[[#This Row],[Income]]&lt;=70000,"Middle","High"))</f>
        <v>Middle</v>
      </c>
      <c r="Q710" s="6" t="str">
        <f>IF(Table1_1[[#This Row],[Age]]&lt;30,"Young",IF(Table1_1[[#This Row],[Age]]&lt;50,"Middle aged","Senior citizen"))</f>
        <v>Senior citizen</v>
      </c>
      <c r="R710" s="7">
        <f>IF(Table1_1[[#This Row],[Marriedarital SingletatuSingle]]="M",Table1_1[[#This Row],[Children]]+2,Table1_1[[#This Row],[Children]]+1)</f>
        <v>6</v>
      </c>
      <c r="S710" s="4" t="str">
        <f>IF(Table1_1[[#This Row],[Cars]]=0,"No","Yes")</f>
        <v>Yes</v>
      </c>
      <c r="T710" s="6" t="str">
        <f>IF(AND(Table1_1[[#This Row],[Income]]&gt;50000,Table1_1[[#This Row],[Home Owner]]="Yes"),"High stability","Low stability")</f>
        <v>High stability</v>
      </c>
      <c r="U710" s="3">
        <f>Table1_1[[#This Row],[Income]]/Table1_1[[#This Row],[Family size]]</f>
        <v>11666.666666666666</v>
      </c>
      <c r="V710" s="6" t="str">
        <f>IF(Table1_1[[#This Row],[Occupation]]="Skilled manual","Blue collar",IF(Table1_1[[#This Row],[Occupation]]="Manual","Blue collar","White collar"))</f>
        <v>White collar</v>
      </c>
    </row>
    <row r="711" spans="1:22" x14ac:dyDescent="0.3">
      <c r="A711" t="s">
        <v>745</v>
      </c>
      <c r="B711" s="6" t="s">
        <v>1044</v>
      </c>
      <c r="C711" s="6" t="s">
        <v>1045</v>
      </c>
      <c r="D711" s="3">
        <v>70000</v>
      </c>
      <c r="E711">
        <v>2</v>
      </c>
      <c r="F711" s="6" t="s">
        <v>13</v>
      </c>
      <c r="G711" s="6" t="s">
        <v>28</v>
      </c>
      <c r="H711" s="6" t="s">
        <v>15</v>
      </c>
      <c r="I711">
        <v>1</v>
      </c>
      <c r="J711" t="s">
        <v>30</v>
      </c>
      <c r="K7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11" s="6" t="s">
        <v>32</v>
      </c>
      <c r="M711" s="7">
        <v>59</v>
      </c>
      <c r="N711" t="s">
        <v>18</v>
      </c>
      <c r="O711" s="9" t="str">
        <f>IF(Table1_1[[#This Row],[Purchased Bike]]="yes","1","0")</f>
        <v>0</v>
      </c>
      <c r="P711" s="4" t="str">
        <f>IF(Table1_1[[#This Row],[Income]]&lt;=30000,"Low ",IF(Table1_1[[#This Row],[Income]]&lt;=70000,"Middle","High"))</f>
        <v>Middle</v>
      </c>
      <c r="Q711" s="6" t="str">
        <f>IF(Table1_1[[#This Row],[Age]]&lt;30,"Young",IF(Table1_1[[#This Row],[Age]]&lt;50,"Middle aged","Senior citizen"))</f>
        <v>Senior citizen</v>
      </c>
      <c r="R711" s="7">
        <f>IF(Table1_1[[#This Row],[Marriedarital SingletatuSingle]]="M",Table1_1[[#This Row],[Children]]+2,Table1_1[[#This Row],[Children]]+1)</f>
        <v>3</v>
      </c>
      <c r="S711" s="4" t="str">
        <f>IF(Table1_1[[#This Row],[Cars]]=0,"No","Yes")</f>
        <v>Yes</v>
      </c>
      <c r="T711" s="6" t="str">
        <f>IF(AND(Table1_1[[#This Row],[Income]]&gt;50000,Table1_1[[#This Row],[Home Owner]]="Yes"),"High stability","Low stability")</f>
        <v>High stability</v>
      </c>
      <c r="U711" s="3">
        <f>Table1_1[[#This Row],[Income]]/Table1_1[[#This Row],[Family size]]</f>
        <v>23333.333333333332</v>
      </c>
      <c r="V711" s="6" t="str">
        <f>IF(Table1_1[[#This Row],[Occupation]]="Skilled manual","Blue collar",IF(Table1_1[[#This Row],[Occupation]]="Manual","Blue collar","White collar"))</f>
        <v>White collar</v>
      </c>
    </row>
    <row r="712" spans="1:22" x14ac:dyDescent="0.3">
      <c r="A712" t="s">
        <v>746</v>
      </c>
      <c r="B712" s="6" t="s">
        <v>1042</v>
      </c>
      <c r="C712" s="6" t="s">
        <v>1046</v>
      </c>
      <c r="D712" s="3">
        <v>60000</v>
      </c>
      <c r="E712">
        <v>0</v>
      </c>
      <c r="F712" s="6" t="s">
        <v>27</v>
      </c>
      <c r="G712" s="6" t="s">
        <v>21</v>
      </c>
      <c r="H712" s="6" t="s">
        <v>15</v>
      </c>
      <c r="I712">
        <v>2</v>
      </c>
      <c r="J712" t="s">
        <v>23</v>
      </c>
      <c r="K7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12" s="6" t="s">
        <v>32</v>
      </c>
      <c r="M712" s="7">
        <v>32</v>
      </c>
      <c r="N712" t="s">
        <v>15</v>
      </c>
      <c r="O712" s="9" t="str">
        <f>IF(Table1_1[[#This Row],[Purchased Bike]]="yes","1","0")</f>
        <v>1</v>
      </c>
      <c r="P712" s="4" t="str">
        <f>IF(Table1_1[[#This Row],[Income]]&lt;=30000,"Low ",IF(Table1_1[[#This Row],[Income]]&lt;=70000,"Middle","High"))</f>
        <v>Middle</v>
      </c>
      <c r="Q712" s="6" t="str">
        <f>IF(Table1_1[[#This Row],[Age]]&lt;30,"Young",IF(Table1_1[[#This Row],[Age]]&lt;50,"Middle aged","Senior citizen"))</f>
        <v>Middle aged</v>
      </c>
      <c r="R712" s="7">
        <f>IF(Table1_1[[#This Row],[Marriedarital SingletatuSingle]]="M",Table1_1[[#This Row],[Children]]+2,Table1_1[[#This Row],[Children]]+1)</f>
        <v>1</v>
      </c>
      <c r="S712" s="4" t="str">
        <f>IF(Table1_1[[#This Row],[Cars]]=0,"No","Yes")</f>
        <v>Yes</v>
      </c>
      <c r="T712" s="6" t="str">
        <f>IF(AND(Table1_1[[#This Row],[Income]]&gt;50000,Table1_1[[#This Row],[Home Owner]]="Yes"),"High stability","Low stability")</f>
        <v>High stability</v>
      </c>
      <c r="U712" s="3">
        <f>Table1_1[[#This Row],[Income]]/Table1_1[[#This Row],[Family size]]</f>
        <v>60000</v>
      </c>
      <c r="V712" s="6" t="str">
        <f>IF(Table1_1[[#This Row],[Occupation]]="Skilled manual","Blue collar",IF(Table1_1[[#This Row],[Occupation]]="Manual","Blue collar","White collar"))</f>
        <v>White collar</v>
      </c>
    </row>
    <row r="713" spans="1:22" x14ac:dyDescent="0.3">
      <c r="A713" t="s">
        <v>747</v>
      </c>
      <c r="B713" s="6" t="s">
        <v>1042</v>
      </c>
      <c r="C713" s="6" t="s">
        <v>1045</v>
      </c>
      <c r="D713" s="3">
        <v>70000</v>
      </c>
      <c r="E713">
        <v>2</v>
      </c>
      <c r="F713" s="6" t="s">
        <v>19</v>
      </c>
      <c r="G713" s="6" t="s">
        <v>21</v>
      </c>
      <c r="H713" s="6" t="s">
        <v>15</v>
      </c>
      <c r="I713">
        <v>1</v>
      </c>
      <c r="J713" t="s">
        <v>30</v>
      </c>
      <c r="K7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13" s="6" t="s">
        <v>32</v>
      </c>
      <c r="M713" s="7">
        <v>58</v>
      </c>
      <c r="N713" t="s">
        <v>18</v>
      </c>
      <c r="O713" s="9" t="str">
        <f>IF(Table1_1[[#This Row],[Purchased Bike]]="yes","1","0")</f>
        <v>0</v>
      </c>
      <c r="P713" s="4" t="str">
        <f>IF(Table1_1[[#This Row],[Income]]&lt;=30000,"Low ",IF(Table1_1[[#This Row],[Income]]&lt;=70000,"Middle","High"))</f>
        <v>Middle</v>
      </c>
      <c r="Q713" s="6" t="str">
        <f>IF(Table1_1[[#This Row],[Age]]&lt;30,"Young",IF(Table1_1[[#This Row],[Age]]&lt;50,"Middle aged","Senior citizen"))</f>
        <v>Senior citizen</v>
      </c>
      <c r="R713" s="7">
        <f>IF(Table1_1[[#This Row],[Marriedarital SingletatuSingle]]="M",Table1_1[[#This Row],[Children]]+2,Table1_1[[#This Row],[Children]]+1)</f>
        <v>3</v>
      </c>
      <c r="S713" s="4" t="str">
        <f>IF(Table1_1[[#This Row],[Cars]]=0,"No","Yes")</f>
        <v>Yes</v>
      </c>
      <c r="T713" s="6" t="str">
        <f>IF(AND(Table1_1[[#This Row],[Income]]&gt;50000,Table1_1[[#This Row],[Home Owner]]="Yes"),"High stability","Low stability")</f>
        <v>High stability</v>
      </c>
      <c r="U713" s="3">
        <f>Table1_1[[#This Row],[Income]]/Table1_1[[#This Row],[Family size]]</f>
        <v>23333.333333333332</v>
      </c>
      <c r="V713" s="6" t="str">
        <f>IF(Table1_1[[#This Row],[Occupation]]="Skilled manual","Blue collar",IF(Table1_1[[#This Row],[Occupation]]="Manual","Blue collar","White collar"))</f>
        <v>White collar</v>
      </c>
    </row>
    <row r="714" spans="1:22" x14ac:dyDescent="0.3">
      <c r="A714" t="s">
        <v>748</v>
      </c>
      <c r="B714" s="6" t="s">
        <v>1042</v>
      </c>
      <c r="C714" s="6" t="s">
        <v>1045</v>
      </c>
      <c r="D714" s="3">
        <v>40000</v>
      </c>
      <c r="E714">
        <v>2</v>
      </c>
      <c r="F714" s="6" t="s">
        <v>27</v>
      </c>
      <c r="G714" s="6" t="s">
        <v>21</v>
      </c>
      <c r="H714" s="6" t="s">
        <v>18</v>
      </c>
      <c r="I714">
        <v>2</v>
      </c>
      <c r="J714" t="s">
        <v>22</v>
      </c>
      <c r="K7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14" s="6" t="s">
        <v>32</v>
      </c>
      <c r="M714" s="7">
        <v>59</v>
      </c>
      <c r="N714" t="s">
        <v>18</v>
      </c>
      <c r="O714" s="9" t="str">
        <f>IF(Table1_1[[#This Row],[Purchased Bike]]="yes","1","0")</f>
        <v>0</v>
      </c>
      <c r="P714" s="4" t="str">
        <f>IF(Table1_1[[#This Row],[Income]]&lt;=30000,"Low ",IF(Table1_1[[#This Row],[Income]]&lt;=70000,"Middle","High"))</f>
        <v>Middle</v>
      </c>
      <c r="Q714" s="6" t="str">
        <f>IF(Table1_1[[#This Row],[Age]]&lt;30,"Young",IF(Table1_1[[#This Row],[Age]]&lt;50,"Middle aged","Senior citizen"))</f>
        <v>Senior citizen</v>
      </c>
      <c r="R714" s="7">
        <f>IF(Table1_1[[#This Row],[Marriedarital SingletatuSingle]]="M",Table1_1[[#This Row],[Children]]+2,Table1_1[[#This Row],[Children]]+1)</f>
        <v>3</v>
      </c>
      <c r="S714" s="4" t="str">
        <f>IF(Table1_1[[#This Row],[Cars]]=0,"No","Yes")</f>
        <v>Yes</v>
      </c>
      <c r="T714" s="6" t="str">
        <f>IF(AND(Table1_1[[#This Row],[Income]]&gt;50000,Table1_1[[#This Row],[Home Owner]]="Yes"),"High stability","Low stability")</f>
        <v>Low stability</v>
      </c>
      <c r="U714" s="3">
        <f>Table1_1[[#This Row],[Income]]/Table1_1[[#This Row],[Family size]]</f>
        <v>13333.333333333334</v>
      </c>
      <c r="V714" s="6" t="str">
        <f>IF(Table1_1[[#This Row],[Occupation]]="Skilled manual","Blue collar",IF(Table1_1[[#This Row],[Occupation]]="Manual","Blue collar","White collar"))</f>
        <v>White collar</v>
      </c>
    </row>
    <row r="715" spans="1:22" x14ac:dyDescent="0.3">
      <c r="A715" t="s">
        <v>749</v>
      </c>
      <c r="B715" s="6" t="s">
        <v>1044</v>
      </c>
      <c r="C715" s="6" t="s">
        <v>1045</v>
      </c>
      <c r="D715" s="3">
        <v>70000</v>
      </c>
      <c r="E715">
        <v>2</v>
      </c>
      <c r="F715" s="6" t="s">
        <v>13</v>
      </c>
      <c r="G715" s="6" t="s">
        <v>14</v>
      </c>
      <c r="H715" s="6" t="s">
        <v>15</v>
      </c>
      <c r="I715">
        <v>1</v>
      </c>
      <c r="J715" t="s">
        <v>22</v>
      </c>
      <c r="K7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15" s="6" t="s">
        <v>32</v>
      </c>
      <c r="M715" s="7">
        <v>38</v>
      </c>
      <c r="N715" t="s">
        <v>18</v>
      </c>
      <c r="O715" s="9" t="str">
        <f>IF(Table1_1[[#This Row],[Purchased Bike]]="yes","1","0")</f>
        <v>0</v>
      </c>
      <c r="P715" s="4" t="str">
        <f>IF(Table1_1[[#This Row],[Income]]&lt;=30000,"Low ",IF(Table1_1[[#This Row],[Income]]&lt;=70000,"Middle","High"))</f>
        <v>Middle</v>
      </c>
      <c r="Q715" s="6" t="str">
        <f>IF(Table1_1[[#This Row],[Age]]&lt;30,"Young",IF(Table1_1[[#This Row],[Age]]&lt;50,"Middle aged","Senior citizen"))</f>
        <v>Middle aged</v>
      </c>
      <c r="R715" s="7">
        <f>IF(Table1_1[[#This Row],[Marriedarital SingletatuSingle]]="M",Table1_1[[#This Row],[Children]]+2,Table1_1[[#This Row],[Children]]+1)</f>
        <v>3</v>
      </c>
      <c r="S715" s="4" t="str">
        <f>IF(Table1_1[[#This Row],[Cars]]=0,"No","Yes")</f>
        <v>Yes</v>
      </c>
      <c r="T715" s="6" t="str">
        <f>IF(AND(Table1_1[[#This Row],[Income]]&gt;50000,Table1_1[[#This Row],[Home Owner]]="Yes"),"High stability","Low stability")</f>
        <v>High stability</v>
      </c>
      <c r="U715" s="3">
        <f>Table1_1[[#This Row],[Income]]/Table1_1[[#This Row],[Family size]]</f>
        <v>23333.333333333332</v>
      </c>
      <c r="V715" s="6" t="str">
        <f>IF(Table1_1[[#This Row],[Occupation]]="Skilled manual","Blue collar",IF(Table1_1[[#This Row],[Occupation]]="Manual","Blue collar","White collar"))</f>
        <v>Blue collar</v>
      </c>
    </row>
    <row r="716" spans="1:22" x14ac:dyDescent="0.3">
      <c r="A716" t="s">
        <v>750</v>
      </c>
      <c r="B716" s="6" t="s">
        <v>1042</v>
      </c>
      <c r="C716" s="6" t="s">
        <v>1046</v>
      </c>
      <c r="D716" s="3">
        <v>40000</v>
      </c>
      <c r="E716">
        <v>0</v>
      </c>
      <c r="F716" s="6" t="s">
        <v>27</v>
      </c>
      <c r="G716" s="6" t="s">
        <v>14</v>
      </c>
      <c r="H716" s="6" t="s">
        <v>15</v>
      </c>
      <c r="I716">
        <v>2</v>
      </c>
      <c r="J716" t="s">
        <v>23</v>
      </c>
      <c r="K7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16" s="6" t="s">
        <v>32</v>
      </c>
      <c r="M716" s="7">
        <v>28</v>
      </c>
      <c r="N716" t="s">
        <v>15</v>
      </c>
      <c r="O716" s="9" t="str">
        <f>IF(Table1_1[[#This Row],[Purchased Bike]]="yes","1","0")</f>
        <v>1</v>
      </c>
      <c r="P716" s="4" t="str">
        <f>IF(Table1_1[[#This Row],[Income]]&lt;=30000,"Low ",IF(Table1_1[[#This Row],[Income]]&lt;=70000,"Middle","High"))</f>
        <v>Middle</v>
      </c>
      <c r="Q716" s="6" t="str">
        <f>IF(Table1_1[[#This Row],[Age]]&lt;30,"Young",IF(Table1_1[[#This Row],[Age]]&lt;50,"Middle aged","Senior citizen"))</f>
        <v>Young</v>
      </c>
      <c r="R716" s="7">
        <f>IF(Table1_1[[#This Row],[Marriedarital SingletatuSingle]]="M",Table1_1[[#This Row],[Children]]+2,Table1_1[[#This Row],[Children]]+1)</f>
        <v>1</v>
      </c>
      <c r="S716" s="4" t="str">
        <f>IF(Table1_1[[#This Row],[Cars]]=0,"No","Yes")</f>
        <v>Yes</v>
      </c>
      <c r="T716" s="6" t="str">
        <f>IF(AND(Table1_1[[#This Row],[Income]]&gt;50000,Table1_1[[#This Row],[Home Owner]]="Yes"),"High stability","Low stability")</f>
        <v>Low stability</v>
      </c>
      <c r="U716" s="3">
        <f>Table1_1[[#This Row],[Income]]/Table1_1[[#This Row],[Family size]]</f>
        <v>40000</v>
      </c>
      <c r="V716" s="6" t="str">
        <f>IF(Table1_1[[#This Row],[Occupation]]="Skilled manual","Blue collar",IF(Table1_1[[#This Row],[Occupation]]="Manual","Blue collar","White collar"))</f>
        <v>Blue collar</v>
      </c>
    </row>
    <row r="717" spans="1:22" x14ac:dyDescent="0.3">
      <c r="A717" t="s">
        <v>751</v>
      </c>
      <c r="B717" s="6" t="s">
        <v>1042</v>
      </c>
      <c r="C717" s="6" t="s">
        <v>1045</v>
      </c>
      <c r="D717" s="3">
        <v>60000</v>
      </c>
      <c r="E717">
        <v>1</v>
      </c>
      <c r="F717" s="6" t="s">
        <v>31</v>
      </c>
      <c r="G717" s="6" t="s">
        <v>21</v>
      </c>
      <c r="H717" s="6" t="s">
        <v>15</v>
      </c>
      <c r="I717">
        <v>0</v>
      </c>
      <c r="J717" t="s">
        <v>22</v>
      </c>
      <c r="K7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17" s="6" t="s">
        <v>32</v>
      </c>
      <c r="M717" s="7">
        <v>37</v>
      </c>
      <c r="N717" t="s">
        <v>15</v>
      </c>
      <c r="O717" s="9" t="str">
        <f>IF(Table1_1[[#This Row],[Purchased Bike]]="yes","1","0")</f>
        <v>1</v>
      </c>
      <c r="P717" s="4" t="str">
        <f>IF(Table1_1[[#This Row],[Income]]&lt;=30000,"Low ",IF(Table1_1[[#This Row],[Income]]&lt;=70000,"Middle","High"))</f>
        <v>Middle</v>
      </c>
      <c r="Q717" s="6" t="str">
        <f>IF(Table1_1[[#This Row],[Age]]&lt;30,"Young",IF(Table1_1[[#This Row],[Age]]&lt;50,"Middle aged","Senior citizen"))</f>
        <v>Middle aged</v>
      </c>
      <c r="R717" s="7">
        <f>IF(Table1_1[[#This Row],[Marriedarital SingletatuSingle]]="M",Table1_1[[#This Row],[Children]]+2,Table1_1[[#This Row],[Children]]+1)</f>
        <v>2</v>
      </c>
      <c r="S717" s="4" t="str">
        <f>IF(Table1_1[[#This Row],[Cars]]=0,"No","Yes")</f>
        <v>No</v>
      </c>
      <c r="T717" s="6" t="str">
        <f>IF(AND(Table1_1[[#This Row],[Income]]&gt;50000,Table1_1[[#This Row],[Home Owner]]="Yes"),"High stability","Low stability")</f>
        <v>High stability</v>
      </c>
      <c r="U717" s="3">
        <f>Table1_1[[#This Row],[Income]]/Table1_1[[#This Row],[Family size]]</f>
        <v>30000</v>
      </c>
      <c r="V717" s="6" t="str">
        <f>IF(Table1_1[[#This Row],[Occupation]]="Skilled manual","Blue collar",IF(Table1_1[[#This Row],[Occupation]]="Manual","Blue collar","White collar"))</f>
        <v>White collar</v>
      </c>
    </row>
    <row r="718" spans="1:22" x14ac:dyDescent="0.3">
      <c r="A718" t="s">
        <v>752</v>
      </c>
      <c r="B718" s="6" t="s">
        <v>1044</v>
      </c>
      <c r="C718" s="6" t="s">
        <v>1045</v>
      </c>
      <c r="D718" s="3">
        <v>80000</v>
      </c>
      <c r="E718">
        <v>0</v>
      </c>
      <c r="F718" s="6" t="s">
        <v>31</v>
      </c>
      <c r="G718" s="6" t="s">
        <v>14</v>
      </c>
      <c r="H718" s="6" t="s">
        <v>18</v>
      </c>
      <c r="I718">
        <v>0</v>
      </c>
      <c r="J718" t="s">
        <v>16</v>
      </c>
      <c r="K7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18" s="6" t="s">
        <v>32</v>
      </c>
      <c r="M718" s="7">
        <v>40</v>
      </c>
      <c r="N718" t="s">
        <v>18</v>
      </c>
      <c r="O718" s="9" t="str">
        <f>IF(Table1_1[[#This Row],[Purchased Bike]]="yes","1","0")</f>
        <v>0</v>
      </c>
      <c r="P718" s="4" t="str">
        <f>IF(Table1_1[[#This Row],[Income]]&lt;=30000,"Low ",IF(Table1_1[[#This Row],[Income]]&lt;=70000,"Middle","High"))</f>
        <v>High</v>
      </c>
      <c r="Q718" s="6" t="str">
        <f>IF(Table1_1[[#This Row],[Age]]&lt;30,"Young",IF(Table1_1[[#This Row],[Age]]&lt;50,"Middle aged","Senior citizen"))</f>
        <v>Middle aged</v>
      </c>
      <c r="R718" s="7">
        <f>IF(Table1_1[[#This Row],[Marriedarital SingletatuSingle]]="M",Table1_1[[#This Row],[Children]]+2,Table1_1[[#This Row],[Children]]+1)</f>
        <v>1</v>
      </c>
      <c r="S718" s="4" t="str">
        <f>IF(Table1_1[[#This Row],[Cars]]=0,"No","Yes")</f>
        <v>No</v>
      </c>
      <c r="T718" s="6" t="str">
        <f>IF(AND(Table1_1[[#This Row],[Income]]&gt;50000,Table1_1[[#This Row],[Home Owner]]="Yes"),"High stability","Low stability")</f>
        <v>Low stability</v>
      </c>
      <c r="U718" s="3">
        <f>Table1_1[[#This Row],[Income]]/Table1_1[[#This Row],[Family size]]</f>
        <v>80000</v>
      </c>
      <c r="V718" s="6" t="str">
        <f>IF(Table1_1[[#This Row],[Occupation]]="Skilled manual","Blue collar",IF(Table1_1[[#This Row],[Occupation]]="Manual","Blue collar","White collar"))</f>
        <v>Blue collar</v>
      </c>
    </row>
    <row r="719" spans="1:22" x14ac:dyDescent="0.3">
      <c r="A719" t="s">
        <v>753</v>
      </c>
      <c r="B719" s="6" t="s">
        <v>1044</v>
      </c>
      <c r="C719" s="6" t="s">
        <v>1046</v>
      </c>
      <c r="D719" s="3">
        <v>90000</v>
      </c>
      <c r="E719">
        <v>4</v>
      </c>
      <c r="F719" s="6" t="s">
        <v>13</v>
      </c>
      <c r="G719" s="6" t="s">
        <v>28</v>
      </c>
      <c r="H719" s="6" t="s">
        <v>15</v>
      </c>
      <c r="I719">
        <v>1</v>
      </c>
      <c r="J719" t="s">
        <v>26</v>
      </c>
      <c r="K7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19" s="6" t="s">
        <v>32</v>
      </c>
      <c r="M719" s="7">
        <v>38</v>
      </c>
      <c r="N719" t="s">
        <v>15</v>
      </c>
      <c r="O719" s="9" t="str">
        <f>IF(Table1_1[[#This Row],[Purchased Bike]]="yes","1","0")</f>
        <v>1</v>
      </c>
      <c r="P719" s="4" t="str">
        <f>IF(Table1_1[[#This Row],[Income]]&lt;=30000,"Low ",IF(Table1_1[[#This Row],[Income]]&lt;=70000,"Middle","High"))</f>
        <v>High</v>
      </c>
      <c r="Q719" s="6" t="str">
        <f>IF(Table1_1[[#This Row],[Age]]&lt;30,"Young",IF(Table1_1[[#This Row],[Age]]&lt;50,"Middle aged","Senior citizen"))</f>
        <v>Middle aged</v>
      </c>
      <c r="R719" s="7">
        <f>IF(Table1_1[[#This Row],[Marriedarital SingletatuSingle]]="M",Table1_1[[#This Row],[Children]]+2,Table1_1[[#This Row],[Children]]+1)</f>
        <v>5</v>
      </c>
      <c r="S719" s="4" t="str">
        <f>IF(Table1_1[[#This Row],[Cars]]=0,"No","Yes")</f>
        <v>Yes</v>
      </c>
      <c r="T719" s="6" t="str">
        <f>IF(AND(Table1_1[[#This Row],[Income]]&gt;50000,Table1_1[[#This Row],[Home Owner]]="Yes"),"High stability","Low stability")</f>
        <v>High stability</v>
      </c>
      <c r="U719" s="3">
        <f>Table1_1[[#This Row],[Income]]/Table1_1[[#This Row],[Family size]]</f>
        <v>18000</v>
      </c>
      <c r="V719" s="6" t="str">
        <f>IF(Table1_1[[#This Row],[Occupation]]="Skilled manual","Blue collar",IF(Table1_1[[#This Row],[Occupation]]="Manual","Blue collar","White collar"))</f>
        <v>White collar</v>
      </c>
    </row>
    <row r="720" spans="1:22" x14ac:dyDescent="0.3">
      <c r="A720" t="s">
        <v>754</v>
      </c>
      <c r="B720" s="6" t="s">
        <v>1042</v>
      </c>
      <c r="C720" s="6" t="s">
        <v>1046</v>
      </c>
      <c r="D720" s="3">
        <v>70000</v>
      </c>
      <c r="E720">
        <v>4</v>
      </c>
      <c r="F720" s="6" t="s">
        <v>31</v>
      </c>
      <c r="G720" s="6" t="s">
        <v>21</v>
      </c>
      <c r="H720" s="6" t="s">
        <v>15</v>
      </c>
      <c r="I720">
        <v>0</v>
      </c>
      <c r="J720" t="s">
        <v>22</v>
      </c>
      <c r="K7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20" s="6" t="s">
        <v>32</v>
      </c>
      <c r="M720" s="7">
        <v>36</v>
      </c>
      <c r="N720" t="s">
        <v>15</v>
      </c>
      <c r="O720" s="9" t="str">
        <f>IF(Table1_1[[#This Row],[Purchased Bike]]="yes","1","0")</f>
        <v>1</v>
      </c>
      <c r="P720" s="4" t="str">
        <f>IF(Table1_1[[#This Row],[Income]]&lt;=30000,"Low ",IF(Table1_1[[#This Row],[Income]]&lt;=70000,"Middle","High"))</f>
        <v>Middle</v>
      </c>
      <c r="Q720" s="6" t="str">
        <f>IF(Table1_1[[#This Row],[Age]]&lt;30,"Young",IF(Table1_1[[#This Row],[Age]]&lt;50,"Middle aged","Senior citizen"))</f>
        <v>Middle aged</v>
      </c>
      <c r="R720" s="7">
        <f>IF(Table1_1[[#This Row],[Marriedarital SingletatuSingle]]="M",Table1_1[[#This Row],[Children]]+2,Table1_1[[#This Row],[Children]]+1)</f>
        <v>5</v>
      </c>
      <c r="S720" s="4" t="str">
        <f>IF(Table1_1[[#This Row],[Cars]]=0,"No","Yes")</f>
        <v>No</v>
      </c>
      <c r="T720" s="6" t="str">
        <f>IF(AND(Table1_1[[#This Row],[Income]]&gt;50000,Table1_1[[#This Row],[Home Owner]]="Yes"),"High stability","Low stability")</f>
        <v>High stability</v>
      </c>
      <c r="U720" s="3">
        <f>Table1_1[[#This Row],[Income]]/Table1_1[[#This Row],[Family size]]</f>
        <v>14000</v>
      </c>
      <c r="V720" s="6" t="str">
        <f>IF(Table1_1[[#This Row],[Occupation]]="Skilled manual","Blue collar",IF(Table1_1[[#This Row],[Occupation]]="Manual","Blue collar","White collar"))</f>
        <v>White collar</v>
      </c>
    </row>
    <row r="721" spans="1:22" x14ac:dyDescent="0.3">
      <c r="A721" t="s">
        <v>755</v>
      </c>
      <c r="B721" s="6" t="s">
        <v>1042</v>
      </c>
      <c r="C721" s="6" t="s">
        <v>1045</v>
      </c>
      <c r="D721" s="3">
        <v>70000</v>
      </c>
      <c r="E721">
        <v>5</v>
      </c>
      <c r="F721" s="6" t="s">
        <v>31</v>
      </c>
      <c r="G721" s="6" t="s">
        <v>21</v>
      </c>
      <c r="H721" s="6" t="s">
        <v>15</v>
      </c>
      <c r="I721">
        <v>2</v>
      </c>
      <c r="J721" t="s">
        <v>16</v>
      </c>
      <c r="K7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21" s="6" t="s">
        <v>32</v>
      </c>
      <c r="M721" s="7">
        <v>37</v>
      </c>
      <c r="N721" t="s">
        <v>18</v>
      </c>
      <c r="O721" s="9" t="str">
        <f>IF(Table1_1[[#This Row],[Purchased Bike]]="yes","1","0")</f>
        <v>0</v>
      </c>
      <c r="P721" s="4" t="str">
        <f>IF(Table1_1[[#This Row],[Income]]&lt;=30000,"Low ",IF(Table1_1[[#This Row],[Income]]&lt;=70000,"Middle","High"))</f>
        <v>Middle</v>
      </c>
      <c r="Q721" s="6" t="str">
        <f>IF(Table1_1[[#This Row],[Age]]&lt;30,"Young",IF(Table1_1[[#This Row],[Age]]&lt;50,"Middle aged","Senior citizen"))</f>
        <v>Middle aged</v>
      </c>
      <c r="R721" s="7">
        <f>IF(Table1_1[[#This Row],[Marriedarital SingletatuSingle]]="M",Table1_1[[#This Row],[Children]]+2,Table1_1[[#This Row],[Children]]+1)</f>
        <v>6</v>
      </c>
      <c r="S721" s="4" t="str">
        <f>IF(Table1_1[[#This Row],[Cars]]=0,"No","Yes")</f>
        <v>Yes</v>
      </c>
      <c r="T721" s="6" t="str">
        <f>IF(AND(Table1_1[[#This Row],[Income]]&gt;50000,Table1_1[[#This Row],[Home Owner]]="Yes"),"High stability","Low stability")</f>
        <v>High stability</v>
      </c>
      <c r="U721" s="3">
        <f>Table1_1[[#This Row],[Income]]/Table1_1[[#This Row],[Family size]]</f>
        <v>11666.666666666666</v>
      </c>
      <c r="V721" s="6" t="str">
        <f>IF(Table1_1[[#This Row],[Occupation]]="Skilled manual","Blue collar",IF(Table1_1[[#This Row],[Occupation]]="Manual","Blue collar","White collar"))</f>
        <v>White collar</v>
      </c>
    </row>
    <row r="722" spans="1:22" x14ac:dyDescent="0.3">
      <c r="A722" t="s">
        <v>756</v>
      </c>
      <c r="B722" s="6" t="s">
        <v>1044</v>
      </c>
      <c r="C722" s="6" t="s">
        <v>1045</v>
      </c>
      <c r="D722" s="3">
        <v>40000</v>
      </c>
      <c r="E722">
        <v>5</v>
      </c>
      <c r="F722" s="6" t="s">
        <v>27</v>
      </c>
      <c r="G722" s="6" t="s">
        <v>21</v>
      </c>
      <c r="H722" s="6" t="s">
        <v>18</v>
      </c>
      <c r="I722">
        <v>3</v>
      </c>
      <c r="J722" t="s">
        <v>22</v>
      </c>
      <c r="K7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22" s="6" t="s">
        <v>32</v>
      </c>
      <c r="M722" s="7">
        <v>60</v>
      </c>
      <c r="N722" t="s">
        <v>15</v>
      </c>
      <c r="O722" s="9" t="str">
        <f>IF(Table1_1[[#This Row],[Purchased Bike]]="yes","1","0")</f>
        <v>1</v>
      </c>
      <c r="P722" s="4" t="str">
        <f>IF(Table1_1[[#This Row],[Income]]&lt;=30000,"Low ",IF(Table1_1[[#This Row],[Income]]&lt;=70000,"Middle","High"))</f>
        <v>Middle</v>
      </c>
      <c r="Q722" s="6" t="str">
        <f>IF(Table1_1[[#This Row],[Age]]&lt;30,"Young",IF(Table1_1[[#This Row],[Age]]&lt;50,"Middle aged","Senior citizen"))</f>
        <v>Senior citizen</v>
      </c>
      <c r="R722" s="7">
        <f>IF(Table1_1[[#This Row],[Marriedarital SingletatuSingle]]="M",Table1_1[[#This Row],[Children]]+2,Table1_1[[#This Row],[Children]]+1)</f>
        <v>6</v>
      </c>
      <c r="S722" s="4" t="str">
        <f>IF(Table1_1[[#This Row],[Cars]]=0,"No","Yes")</f>
        <v>Yes</v>
      </c>
      <c r="T722" s="6" t="str">
        <f>IF(AND(Table1_1[[#This Row],[Income]]&gt;50000,Table1_1[[#This Row],[Home Owner]]="Yes"),"High stability","Low stability")</f>
        <v>Low stability</v>
      </c>
      <c r="U722" s="3">
        <f>Table1_1[[#This Row],[Income]]/Table1_1[[#This Row],[Family size]]</f>
        <v>6666.666666666667</v>
      </c>
      <c r="V722" s="6" t="str">
        <f>IF(Table1_1[[#This Row],[Occupation]]="Skilled manual","Blue collar",IF(Table1_1[[#This Row],[Occupation]]="Manual","Blue collar","White collar"))</f>
        <v>White collar</v>
      </c>
    </row>
    <row r="723" spans="1:22" x14ac:dyDescent="0.3">
      <c r="A723" t="s">
        <v>757</v>
      </c>
      <c r="B723" s="6" t="s">
        <v>1044</v>
      </c>
      <c r="C723" s="6" t="s">
        <v>1046</v>
      </c>
      <c r="D723" s="3">
        <v>110000</v>
      </c>
      <c r="E723">
        <v>4</v>
      </c>
      <c r="F723" s="6" t="s">
        <v>13</v>
      </c>
      <c r="G723" s="6" t="s">
        <v>28</v>
      </c>
      <c r="H723" s="6" t="s">
        <v>15</v>
      </c>
      <c r="I723">
        <v>4</v>
      </c>
      <c r="J723" t="s">
        <v>23</v>
      </c>
      <c r="K7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23" s="6" t="s">
        <v>32</v>
      </c>
      <c r="M723" s="7">
        <v>42</v>
      </c>
      <c r="N723" t="s">
        <v>15</v>
      </c>
      <c r="O723" s="9" t="str">
        <f>IF(Table1_1[[#This Row],[Purchased Bike]]="yes","1","0")</f>
        <v>1</v>
      </c>
      <c r="P723" s="4" t="str">
        <f>IF(Table1_1[[#This Row],[Income]]&lt;=30000,"Low ",IF(Table1_1[[#This Row],[Income]]&lt;=70000,"Middle","High"))</f>
        <v>High</v>
      </c>
      <c r="Q723" s="6" t="str">
        <f>IF(Table1_1[[#This Row],[Age]]&lt;30,"Young",IF(Table1_1[[#This Row],[Age]]&lt;50,"Middle aged","Senior citizen"))</f>
        <v>Middle aged</v>
      </c>
      <c r="R723" s="7">
        <f>IF(Table1_1[[#This Row],[Marriedarital SingletatuSingle]]="M",Table1_1[[#This Row],[Children]]+2,Table1_1[[#This Row],[Children]]+1)</f>
        <v>5</v>
      </c>
      <c r="S723" s="4" t="str">
        <f>IF(Table1_1[[#This Row],[Cars]]=0,"No","Yes")</f>
        <v>Yes</v>
      </c>
      <c r="T723" s="6" t="str">
        <f>IF(AND(Table1_1[[#This Row],[Income]]&gt;50000,Table1_1[[#This Row],[Home Owner]]="Yes"),"High stability","Low stability")</f>
        <v>High stability</v>
      </c>
      <c r="U723" s="3">
        <f>Table1_1[[#This Row],[Income]]/Table1_1[[#This Row],[Family size]]</f>
        <v>22000</v>
      </c>
      <c r="V723" s="6" t="str">
        <f>IF(Table1_1[[#This Row],[Occupation]]="Skilled manual","Blue collar",IF(Table1_1[[#This Row],[Occupation]]="Manual","Blue collar","White collar"))</f>
        <v>White collar</v>
      </c>
    </row>
    <row r="724" spans="1:22" x14ac:dyDescent="0.3">
      <c r="A724" t="s">
        <v>758</v>
      </c>
      <c r="B724" s="6" t="s">
        <v>1044</v>
      </c>
      <c r="C724" s="6" t="s">
        <v>1045</v>
      </c>
      <c r="D724" s="3">
        <v>70000</v>
      </c>
      <c r="E724">
        <v>3</v>
      </c>
      <c r="F724" s="6" t="s">
        <v>31</v>
      </c>
      <c r="G724" s="6" t="s">
        <v>28</v>
      </c>
      <c r="H724" s="6" t="s">
        <v>18</v>
      </c>
      <c r="I724">
        <v>2</v>
      </c>
      <c r="J724" t="s">
        <v>26</v>
      </c>
      <c r="K7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24" s="6" t="s">
        <v>32</v>
      </c>
      <c r="M724" s="7">
        <v>53</v>
      </c>
      <c r="N724" t="s">
        <v>18</v>
      </c>
      <c r="O724" s="9" t="str">
        <f>IF(Table1_1[[#This Row],[Purchased Bike]]="yes","1","0")</f>
        <v>0</v>
      </c>
      <c r="P724" s="4" t="str">
        <f>IF(Table1_1[[#This Row],[Income]]&lt;=30000,"Low ",IF(Table1_1[[#This Row],[Income]]&lt;=70000,"Middle","High"))</f>
        <v>Middle</v>
      </c>
      <c r="Q724" s="6" t="str">
        <f>IF(Table1_1[[#This Row],[Age]]&lt;30,"Young",IF(Table1_1[[#This Row],[Age]]&lt;50,"Middle aged","Senior citizen"))</f>
        <v>Senior citizen</v>
      </c>
      <c r="R724" s="7">
        <f>IF(Table1_1[[#This Row],[Marriedarital SingletatuSingle]]="M",Table1_1[[#This Row],[Children]]+2,Table1_1[[#This Row],[Children]]+1)</f>
        <v>4</v>
      </c>
      <c r="S724" s="4" t="str">
        <f>IF(Table1_1[[#This Row],[Cars]]=0,"No","Yes")</f>
        <v>Yes</v>
      </c>
      <c r="T724" s="6" t="str">
        <f>IF(AND(Table1_1[[#This Row],[Income]]&gt;50000,Table1_1[[#This Row],[Home Owner]]="Yes"),"High stability","Low stability")</f>
        <v>Low stability</v>
      </c>
      <c r="U724" s="3">
        <f>Table1_1[[#This Row],[Income]]/Table1_1[[#This Row],[Family size]]</f>
        <v>17500</v>
      </c>
      <c r="V724" s="6" t="str">
        <f>IF(Table1_1[[#This Row],[Occupation]]="Skilled manual","Blue collar",IF(Table1_1[[#This Row],[Occupation]]="Manual","Blue collar","White collar"))</f>
        <v>White collar</v>
      </c>
    </row>
    <row r="725" spans="1:22" x14ac:dyDescent="0.3">
      <c r="A725" t="s">
        <v>759</v>
      </c>
      <c r="B725" s="6" t="s">
        <v>1044</v>
      </c>
      <c r="C725" s="6" t="s">
        <v>1045</v>
      </c>
      <c r="D725" s="3">
        <v>80000</v>
      </c>
      <c r="E725">
        <v>2</v>
      </c>
      <c r="F725" s="6" t="s">
        <v>29</v>
      </c>
      <c r="G725" s="6" t="s">
        <v>14</v>
      </c>
      <c r="H725" s="6" t="s">
        <v>15</v>
      </c>
      <c r="I725">
        <v>2</v>
      </c>
      <c r="J725" t="s">
        <v>23</v>
      </c>
      <c r="K7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25" s="6" t="s">
        <v>32</v>
      </c>
      <c r="M725" s="7">
        <v>49</v>
      </c>
      <c r="N725" t="s">
        <v>18</v>
      </c>
      <c r="O725" s="9" t="str">
        <f>IF(Table1_1[[#This Row],[Purchased Bike]]="yes","1","0")</f>
        <v>0</v>
      </c>
      <c r="P725" s="4" t="str">
        <f>IF(Table1_1[[#This Row],[Income]]&lt;=30000,"Low ",IF(Table1_1[[#This Row],[Income]]&lt;=70000,"Middle","High"))</f>
        <v>High</v>
      </c>
      <c r="Q725" s="6" t="str">
        <f>IF(Table1_1[[#This Row],[Age]]&lt;30,"Young",IF(Table1_1[[#This Row],[Age]]&lt;50,"Middle aged","Senior citizen"))</f>
        <v>Middle aged</v>
      </c>
      <c r="R725" s="7">
        <f>IF(Table1_1[[#This Row],[Marriedarital SingletatuSingle]]="M",Table1_1[[#This Row],[Children]]+2,Table1_1[[#This Row],[Children]]+1)</f>
        <v>3</v>
      </c>
      <c r="S725" s="4" t="str">
        <f>IF(Table1_1[[#This Row],[Cars]]=0,"No","Yes")</f>
        <v>Yes</v>
      </c>
      <c r="T725" s="6" t="str">
        <f>IF(AND(Table1_1[[#This Row],[Income]]&gt;50000,Table1_1[[#This Row],[Home Owner]]="Yes"),"High stability","Low stability")</f>
        <v>High stability</v>
      </c>
      <c r="U725" s="3">
        <f>Table1_1[[#This Row],[Income]]/Table1_1[[#This Row],[Family size]]</f>
        <v>26666.666666666668</v>
      </c>
      <c r="V725" s="6" t="str">
        <f>IF(Table1_1[[#This Row],[Occupation]]="Skilled manual","Blue collar",IF(Table1_1[[#This Row],[Occupation]]="Manual","Blue collar","White collar"))</f>
        <v>Blue collar</v>
      </c>
    </row>
    <row r="726" spans="1:22" x14ac:dyDescent="0.3">
      <c r="A726" t="s">
        <v>760</v>
      </c>
      <c r="B726" s="6" t="s">
        <v>1042</v>
      </c>
      <c r="C726" s="6" t="s">
        <v>1046</v>
      </c>
      <c r="D726" s="3">
        <v>30000</v>
      </c>
      <c r="E726">
        <v>2</v>
      </c>
      <c r="F726" s="6" t="s">
        <v>27</v>
      </c>
      <c r="G726" s="6" t="s">
        <v>14</v>
      </c>
      <c r="H726" s="6" t="s">
        <v>15</v>
      </c>
      <c r="I726">
        <v>2</v>
      </c>
      <c r="J726" t="s">
        <v>26</v>
      </c>
      <c r="K7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26" s="6" t="s">
        <v>32</v>
      </c>
      <c r="M726" s="7">
        <v>49</v>
      </c>
      <c r="N726" t="s">
        <v>18</v>
      </c>
      <c r="O726" s="9" t="str">
        <f>IF(Table1_1[[#This Row],[Purchased Bike]]="yes","1","0")</f>
        <v>0</v>
      </c>
      <c r="P726" s="4" t="str">
        <f>IF(Table1_1[[#This Row],[Income]]&lt;=30000,"Low ",IF(Table1_1[[#This Row],[Income]]&lt;=70000,"Middle","High"))</f>
        <v xml:space="preserve">Low </v>
      </c>
      <c r="Q726" s="6" t="str">
        <f>IF(Table1_1[[#This Row],[Age]]&lt;30,"Young",IF(Table1_1[[#This Row],[Age]]&lt;50,"Middle aged","Senior citizen"))</f>
        <v>Middle aged</v>
      </c>
      <c r="R726" s="7">
        <f>IF(Table1_1[[#This Row],[Marriedarital SingletatuSingle]]="M",Table1_1[[#This Row],[Children]]+2,Table1_1[[#This Row],[Children]]+1)</f>
        <v>3</v>
      </c>
      <c r="S726" s="4" t="str">
        <f>IF(Table1_1[[#This Row],[Cars]]=0,"No","Yes")</f>
        <v>Yes</v>
      </c>
      <c r="T726" s="6" t="str">
        <f>IF(AND(Table1_1[[#This Row],[Income]]&gt;50000,Table1_1[[#This Row],[Home Owner]]="Yes"),"High stability","Low stability")</f>
        <v>Low stability</v>
      </c>
      <c r="U726" s="3">
        <f>Table1_1[[#This Row],[Income]]/Table1_1[[#This Row],[Family size]]</f>
        <v>10000</v>
      </c>
      <c r="V726" s="6" t="str">
        <f>IF(Table1_1[[#This Row],[Occupation]]="Skilled manual","Blue collar",IF(Table1_1[[#This Row],[Occupation]]="Manual","Blue collar","White collar"))</f>
        <v>Blue collar</v>
      </c>
    </row>
    <row r="727" spans="1:22" x14ac:dyDescent="0.3">
      <c r="A727" t="s">
        <v>761</v>
      </c>
      <c r="B727" s="6" t="s">
        <v>1042</v>
      </c>
      <c r="C727" s="6" t="s">
        <v>1046</v>
      </c>
      <c r="D727" s="3">
        <v>130000</v>
      </c>
      <c r="E727">
        <v>2</v>
      </c>
      <c r="F727" s="6" t="s">
        <v>31</v>
      </c>
      <c r="G727" s="6" t="s">
        <v>28</v>
      </c>
      <c r="H727" s="6" t="s">
        <v>15</v>
      </c>
      <c r="I727">
        <v>3</v>
      </c>
      <c r="J727" t="s">
        <v>16</v>
      </c>
      <c r="K7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27" s="6" t="s">
        <v>32</v>
      </c>
      <c r="M727" s="7">
        <v>42</v>
      </c>
      <c r="N727" t="s">
        <v>15</v>
      </c>
      <c r="O727" s="9" t="str">
        <f>IF(Table1_1[[#This Row],[Purchased Bike]]="yes","1","0")</f>
        <v>1</v>
      </c>
      <c r="P727" s="4" t="str">
        <f>IF(Table1_1[[#This Row],[Income]]&lt;=30000,"Low ",IF(Table1_1[[#This Row],[Income]]&lt;=70000,"Middle","High"))</f>
        <v>High</v>
      </c>
      <c r="Q727" s="6" t="str">
        <f>IF(Table1_1[[#This Row],[Age]]&lt;30,"Young",IF(Table1_1[[#This Row],[Age]]&lt;50,"Middle aged","Senior citizen"))</f>
        <v>Middle aged</v>
      </c>
      <c r="R727" s="7">
        <f>IF(Table1_1[[#This Row],[Marriedarital SingletatuSingle]]="M",Table1_1[[#This Row],[Children]]+2,Table1_1[[#This Row],[Children]]+1)</f>
        <v>3</v>
      </c>
      <c r="S727" s="4" t="str">
        <f>IF(Table1_1[[#This Row],[Cars]]=0,"No","Yes")</f>
        <v>Yes</v>
      </c>
      <c r="T727" s="6" t="str">
        <f>IF(AND(Table1_1[[#This Row],[Income]]&gt;50000,Table1_1[[#This Row],[Home Owner]]="Yes"),"High stability","Low stability")</f>
        <v>High stability</v>
      </c>
      <c r="U727" s="3">
        <f>Table1_1[[#This Row],[Income]]/Table1_1[[#This Row],[Family size]]</f>
        <v>43333.333333333336</v>
      </c>
      <c r="V727" s="6" t="str">
        <f>IF(Table1_1[[#This Row],[Occupation]]="Skilled manual","Blue collar",IF(Table1_1[[#This Row],[Occupation]]="Manual","Blue collar","White collar"))</f>
        <v>White collar</v>
      </c>
    </row>
    <row r="728" spans="1:22" x14ac:dyDescent="0.3">
      <c r="A728" t="s">
        <v>762</v>
      </c>
      <c r="B728" s="6" t="s">
        <v>1042</v>
      </c>
      <c r="C728" s="6" t="s">
        <v>1046</v>
      </c>
      <c r="D728" s="3">
        <v>20000</v>
      </c>
      <c r="E728">
        <v>2</v>
      </c>
      <c r="F728" s="6" t="s">
        <v>27</v>
      </c>
      <c r="G728" s="6" t="s">
        <v>25</v>
      </c>
      <c r="H728" s="6" t="s">
        <v>18</v>
      </c>
      <c r="I728">
        <v>2</v>
      </c>
      <c r="J728" t="s">
        <v>16</v>
      </c>
      <c r="K7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28" s="6" t="s">
        <v>32</v>
      </c>
      <c r="M728" s="7">
        <v>53</v>
      </c>
      <c r="N728" t="s">
        <v>18</v>
      </c>
      <c r="O728" s="9" t="str">
        <f>IF(Table1_1[[#This Row],[Purchased Bike]]="yes","1","0")</f>
        <v>0</v>
      </c>
      <c r="P728" s="4" t="str">
        <f>IF(Table1_1[[#This Row],[Income]]&lt;=30000,"Low ",IF(Table1_1[[#This Row],[Income]]&lt;=70000,"Middle","High"))</f>
        <v xml:space="preserve">Low </v>
      </c>
      <c r="Q728" s="6" t="str">
        <f>IF(Table1_1[[#This Row],[Age]]&lt;30,"Young",IF(Table1_1[[#This Row],[Age]]&lt;50,"Middle aged","Senior citizen"))</f>
        <v>Senior citizen</v>
      </c>
      <c r="R728" s="7">
        <f>IF(Table1_1[[#This Row],[Marriedarital SingletatuSingle]]="M",Table1_1[[#This Row],[Children]]+2,Table1_1[[#This Row],[Children]]+1)</f>
        <v>3</v>
      </c>
      <c r="S728" s="4" t="str">
        <f>IF(Table1_1[[#This Row],[Cars]]=0,"No","Yes")</f>
        <v>Yes</v>
      </c>
      <c r="T728" s="6" t="str">
        <f>IF(AND(Table1_1[[#This Row],[Income]]&gt;50000,Table1_1[[#This Row],[Home Owner]]="Yes"),"High stability","Low stability")</f>
        <v>Low stability</v>
      </c>
      <c r="U728" s="3">
        <f>Table1_1[[#This Row],[Income]]/Table1_1[[#This Row],[Family size]]</f>
        <v>6666.666666666667</v>
      </c>
      <c r="V728" s="6" t="str">
        <f>IF(Table1_1[[#This Row],[Occupation]]="Skilled manual","Blue collar",IF(Table1_1[[#This Row],[Occupation]]="Manual","Blue collar","White collar"))</f>
        <v>Blue collar</v>
      </c>
    </row>
    <row r="729" spans="1:22" x14ac:dyDescent="0.3">
      <c r="A729" t="s">
        <v>763</v>
      </c>
      <c r="B729" s="6" t="s">
        <v>1042</v>
      </c>
      <c r="C729" s="6" t="s">
        <v>1046</v>
      </c>
      <c r="D729" s="3">
        <v>70000</v>
      </c>
      <c r="E729">
        <v>1</v>
      </c>
      <c r="F729" s="6" t="s">
        <v>31</v>
      </c>
      <c r="G729" s="6" t="s">
        <v>21</v>
      </c>
      <c r="H729" s="6" t="s">
        <v>15</v>
      </c>
      <c r="I729">
        <v>1</v>
      </c>
      <c r="J729" t="s">
        <v>16</v>
      </c>
      <c r="K7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29" s="6" t="s">
        <v>32</v>
      </c>
      <c r="M729" s="7">
        <v>46</v>
      </c>
      <c r="N729" t="s">
        <v>15</v>
      </c>
      <c r="O729" s="9" t="str">
        <f>IF(Table1_1[[#This Row],[Purchased Bike]]="yes","1","0")</f>
        <v>1</v>
      </c>
      <c r="P729" s="4" t="str">
        <f>IF(Table1_1[[#This Row],[Income]]&lt;=30000,"Low ",IF(Table1_1[[#This Row],[Income]]&lt;=70000,"Middle","High"))</f>
        <v>Middle</v>
      </c>
      <c r="Q729" s="6" t="str">
        <f>IF(Table1_1[[#This Row],[Age]]&lt;30,"Young",IF(Table1_1[[#This Row],[Age]]&lt;50,"Middle aged","Senior citizen"))</f>
        <v>Middle aged</v>
      </c>
      <c r="R729" s="7">
        <f>IF(Table1_1[[#This Row],[Marriedarital SingletatuSingle]]="M",Table1_1[[#This Row],[Children]]+2,Table1_1[[#This Row],[Children]]+1)</f>
        <v>2</v>
      </c>
      <c r="S729" s="4" t="str">
        <f>IF(Table1_1[[#This Row],[Cars]]=0,"No","Yes")</f>
        <v>Yes</v>
      </c>
      <c r="T729" s="6" t="str">
        <f>IF(AND(Table1_1[[#This Row],[Income]]&gt;50000,Table1_1[[#This Row],[Home Owner]]="Yes"),"High stability","Low stability")</f>
        <v>High stability</v>
      </c>
      <c r="U729" s="3">
        <f>Table1_1[[#This Row],[Income]]/Table1_1[[#This Row],[Family size]]</f>
        <v>35000</v>
      </c>
      <c r="V729" s="6" t="str">
        <f>IF(Table1_1[[#This Row],[Occupation]]="Skilled manual","Blue collar",IF(Table1_1[[#This Row],[Occupation]]="Manual","Blue collar","White collar"))</f>
        <v>White collar</v>
      </c>
    </row>
    <row r="730" spans="1:22" x14ac:dyDescent="0.3">
      <c r="A730" t="s">
        <v>764</v>
      </c>
      <c r="B730" s="6" t="s">
        <v>1042</v>
      </c>
      <c r="C730" s="6" t="s">
        <v>1046</v>
      </c>
      <c r="D730" s="3">
        <v>40000</v>
      </c>
      <c r="E730">
        <v>0</v>
      </c>
      <c r="F730" s="6" t="s">
        <v>27</v>
      </c>
      <c r="G730" s="6" t="s">
        <v>14</v>
      </c>
      <c r="H730" s="6" t="s">
        <v>15</v>
      </c>
      <c r="I730">
        <v>2</v>
      </c>
      <c r="J730" t="s">
        <v>23</v>
      </c>
      <c r="K7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30" s="6" t="s">
        <v>32</v>
      </c>
      <c r="M730" s="7">
        <v>27</v>
      </c>
      <c r="N730" t="s">
        <v>18</v>
      </c>
      <c r="O730" s="9" t="str">
        <f>IF(Table1_1[[#This Row],[Purchased Bike]]="yes","1","0")</f>
        <v>0</v>
      </c>
      <c r="P730" s="4" t="str">
        <f>IF(Table1_1[[#This Row],[Income]]&lt;=30000,"Low ",IF(Table1_1[[#This Row],[Income]]&lt;=70000,"Middle","High"))</f>
        <v>Middle</v>
      </c>
      <c r="Q730" s="6" t="str">
        <f>IF(Table1_1[[#This Row],[Age]]&lt;30,"Young",IF(Table1_1[[#This Row],[Age]]&lt;50,"Middle aged","Senior citizen"))</f>
        <v>Young</v>
      </c>
      <c r="R730" s="7">
        <f>IF(Table1_1[[#This Row],[Marriedarital SingletatuSingle]]="M",Table1_1[[#This Row],[Children]]+2,Table1_1[[#This Row],[Children]]+1)</f>
        <v>1</v>
      </c>
      <c r="S730" s="4" t="str">
        <f>IF(Table1_1[[#This Row],[Cars]]=0,"No","Yes")</f>
        <v>Yes</v>
      </c>
      <c r="T730" s="6" t="str">
        <f>IF(AND(Table1_1[[#This Row],[Income]]&gt;50000,Table1_1[[#This Row],[Home Owner]]="Yes"),"High stability","Low stability")</f>
        <v>Low stability</v>
      </c>
      <c r="U730" s="3">
        <f>Table1_1[[#This Row],[Income]]/Table1_1[[#This Row],[Family size]]</f>
        <v>40000</v>
      </c>
      <c r="V730" s="6" t="str">
        <f>IF(Table1_1[[#This Row],[Occupation]]="Skilled manual","Blue collar",IF(Table1_1[[#This Row],[Occupation]]="Manual","Blue collar","White collar"))</f>
        <v>Blue collar</v>
      </c>
    </row>
    <row r="731" spans="1:22" x14ac:dyDescent="0.3">
      <c r="A731" t="s">
        <v>765</v>
      </c>
      <c r="B731" s="6" t="s">
        <v>1042</v>
      </c>
      <c r="C731" s="6" t="s">
        <v>1045</v>
      </c>
      <c r="D731" s="3">
        <v>60000</v>
      </c>
      <c r="E731">
        <v>3</v>
      </c>
      <c r="F731" s="6" t="s">
        <v>13</v>
      </c>
      <c r="G731" s="6" t="s">
        <v>21</v>
      </c>
      <c r="H731" s="6" t="s">
        <v>15</v>
      </c>
      <c r="I731">
        <v>1</v>
      </c>
      <c r="J731" t="s">
        <v>16</v>
      </c>
      <c r="K7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31" s="6" t="s">
        <v>32</v>
      </c>
      <c r="M731" s="7">
        <v>48</v>
      </c>
      <c r="N731" t="s">
        <v>15</v>
      </c>
      <c r="O731" s="9" t="str">
        <f>IF(Table1_1[[#This Row],[Purchased Bike]]="yes","1","0")</f>
        <v>1</v>
      </c>
      <c r="P731" s="4" t="str">
        <f>IF(Table1_1[[#This Row],[Income]]&lt;=30000,"Low ",IF(Table1_1[[#This Row],[Income]]&lt;=70000,"Middle","High"))</f>
        <v>Middle</v>
      </c>
      <c r="Q731" s="6" t="str">
        <f>IF(Table1_1[[#This Row],[Age]]&lt;30,"Young",IF(Table1_1[[#This Row],[Age]]&lt;50,"Middle aged","Senior citizen"))</f>
        <v>Middle aged</v>
      </c>
      <c r="R731" s="7">
        <f>IF(Table1_1[[#This Row],[Marriedarital SingletatuSingle]]="M",Table1_1[[#This Row],[Children]]+2,Table1_1[[#This Row],[Children]]+1)</f>
        <v>4</v>
      </c>
      <c r="S731" s="4" t="str">
        <f>IF(Table1_1[[#This Row],[Cars]]=0,"No","Yes")</f>
        <v>Yes</v>
      </c>
      <c r="T731" s="6" t="str">
        <f>IF(AND(Table1_1[[#This Row],[Income]]&gt;50000,Table1_1[[#This Row],[Home Owner]]="Yes"),"High stability","Low stability")</f>
        <v>High stability</v>
      </c>
      <c r="U731" s="3">
        <f>Table1_1[[#This Row],[Income]]/Table1_1[[#This Row],[Family size]]</f>
        <v>15000</v>
      </c>
      <c r="V731" s="6" t="str">
        <f>IF(Table1_1[[#This Row],[Occupation]]="Skilled manual","Blue collar",IF(Table1_1[[#This Row],[Occupation]]="Manual","Blue collar","White collar"))</f>
        <v>White collar</v>
      </c>
    </row>
    <row r="732" spans="1:22" x14ac:dyDescent="0.3">
      <c r="A732" t="s">
        <v>766</v>
      </c>
      <c r="B732" s="6" t="s">
        <v>1044</v>
      </c>
      <c r="C732" s="6" t="s">
        <v>1045</v>
      </c>
      <c r="D732" s="3">
        <v>60000</v>
      </c>
      <c r="E732">
        <v>4</v>
      </c>
      <c r="F732" s="6" t="s">
        <v>13</v>
      </c>
      <c r="G732" s="6" t="s">
        <v>14</v>
      </c>
      <c r="H732" s="6" t="s">
        <v>15</v>
      </c>
      <c r="I732">
        <v>2</v>
      </c>
      <c r="J732" t="s">
        <v>22</v>
      </c>
      <c r="K7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32" s="6" t="s">
        <v>32</v>
      </c>
      <c r="M732" s="7">
        <v>41</v>
      </c>
      <c r="N732" t="s">
        <v>15</v>
      </c>
      <c r="O732" s="9" t="str">
        <f>IF(Table1_1[[#This Row],[Purchased Bike]]="yes","1","0")</f>
        <v>1</v>
      </c>
      <c r="P732" s="4" t="str">
        <f>IF(Table1_1[[#This Row],[Income]]&lt;=30000,"Low ",IF(Table1_1[[#This Row],[Income]]&lt;=70000,"Middle","High"))</f>
        <v>Middle</v>
      </c>
      <c r="Q732" s="6" t="str">
        <f>IF(Table1_1[[#This Row],[Age]]&lt;30,"Young",IF(Table1_1[[#This Row],[Age]]&lt;50,"Middle aged","Senior citizen"))</f>
        <v>Middle aged</v>
      </c>
      <c r="R732" s="7">
        <f>IF(Table1_1[[#This Row],[Marriedarital SingletatuSingle]]="M",Table1_1[[#This Row],[Children]]+2,Table1_1[[#This Row],[Children]]+1)</f>
        <v>5</v>
      </c>
      <c r="S732" s="4" t="str">
        <f>IF(Table1_1[[#This Row],[Cars]]=0,"No","Yes")</f>
        <v>Yes</v>
      </c>
      <c r="T732" s="6" t="str">
        <f>IF(AND(Table1_1[[#This Row],[Income]]&gt;50000,Table1_1[[#This Row],[Home Owner]]="Yes"),"High stability","Low stability")</f>
        <v>High stability</v>
      </c>
      <c r="U732" s="3">
        <f>Table1_1[[#This Row],[Income]]/Table1_1[[#This Row],[Family size]]</f>
        <v>12000</v>
      </c>
      <c r="V732" s="6" t="str">
        <f>IF(Table1_1[[#This Row],[Occupation]]="Skilled manual","Blue collar",IF(Table1_1[[#This Row],[Occupation]]="Manual","Blue collar","White collar"))</f>
        <v>Blue collar</v>
      </c>
    </row>
    <row r="733" spans="1:22" x14ac:dyDescent="0.3">
      <c r="A733" t="s">
        <v>767</v>
      </c>
      <c r="B733" s="6" t="s">
        <v>1042</v>
      </c>
      <c r="C733" s="6" t="s">
        <v>1046</v>
      </c>
      <c r="D733" s="3">
        <v>60000</v>
      </c>
      <c r="E733">
        <v>2</v>
      </c>
      <c r="F733" s="6" t="s">
        <v>27</v>
      </c>
      <c r="G733" s="6" t="s">
        <v>21</v>
      </c>
      <c r="H733" s="6" t="s">
        <v>18</v>
      </c>
      <c r="I733">
        <v>2</v>
      </c>
      <c r="J733" t="s">
        <v>26</v>
      </c>
      <c r="K7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33" s="6" t="s">
        <v>32</v>
      </c>
      <c r="M733" s="7">
        <v>49</v>
      </c>
      <c r="N733" t="s">
        <v>15</v>
      </c>
      <c r="O733" s="9" t="str">
        <f>IF(Table1_1[[#This Row],[Purchased Bike]]="yes","1","0")</f>
        <v>1</v>
      </c>
      <c r="P733" s="4" t="str">
        <f>IF(Table1_1[[#This Row],[Income]]&lt;=30000,"Low ",IF(Table1_1[[#This Row],[Income]]&lt;=70000,"Middle","High"))</f>
        <v>Middle</v>
      </c>
      <c r="Q733" s="6" t="str">
        <f>IF(Table1_1[[#This Row],[Age]]&lt;30,"Young",IF(Table1_1[[#This Row],[Age]]&lt;50,"Middle aged","Senior citizen"))</f>
        <v>Middle aged</v>
      </c>
      <c r="R733" s="7">
        <f>IF(Table1_1[[#This Row],[Marriedarital SingletatuSingle]]="M",Table1_1[[#This Row],[Children]]+2,Table1_1[[#This Row],[Children]]+1)</f>
        <v>3</v>
      </c>
      <c r="S733" s="4" t="str">
        <f>IF(Table1_1[[#This Row],[Cars]]=0,"No","Yes")</f>
        <v>Yes</v>
      </c>
      <c r="T733" s="6" t="str">
        <f>IF(AND(Table1_1[[#This Row],[Income]]&gt;50000,Table1_1[[#This Row],[Home Owner]]="Yes"),"High stability","Low stability")</f>
        <v>Low stability</v>
      </c>
      <c r="U733" s="3">
        <f>Table1_1[[#This Row],[Income]]/Table1_1[[#This Row],[Family size]]</f>
        <v>20000</v>
      </c>
      <c r="V733" s="6" t="str">
        <f>IF(Table1_1[[#This Row],[Occupation]]="Skilled manual","Blue collar",IF(Table1_1[[#This Row],[Occupation]]="Manual","Blue collar","White collar"))</f>
        <v>White collar</v>
      </c>
    </row>
    <row r="734" spans="1:22" x14ac:dyDescent="0.3">
      <c r="A734" t="s">
        <v>768</v>
      </c>
      <c r="B734" s="6" t="s">
        <v>1044</v>
      </c>
      <c r="C734" s="6" t="s">
        <v>1045</v>
      </c>
      <c r="D734" s="3">
        <v>60000</v>
      </c>
      <c r="E734">
        <v>0</v>
      </c>
      <c r="F734" s="6" t="s">
        <v>31</v>
      </c>
      <c r="G734" s="6" t="s">
        <v>21</v>
      </c>
      <c r="H734" s="6" t="s">
        <v>15</v>
      </c>
      <c r="I734">
        <v>1</v>
      </c>
      <c r="J734" t="s">
        <v>22</v>
      </c>
      <c r="K7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34" s="6" t="s">
        <v>32</v>
      </c>
      <c r="M734" s="7">
        <v>38</v>
      </c>
      <c r="N734" t="s">
        <v>15</v>
      </c>
      <c r="O734" s="9" t="str">
        <f>IF(Table1_1[[#This Row],[Purchased Bike]]="yes","1","0")</f>
        <v>1</v>
      </c>
      <c r="P734" s="4" t="str">
        <f>IF(Table1_1[[#This Row],[Income]]&lt;=30000,"Low ",IF(Table1_1[[#This Row],[Income]]&lt;=70000,"Middle","High"))</f>
        <v>Middle</v>
      </c>
      <c r="Q734" s="6" t="str">
        <f>IF(Table1_1[[#This Row],[Age]]&lt;30,"Young",IF(Table1_1[[#This Row],[Age]]&lt;50,"Middle aged","Senior citizen"))</f>
        <v>Middle aged</v>
      </c>
      <c r="R734" s="7">
        <f>IF(Table1_1[[#This Row],[Marriedarital SingletatuSingle]]="M",Table1_1[[#This Row],[Children]]+2,Table1_1[[#This Row],[Children]]+1)</f>
        <v>1</v>
      </c>
      <c r="S734" s="4" t="str">
        <f>IF(Table1_1[[#This Row],[Cars]]=0,"No","Yes")</f>
        <v>Yes</v>
      </c>
      <c r="T734" s="6" t="str">
        <f>IF(AND(Table1_1[[#This Row],[Income]]&gt;50000,Table1_1[[#This Row],[Home Owner]]="Yes"),"High stability","Low stability")</f>
        <v>High stability</v>
      </c>
      <c r="U734" s="3">
        <f>Table1_1[[#This Row],[Income]]/Table1_1[[#This Row],[Family size]]</f>
        <v>60000</v>
      </c>
      <c r="V734" s="6" t="str">
        <f>IF(Table1_1[[#This Row],[Occupation]]="Skilled manual","Blue collar",IF(Table1_1[[#This Row],[Occupation]]="Manual","Blue collar","White collar"))</f>
        <v>White collar</v>
      </c>
    </row>
    <row r="735" spans="1:22" x14ac:dyDescent="0.3">
      <c r="A735" t="s">
        <v>769</v>
      </c>
      <c r="B735" s="6" t="s">
        <v>1044</v>
      </c>
      <c r="C735" s="6" t="s">
        <v>1046</v>
      </c>
      <c r="D735" s="3">
        <v>130000</v>
      </c>
      <c r="E735">
        <v>1</v>
      </c>
      <c r="F735" s="6" t="s">
        <v>13</v>
      </c>
      <c r="G735" s="6" t="s">
        <v>28</v>
      </c>
      <c r="H735" s="6" t="s">
        <v>18</v>
      </c>
      <c r="I735">
        <v>4</v>
      </c>
      <c r="J735" t="s">
        <v>16</v>
      </c>
      <c r="K7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35" s="6" t="s">
        <v>32</v>
      </c>
      <c r="M735" s="7">
        <v>44</v>
      </c>
      <c r="N735" t="s">
        <v>18</v>
      </c>
      <c r="O735" s="9" t="str">
        <f>IF(Table1_1[[#This Row],[Purchased Bike]]="yes","1","0")</f>
        <v>0</v>
      </c>
      <c r="P735" s="4" t="str">
        <f>IF(Table1_1[[#This Row],[Income]]&lt;=30000,"Low ",IF(Table1_1[[#This Row],[Income]]&lt;=70000,"Middle","High"))</f>
        <v>High</v>
      </c>
      <c r="Q735" s="6" t="str">
        <f>IF(Table1_1[[#This Row],[Age]]&lt;30,"Young",IF(Table1_1[[#This Row],[Age]]&lt;50,"Middle aged","Senior citizen"))</f>
        <v>Middle aged</v>
      </c>
      <c r="R735" s="7">
        <f>IF(Table1_1[[#This Row],[Marriedarital SingletatuSingle]]="M",Table1_1[[#This Row],[Children]]+2,Table1_1[[#This Row],[Children]]+1)</f>
        <v>2</v>
      </c>
      <c r="S735" s="4" t="str">
        <f>IF(Table1_1[[#This Row],[Cars]]=0,"No","Yes")</f>
        <v>Yes</v>
      </c>
      <c r="T735" s="6" t="str">
        <f>IF(AND(Table1_1[[#This Row],[Income]]&gt;50000,Table1_1[[#This Row],[Home Owner]]="Yes"),"High stability","Low stability")</f>
        <v>Low stability</v>
      </c>
      <c r="U735" s="3">
        <f>Table1_1[[#This Row],[Income]]/Table1_1[[#This Row],[Family size]]</f>
        <v>65000</v>
      </c>
      <c r="V735" s="6" t="str">
        <f>IF(Table1_1[[#This Row],[Occupation]]="Skilled manual","Blue collar",IF(Table1_1[[#This Row],[Occupation]]="Manual","Blue collar","White collar"))</f>
        <v>White collar</v>
      </c>
    </row>
    <row r="736" spans="1:22" x14ac:dyDescent="0.3">
      <c r="A736" t="s">
        <v>770</v>
      </c>
      <c r="B736" s="6" t="s">
        <v>1044</v>
      </c>
      <c r="C736" s="6" t="s">
        <v>1045</v>
      </c>
      <c r="D736" s="3">
        <v>130000</v>
      </c>
      <c r="E736">
        <v>1</v>
      </c>
      <c r="F736" s="6" t="s">
        <v>13</v>
      </c>
      <c r="G736" s="6" t="s">
        <v>28</v>
      </c>
      <c r="H736" s="6" t="s">
        <v>18</v>
      </c>
      <c r="I736">
        <v>3</v>
      </c>
      <c r="J736" t="s">
        <v>16</v>
      </c>
      <c r="K7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36" s="6" t="s">
        <v>32</v>
      </c>
      <c r="M736" s="7">
        <v>45</v>
      </c>
      <c r="N736" t="s">
        <v>15</v>
      </c>
      <c r="O736" s="9" t="str">
        <f>IF(Table1_1[[#This Row],[Purchased Bike]]="yes","1","0")</f>
        <v>1</v>
      </c>
      <c r="P736" s="4" t="str">
        <f>IF(Table1_1[[#This Row],[Income]]&lt;=30000,"Low ",IF(Table1_1[[#This Row],[Income]]&lt;=70000,"Middle","High"))</f>
        <v>High</v>
      </c>
      <c r="Q736" s="6" t="str">
        <f>IF(Table1_1[[#This Row],[Age]]&lt;30,"Young",IF(Table1_1[[#This Row],[Age]]&lt;50,"Middle aged","Senior citizen"))</f>
        <v>Middle aged</v>
      </c>
      <c r="R736" s="7">
        <f>IF(Table1_1[[#This Row],[Marriedarital SingletatuSingle]]="M",Table1_1[[#This Row],[Children]]+2,Table1_1[[#This Row],[Children]]+1)</f>
        <v>2</v>
      </c>
      <c r="S736" s="4" t="str">
        <f>IF(Table1_1[[#This Row],[Cars]]=0,"No","Yes")</f>
        <v>Yes</v>
      </c>
      <c r="T736" s="6" t="str">
        <f>IF(AND(Table1_1[[#This Row],[Income]]&gt;50000,Table1_1[[#This Row],[Home Owner]]="Yes"),"High stability","Low stability")</f>
        <v>Low stability</v>
      </c>
      <c r="U736" s="3">
        <f>Table1_1[[#This Row],[Income]]/Table1_1[[#This Row],[Family size]]</f>
        <v>65000</v>
      </c>
      <c r="V736" s="6" t="str">
        <f>IF(Table1_1[[#This Row],[Occupation]]="Skilled manual","Blue collar",IF(Table1_1[[#This Row],[Occupation]]="Manual","Blue collar","White collar"))</f>
        <v>White collar</v>
      </c>
    </row>
    <row r="737" spans="1:22" x14ac:dyDescent="0.3">
      <c r="A737" t="s">
        <v>771</v>
      </c>
      <c r="B737" s="6" t="s">
        <v>1044</v>
      </c>
      <c r="C737" s="6" t="s">
        <v>1045</v>
      </c>
      <c r="D737" s="3">
        <v>30000</v>
      </c>
      <c r="E737">
        <v>0</v>
      </c>
      <c r="F737" s="6" t="s">
        <v>19</v>
      </c>
      <c r="G737" s="6" t="s">
        <v>14</v>
      </c>
      <c r="H737" s="6" t="s">
        <v>15</v>
      </c>
      <c r="I737">
        <v>1</v>
      </c>
      <c r="J737" t="s">
        <v>23</v>
      </c>
      <c r="K7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37" s="6" t="s">
        <v>32</v>
      </c>
      <c r="M737" s="7">
        <v>26</v>
      </c>
      <c r="N737" t="s">
        <v>18</v>
      </c>
      <c r="O737" s="9" t="str">
        <f>IF(Table1_1[[#This Row],[Purchased Bike]]="yes","1","0")</f>
        <v>0</v>
      </c>
      <c r="P737" s="4" t="str">
        <f>IF(Table1_1[[#This Row],[Income]]&lt;=30000,"Low ",IF(Table1_1[[#This Row],[Income]]&lt;=70000,"Middle","High"))</f>
        <v xml:space="preserve">Low </v>
      </c>
      <c r="Q737" s="6" t="str">
        <f>IF(Table1_1[[#This Row],[Age]]&lt;30,"Young",IF(Table1_1[[#This Row],[Age]]&lt;50,"Middle aged","Senior citizen"))</f>
        <v>Young</v>
      </c>
      <c r="R737" s="7">
        <f>IF(Table1_1[[#This Row],[Marriedarital SingletatuSingle]]="M",Table1_1[[#This Row],[Children]]+2,Table1_1[[#This Row],[Children]]+1)</f>
        <v>1</v>
      </c>
      <c r="S737" s="4" t="str">
        <f>IF(Table1_1[[#This Row],[Cars]]=0,"No","Yes")</f>
        <v>Yes</v>
      </c>
      <c r="T737" s="6" t="str">
        <f>IF(AND(Table1_1[[#This Row],[Income]]&gt;50000,Table1_1[[#This Row],[Home Owner]]="Yes"),"High stability","Low stability")</f>
        <v>Low stability</v>
      </c>
      <c r="U737" s="3">
        <f>Table1_1[[#This Row],[Income]]/Table1_1[[#This Row],[Family size]]</f>
        <v>30000</v>
      </c>
      <c r="V737" s="6" t="str">
        <f>IF(Table1_1[[#This Row],[Occupation]]="Skilled manual","Blue collar",IF(Table1_1[[#This Row],[Occupation]]="Manual","Blue collar","White collar"))</f>
        <v>Blue collar</v>
      </c>
    </row>
    <row r="738" spans="1:22" x14ac:dyDescent="0.3">
      <c r="A738" t="s">
        <v>772</v>
      </c>
      <c r="B738" s="6" t="s">
        <v>1042</v>
      </c>
      <c r="C738" s="6" t="s">
        <v>1046</v>
      </c>
      <c r="D738" s="3">
        <v>40000</v>
      </c>
      <c r="E738">
        <v>0</v>
      </c>
      <c r="F738" s="6" t="s">
        <v>27</v>
      </c>
      <c r="G738" s="6" t="s">
        <v>14</v>
      </c>
      <c r="H738" s="6" t="s">
        <v>15</v>
      </c>
      <c r="I738">
        <v>1</v>
      </c>
      <c r="J738" t="s">
        <v>23</v>
      </c>
      <c r="K7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38" s="6" t="s">
        <v>32</v>
      </c>
      <c r="M738" s="7">
        <v>31</v>
      </c>
      <c r="N738" t="s">
        <v>18</v>
      </c>
      <c r="O738" s="9" t="str">
        <f>IF(Table1_1[[#This Row],[Purchased Bike]]="yes","1","0")</f>
        <v>0</v>
      </c>
      <c r="P738" s="4" t="str">
        <f>IF(Table1_1[[#This Row],[Income]]&lt;=30000,"Low ",IF(Table1_1[[#This Row],[Income]]&lt;=70000,"Middle","High"))</f>
        <v>Middle</v>
      </c>
      <c r="Q738" s="6" t="str">
        <f>IF(Table1_1[[#This Row],[Age]]&lt;30,"Young",IF(Table1_1[[#This Row],[Age]]&lt;50,"Middle aged","Senior citizen"))</f>
        <v>Middle aged</v>
      </c>
      <c r="R738" s="7">
        <f>IF(Table1_1[[#This Row],[Marriedarital SingletatuSingle]]="M",Table1_1[[#This Row],[Children]]+2,Table1_1[[#This Row],[Children]]+1)</f>
        <v>1</v>
      </c>
      <c r="S738" s="4" t="str">
        <f>IF(Table1_1[[#This Row],[Cars]]=0,"No","Yes")</f>
        <v>Yes</v>
      </c>
      <c r="T738" s="6" t="str">
        <f>IF(AND(Table1_1[[#This Row],[Income]]&gt;50000,Table1_1[[#This Row],[Home Owner]]="Yes"),"High stability","Low stability")</f>
        <v>Low stability</v>
      </c>
      <c r="U738" s="3">
        <f>Table1_1[[#This Row],[Income]]/Table1_1[[#This Row],[Family size]]</f>
        <v>40000</v>
      </c>
      <c r="V738" s="6" t="str">
        <f>IF(Table1_1[[#This Row],[Occupation]]="Skilled manual","Blue collar",IF(Table1_1[[#This Row],[Occupation]]="Manual","Blue collar","White collar"))</f>
        <v>Blue collar</v>
      </c>
    </row>
    <row r="739" spans="1:22" x14ac:dyDescent="0.3">
      <c r="A739" t="s">
        <v>773</v>
      </c>
      <c r="B739" s="6" t="s">
        <v>1042</v>
      </c>
      <c r="C739" s="6" t="s">
        <v>1046</v>
      </c>
      <c r="D739" s="3">
        <v>70000</v>
      </c>
      <c r="E739">
        <v>2</v>
      </c>
      <c r="F739" s="6" t="s">
        <v>29</v>
      </c>
      <c r="G739" s="6" t="s">
        <v>14</v>
      </c>
      <c r="H739" s="6" t="s">
        <v>18</v>
      </c>
      <c r="I739">
        <v>2</v>
      </c>
      <c r="J739" t="s">
        <v>26</v>
      </c>
      <c r="K7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39" s="6" t="s">
        <v>32</v>
      </c>
      <c r="M739" s="7">
        <v>49</v>
      </c>
      <c r="N739" t="s">
        <v>18</v>
      </c>
      <c r="O739" s="9" t="str">
        <f>IF(Table1_1[[#This Row],[Purchased Bike]]="yes","1","0")</f>
        <v>0</v>
      </c>
      <c r="P739" s="4" t="str">
        <f>IF(Table1_1[[#This Row],[Income]]&lt;=30000,"Low ",IF(Table1_1[[#This Row],[Income]]&lt;=70000,"Middle","High"))</f>
        <v>Middle</v>
      </c>
      <c r="Q739" s="6" t="str">
        <f>IF(Table1_1[[#This Row],[Age]]&lt;30,"Young",IF(Table1_1[[#This Row],[Age]]&lt;50,"Middle aged","Senior citizen"))</f>
        <v>Middle aged</v>
      </c>
      <c r="R739" s="7">
        <f>IF(Table1_1[[#This Row],[Marriedarital SingletatuSingle]]="M",Table1_1[[#This Row],[Children]]+2,Table1_1[[#This Row],[Children]]+1)</f>
        <v>3</v>
      </c>
      <c r="S739" s="4" t="str">
        <f>IF(Table1_1[[#This Row],[Cars]]=0,"No","Yes")</f>
        <v>Yes</v>
      </c>
      <c r="T739" s="6" t="str">
        <f>IF(AND(Table1_1[[#This Row],[Income]]&gt;50000,Table1_1[[#This Row],[Home Owner]]="Yes"),"High stability","Low stability")</f>
        <v>Low stability</v>
      </c>
      <c r="U739" s="3">
        <f>Table1_1[[#This Row],[Income]]/Table1_1[[#This Row],[Family size]]</f>
        <v>23333.333333333332</v>
      </c>
      <c r="V739" s="6" t="str">
        <f>IF(Table1_1[[#This Row],[Occupation]]="Skilled manual","Blue collar",IF(Table1_1[[#This Row],[Occupation]]="Manual","Blue collar","White collar"))</f>
        <v>Blue collar</v>
      </c>
    </row>
    <row r="740" spans="1:22" x14ac:dyDescent="0.3">
      <c r="A740" t="s">
        <v>774</v>
      </c>
      <c r="B740" s="6" t="s">
        <v>1044</v>
      </c>
      <c r="C740" s="6" t="s">
        <v>1045</v>
      </c>
      <c r="D740" s="3">
        <v>40000</v>
      </c>
      <c r="E740">
        <v>2</v>
      </c>
      <c r="F740" s="6" t="s">
        <v>19</v>
      </c>
      <c r="G740" s="6" t="s">
        <v>20</v>
      </c>
      <c r="H740" s="6" t="s">
        <v>18</v>
      </c>
      <c r="I740">
        <v>1</v>
      </c>
      <c r="J740" t="s">
        <v>26</v>
      </c>
      <c r="K7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40" s="6" t="s">
        <v>32</v>
      </c>
      <c r="M740" s="7">
        <v>47</v>
      </c>
      <c r="N740" t="s">
        <v>15</v>
      </c>
      <c r="O740" s="9" t="str">
        <f>IF(Table1_1[[#This Row],[Purchased Bike]]="yes","1","0")</f>
        <v>1</v>
      </c>
      <c r="P740" s="4" t="str">
        <f>IF(Table1_1[[#This Row],[Income]]&lt;=30000,"Low ",IF(Table1_1[[#This Row],[Income]]&lt;=70000,"Middle","High"))</f>
        <v>Middle</v>
      </c>
      <c r="Q740" s="6" t="str">
        <f>IF(Table1_1[[#This Row],[Age]]&lt;30,"Young",IF(Table1_1[[#This Row],[Age]]&lt;50,"Middle aged","Senior citizen"))</f>
        <v>Middle aged</v>
      </c>
      <c r="R740" s="7">
        <f>IF(Table1_1[[#This Row],[Marriedarital SingletatuSingle]]="M",Table1_1[[#This Row],[Children]]+2,Table1_1[[#This Row],[Children]]+1)</f>
        <v>3</v>
      </c>
      <c r="S740" s="4" t="str">
        <f>IF(Table1_1[[#This Row],[Cars]]=0,"No","Yes")</f>
        <v>Yes</v>
      </c>
      <c r="T740" s="6" t="str">
        <f>IF(AND(Table1_1[[#This Row],[Income]]&gt;50000,Table1_1[[#This Row],[Home Owner]]="Yes"),"High stability","Low stability")</f>
        <v>Low stability</v>
      </c>
      <c r="U740" s="3">
        <f>Table1_1[[#This Row],[Income]]/Table1_1[[#This Row],[Family size]]</f>
        <v>13333.333333333334</v>
      </c>
      <c r="V740" s="6" t="str">
        <f>IF(Table1_1[[#This Row],[Occupation]]="Skilled manual","Blue collar",IF(Table1_1[[#This Row],[Occupation]]="Manual","Blue collar","White collar"))</f>
        <v>White collar</v>
      </c>
    </row>
    <row r="741" spans="1:22" x14ac:dyDescent="0.3">
      <c r="A741" t="s">
        <v>775</v>
      </c>
      <c r="B741" s="6" t="s">
        <v>1042</v>
      </c>
      <c r="C741" s="6" t="s">
        <v>1045</v>
      </c>
      <c r="D741" s="3">
        <v>60000</v>
      </c>
      <c r="E741">
        <v>2</v>
      </c>
      <c r="F741" s="6" t="s">
        <v>19</v>
      </c>
      <c r="G741" s="6" t="s">
        <v>21</v>
      </c>
      <c r="H741" s="6" t="s">
        <v>15</v>
      </c>
      <c r="I741">
        <v>1</v>
      </c>
      <c r="J741" t="s">
        <v>30</v>
      </c>
      <c r="K7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41" s="6" t="s">
        <v>32</v>
      </c>
      <c r="M741" s="7">
        <v>55</v>
      </c>
      <c r="N741" t="s">
        <v>18</v>
      </c>
      <c r="O741" s="9" t="str">
        <f>IF(Table1_1[[#This Row],[Purchased Bike]]="yes","1","0")</f>
        <v>0</v>
      </c>
      <c r="P741" s="4" t="str">
        <f>IF(Table1_1[[#This Row],[Income]]&lt;=30000,"Low ",IF(Table1_1[[#This Row],[Income]]&lt;=70000,"Middle","High"))</f>
        <v>Middle</v>
      </c>
      <c r="Q741" s="6" t="str">
        <f>IF(Table1_1[[#This Row],[Age]]&lt;30,"Young",IF(Table1_1[[#This Row],[Age]]&lt;50,"Middle aged","Senior citizen"))</f>
        <v>Senior citizen</v>
      </c>
      <c r="R741" s="7">
        <f>IF(Table1_1[[#This Row],[Marriedarital SingletatuSingle]]="M",Table1_1[[#This Row],[Children]]+2,Table1_1[[#This Row],[Children]]+1)</f>
        <v>3</v>
      </c>
      <c r="S741" s="4" t="str">
        <f>IF(Table1_1[[#This Row],[Cars]]=0,"No","Yes")</f>
        <v>Yes</v>
      </c>
      <c r="T741" s="6" t="str">
        <f>IF(AND(Table1_1[[#This Row],[Income]]&gt;50000,Table1_1[[#This Row],[Home Owner]]="Yes"),"High stability","Low stability")</f>
        <v>High stability</v>
      </c>
      <c r="U741" s="3">
        <f>Table1_1[[#This Row],[Income]]/Table1_1[[#This Row],[Family size]]</f>
        <v>20000</v>
      </c>
      <c r="V741" s="6" t="str">
        <f>IF(Table1_1[[#This Row],[Occupation]]="Skilled manual","Blue collar",IF(Table1_1[[#This Row],[Occupation]]="Manual","Blue collar","White collar"))</f>
        <v>White collar</v>
      </c>
    </row>
    <row r="742" spans="1:22" x14ac:dyDescent="0.3">
      <c r="A742" t="s">
        <v>776</v>
      </c>
      <c r="B742" s="6" t="s">
        <v>1042</v>
      </c>
      <c r="C742" s="6" t="s">
        <v>1046</v>
      </c>
      <c r="D742" s="3">
        <v>40000</v>
      </c>
      <c r="E742">
        <v>4</v>
      </c>
      <c r="F742" s="6" t="s">
        <v>19</v>
      </c>
      <c r="G742" s="6" t="s">
        <v>20</v>
      </c>
      <c r="H742" s="6" t="s">
        <v>18</v>
      </c>
      <c r="I742">
        <v>0</v>
      </c>
      <c r="J742" t="s">
        <v>16</v>
      </c>
      <c r="K7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42" s="6" t="s">
        <v>32</v>
      </c>
      <c r="M742" s="7">
        <v>30</v>
      </c>
      <c r="N742" t="s">
        <v>18</v>
      </c>
      <c r="O742" s="9" t="str">
        <f>IF(Table1_1[[#This Row],[Purchased Bike]]="yes","1","0")</f>
        <v>0</v>
      </c>
      <c r="P742" s="4" t="str">
        <f>IF(Table1_1[[#This Row],[Income]]&lt;=30000,"Low ",IF(Table1_1[[#This Row],[Income]]&lt;=70000,"Middle","High"))</f>
        <v>Middle</v>
      </c>
      <c r="Q742" s="6" t="str">
        <f>IF(Table1_1[[#This Row],[Age]]&lt;30,"Young",IF(Table1_1[[#This Row],[Age]]&lt;50,"Middle aged","Senior citizen"))</f>
        <v>Middle aged</v>
      </c>
      <c r="R742" s="7">
        <f>IF(Table1_1[[#This Row],[Marriedarital SingletatuSingle]]="M",Table1_1[[#This Row],[Children]]+2,Table1_1[[#This Row],[Children]]+1)</f>
        <v>5</v>
      </c>
      <c r="S742" s="4" t="str">
        <f>IF(Table1_1[[#This Row],[Cars]]=0,"No","Yes")</f>
        <v>No</v>
      </c>
      <c r="T742" s="6" t="str">
        <f>IF(AND(Table1_1[[#This Row],[Income]]&gt;50000,Table1_1[[#This Row],[Home Owner]]="Yes"),"High stability","Low stability")</f>
        <v>Low stability</v>
      </c>
      <c r="U742" s="3">
        <f>Table1_1[[#This Row],[Income]]/Table1_1[[#This Row],[Family size]]</f>
        <v>8000</v>
      </c>
      <c r="V742" s="6" t="str">
        <f>IF(Table1_1[[#This Row],[Occupation]]="Skilled manual","Blue collar",IF(Table1_1[[#This Row],[Occupation]]="Manual","Blue collar","White collar"))</f>
        <v>White collar</v>
      </c>
    </row>
    <row r="743" spans="1:22" x14ac:dyDescent="0.3">
      <c r="A743" t="s">
        <v>777</v>
      </c>
      <c r="B743" s="6" t="s">
        <v>1042</v>
      </c>
      <c r="C743" s="6" t="s">
        <v>1045</v>
      </c>
      <c r="D743" s="3">
        <v>40000</v>
      </c>
      <c r="E743">
        <v>1</v>
      </c>
      <c r="F743" s="6" t="s">
        <v>19</v>
      </c>
      <c r="G743" s="6" t="s">
        <v>20</v>
      </c>
      <c r="H743" s="6" t="s">
        <v>15</v>
      </c>
      <c r="I743">
        <v>1</v>
      </c>
      <c r="J743" t="s">
        <v>26</v>
      </c>
      <c r="K7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43" s="6" t="s">
        <v>32</v>
      </c>
      <c r="M743" s="7">
        <v>48</v>
      </c>
      <c r="N743" t="s">
        <v>15</v>
      </c>
      <c r="O743" s="9" t="str">
        <f>IF(Table1_1[[#This Row],[Purchased Bike]]="yes","1","0")</f>
        <v>1</v>
      </c>
      <c r="P743" s="4" t="str">
        <f>IF(Table1_1[[#This Row],[Income]]&lt;=30000,"Low ",IF(Table1_1[[#This Row],[Income]]&lt;=70000,"Middle","High"))</f>
        <v>Middle</v>
      </c>
      <c r="Q743" s="6" t="str">
        <f>IF(Table1_1[[#This Row],[Age]]&lt;30,"Young",IF(Table1_1[[#This Row],[Age]]&lt;50,"Middle aged","Senior citizen"))</f>
        <v>Middle aged</v>
      </c>
      <c r="R743" s="7">
        <f>IF(Table1_1[[#This Row],[Marriedarital SingletatuSingle]]="M",Table1_1[[#This Row],[Children]]+2,Table1_1[[#This Row],[Children]]+1)</f>
        <v>2</v>
      </c>
      <c r="S743" s="4" t="str">
        <f>IF(Table1_1[[#This Row],[Cars]]=0,"No","Yes")</f>
        <v>Yes</v>
      </c>
      <c r="T743" s="6" t="str">
        <f>IF(AND(Table1_1[[#This Row],[Income]]&gt;50000,Table1_1[[#This Row],[Home Owner]]="Yes"),"High stability","Low stability")</f>
        <v>Low stability</v>
      </c>
      <c r="U743" s="3">
        <f>Table1_1[[#This Row],[Income]]/Table1_1[[#This Row],[Family size]]</f>
        <v>20000</v>
      </c>
      <c r="V743" s="6" t="str">
        <f>IF(Table1_1[[#This Row],[Occupation]]="Skilled manual","Blue collar",IF(Table1_1[[#This Row],[Occupation]]="Manual","Blue collar","White collar"))</f>
        <v>White collar</v>
      </c>
    </row>
    <row r="744" spans="1:22" x14ac:dyDescent="0.3">
      <c r="A744" t="s">
        <v>778</v>
      </c>
      <c r="B744" s="6" t="s">
        <v>1044</v>
      </c>
      <c r="C744" s="6" t="s">
        <v>1046</v>
      </c>
      <c r="D744" s="3">
        <v>30000</v>
      </c>
      <c r="E744">
        <v>0</v>
      </c>
      <c r="F744" s="6" t="s">
        <v>27</v>
      </c>
      <c r="G744" s="6" t="s">
        <v>14</v>
      </c>
      <c r="H744" s="6" t="s">
        <v>15</v>
      </c>
      <c r="I744">
        <v>2</v>
      </c>
      <c r="J744" t="s">
        <v>23</v>
      </c>
      <c r="K7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44" s="6" t="s">
        <v>32</v>
      </c>
      <c r="M744" s="7">
        <v>30</v>
      </c>
      <c r="N744" t="s">
        <v>18</v>
      </c>
      <c r="O744" s="9" t="str">
        <f>IF(Table1_1[[#This Row],[Purchased Bike]]="yes","1","0")</f>
        <v>0</v>
      </c>
      <c r="P744" s="4" t="str">
        <f>IF(Table1_1[[#This Row],[Income]]&lt;=30000,"Low ",IF(Table1_1[[#This Row],[Income]]&lt;=70000,"Middle","High"))</f>
        <v xml:space="preserve">Low </v>
      </c>
      <c r="Q744" s="6" t="str">
        <f>IF(Table1_1[[#This Row],[Age]]&lt;30,"Young",IF(Table1_1[[#This Row],[Age]]&lt;50,"Middle aged","Senior citizen"))</f>
        <v>Middle aged</v>
      </c>
      <c r="R744" s="7">
        <f>IF(Table1_1[[#This Row],[Marriedarital SingletatuSingle]]="M",Table1_1[[#This Row],[Children]]+2,Table1_1[[#This Row],[Children]]+1)</f>
        <v>1</v>
      </c>
      <c r="S744" s="4" t="str">
        <f>IF(Table1_1[[#This Row],[Cars]]=0,"No","Yes")</f>
        <v>Yes</v>
      </c>
      <c r="T744" s="6" t="str">
        <f>IF(AND(Table1_1[[#This Row],[Income]]&gt;50000,Table1_1[[#This Row],[Home Owner]]="Yes"),"High stability","Low stability")</f>
        <v>Low stability</v>
      </c>
      <c r="U744" s="3">
        <f>Table1_1[[#This Row],[Income]]/Table1_1[[#This Row],[Family size]]</f>
        <v>30000</v>
      </c>
      <c r="V744" s="6" t="str">
        <f>IF(Table1_1[[#This Row],[Occupation]]="Skilled manual","Blue collar",IF(Table1_1[[#This Row],[Occupation]]="Manual","Blue collar","White collar"))</f>
        <v>Blue collar</v>
      </c>
    </row>
    <row r="745" spans="1:22" x14ac:dyDescent="0.3">
      <c r="A745" t="s">
        <v>779</v>
      </c>
      <c r="B745" s="6" t="s">
        <v>1042</v>
      </c>
      <c r="C745" s="6" t="s">
        <v>1046</v>
      </c>
      <c r="D745" s="3">
        <v>110000</v>
      </c>
      <c r="E745">
        <v>1</v>
      </c>
      <c r="F745" s="6" t="s">
        <v>13</v>
      </c>
      <c r="G745" s="6" t="s">
        <v>28</v>
      </c>
      <c r="H745" s="6" t="s">
        <v>15</v>
      </c>
      <c r="I745">
        <v>3</v>
      </c>
      <c r="J745" t="s">
        <v>23</v>
      </c>
      <c r="K7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45" s="6" t="s">
        <v>32</v>
      </c>
      <c r="M745" s="7">
        <v>45</v>
      </c>
      <c r="N745" t="s">
        <v>18</v>
      </c>
      <c r="O745" s="9" t="str">
        <f>IF(Table1_1[[#This Row],[Purchased Bike]]="yes","1","0")</f>
        <v>0</v>
      </c>
      <c r="P745" s="4" t="str">
        <f>IF(Table1_1[[#This Row],[Income]]&lt;=30000,"Low ",IF(Table1_1[[#This Row],[Income]]&lt;=70000,"Middle","High"))</f>
        <v>High</v>
      </c>
      <c r="Q745" s="6" t="str">
        <f>IF(Table1_1[[#This Row],[Age]]&lt;30,"Young",IF(Table1_1[[#This Row],[Age]]&lt;50,"Middle aged","Senior citizen"))</f>
        <v>Middle aged</v>
      </c>
      <c r="R745" s="7">
        <f>IF(Table1_1[[#This Row],[Marriedarital SingletatuSingle]]="M",Table1_1[[#This Row],[Children]]+2,Table1_1[[#This Row],[Children]]+1)</f>
        <v>2</v>
      </c>
      <c r="S745" s="4" t="str">
        <f>IF(Table1_1[[#This Row],[Cars]]=0,"No","Yes")</f>
        <v>Yes</v>
      </c>
      <c r="T745" s="6" t="str">
        <f>IF(AND(Table1_1[[#This Row],[Income]]&gt;50000,Table1_1[[#This Row],[Home Owner]]="Yes"),"High stability","Low stability")</f>
        <v>High stability</v>
      </c>
      <c r="U745" s="3">
        <f>Table1_1[[#This Row],[Income]]/Table1_1[[#This Row],[Family size]]</f>
        <v>55000</v>
      </c>
      <c r="V745" s="6" t="str">
        <f>IF(Table1_1[[#This Row],[Occupation]]="Skilled manual","Blue collar",IF(Table1_1[[#This Row],[Occupation]]="Manual","Blue collar","White collar"))</f>
        <v>White collar</v>
      </c>
    </row>
    <row r="746" spans="1:22" x14ac:dyDescent="0.3">
      <c r="A746" t="s">
        <v>780</v>
      </c>
      <c r="B746" s="6" t="s">
        <v>1042</v>
      </c>
      <c r="C746" s="6" t="s">
        <v>1045</v>
      </c>
      <c r="D746" s="3">
        <v>70000</v>
      </c>
      <c r="E746">
        <v>4</v>
      </c>
      <c r="F746" s="6" t="s">
        <v>19</v>
      </c>
      <c r="G746" s="6" t="s">
        <v>21</v>
      </c>
      <c r="H746" s="6" t="s">
        <v>15</v>
      </c>
      <c r="I746">
        <v>1</v>
      </c>
      <c r="J746" t="s">
        <v>30</v>
      </c>
      <c r="K7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46" s="6" t="s">
        <v>32</v>
      </c>
      <c r="M746" s="7">
        <v>56</v>
      </c>
      <c r="N746" t="s">
        <v>18</v>
      </c>
      <c r="O746" s="9" t="str">
        <f>IF(Table1_1[[#This Row],[Purchased Bike]]="yes","1","0")</f>
        <v>0</v>
      </c>
      <c r="P746" s="4" t="str">
        <f>IF(Table1_1[[#This Row],[Income]]&lt;=30000,"Low ",IF(Table1_1[[#This Row],[Income]]&lt;=70000,"Middle","High"))</f>
        <v>Middle</v>
      </c>
      <c r="Q746" s="6" t="str">
        <f>IF(Table1_1[[#This Row],[Age]]&lt;30,"Young",IF(Table1_1[[#This Row],[Age]]&lt;50,"Middle aged","Senior citizen"))</f>
        <v>Senior citizen</v>
      </c>
      <c r="R746" s="7">
        <f>IF(Table1_1[[#This Row],[Marriedarital SingletatuSingle]]="M",Table1_1[[#This Row],[Children]]+2,Table1_1[[#This Row],[Children]]+1)</f>
        <v>5</v>
      </c>
      <c r="S746" s="4" t="str">
        <f>IF(Table1_1[[#This Row],[Cars]]=0,"No","Yes")</f>
        <v>Yes</v>
      </c>
      <c r="T746" s="6" t="str">
        <f>IF(AND(Table1_1[[#This Row],[Income]]&gt;50000,Table1_1[[#This Row],[Home Owner]]="Yes"),"High stability","Low stability")</f>
        <v>High stability</v>
      </c>
      <c r="U746" s="3">
        <f>Table1_1[[#This Row],[Income]]/Table1_1[[#This Row],[Family size]]</f>
        <v>14000</v>
      </c>
      <c r="V746" s="6" t="str">
        <f>IF(Table1_1[[#This Row],[Occupation]]="Skilled manual","Blue collar",IF(Table1_1[[#This Row],[Occupation]]="Manual","Blue collar","White collar"))</f>
        <v>White collar</v>
      </c>
    </row>
    <row r="747" spans="1:22" x14ac:dyDescent="0.3">
      <c r="A747" t="s">
        <v>781</v>
      </c>
      <c r="B747" s="6" t="s">
        <v>1042</v>
      </c>
      <c r="C747" s="6" t="s">
        <v>1046</v>
      </c>
      <c r="D747" s="3">
        <v>60000</v>
      </c>
      <c r="E747">
        <v>4</v>
      </c>
      <c r="F747" s="6" t="s">
        <v>31</v>
      </c>
      <c r="G747" s="6" t="s">
        <v>14</v>
      </c>
      <c r="H747" s="6" t="s">
        <v>15</v>
      </c>
      <c r="I747">
        <v>0</v>
      </c>
      <c r="J747" t="s">
        <v>26</v>
      </c>
      <c r="K7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47" s="6" t="s">
        <v>32</v>
      </c>
      <c r="M747" s="7">
        <v>47</v>
      </c>
      <c r="N747" t="s">
        <v>15</v>
      </c>
      <c r="O747" s="9" t="str">
        <f>IF(Table1_1[[#This Row],[Purchased Bike]]="yes","1","0")</f>
        <v>1</v>
      </c>
      <c r="P747" s="4" t="str">
        <f>IF(Table1_1[[#This Row],[Income]]&lt;=30000,"Low ",IF(Table1_1[[#This Row],[Income]]&lt;=70000,"Middle","High"))</f>
        <v>Middle</v>
      </c>
      <c r="Q747" s="6" t="str">
        <f>IF(Table1_1[[#This Row],[Age]]&lt;30,"Young",IF(Table1_1[[#This Row],[Age]]&lt;50,"Middle aged","Senior citizen"))</f>
        <v>Middle aged</v>
      </c>
      <c r="R747" s="7">
        <f>IF(Table1_1[[#This Row],[Marriedarital SingletatuSingle]]="M",Table1_1[[#This Row],[Children]]+2,Table1_1[[#This Row],[Children]]+1)</f>
        <v>5</v>
      </c>
      <c r="S747" s="4" t="str">
        <f>IF(Table1_1[[#This Row],[Cars]]=0,"No","Yes")</f>
        <v>No</v>
      </c>
      <c r="T747" s="6" t="str">
        <f>IF(AND(Table1_1[[#This Row],[Income]]&gt;50000,Table1_1[[#This Row],[Home Owner]]="Yes"),"High stability","Low stability")</f>
        <v>High stability</v>
      </c>
      <c r="U747" s="3">
        <f>Table1_1[[#This Row],[Income]]/Table1_1[[#This Row],[Family size]]</f>
        <v>12000</v>
      </c>
      <c r="V747" s="6" t="str">
        <f>IF(Table1_1[[#This Row],[Occupation]]="Skilled manual","Blue collar",IF(Table1_1[[#This Row],[Occupation]]="Manual","Blue collar","White collar"))</f>
        <v>Blue collar</v>
      </c>
    </row>
    <row r="748" spans="1:22" x14ac:dyDescent="0.3">
      <c r="A748" t="s">
        <v>782</v>
      </c>
      <c r="B748" s="6" t="s">
        <v>1042</v>
      </c>
      <c r="C748" s="6" t="s">
        <v>1045</v>
      </c>
      <c r="D748" s="3">
        <v>60000</v>
      </c>
      <c r="E748">
        <v>2</v>
      </c>
      <c r="F748" s="6" t="s">
        <v>13</v>
      </c>
      <c r="G748" s="6" t="s">
        <v>28</v>
      </c>
      <c r="H748" s="6" t="s">
        <v>15</v>
      </c>
      <c r="I748">
        <v>0</v>
      </c>
      <c r="J748" t="s">
        <v>30</v>
      </c>
      <c r="K7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48" s="6" t="s">
        <v>32</v>
      </c>
      <c r="M748" s="7">
        <v>56</v>
      </c>
      <c r="N748" t="s">
        <v>18</v>
      </c>
      <c r="O748" s="9" t="str">
        <f>IF(Table1_1[[#This Row],[Purchased Bike]]="yes","1","0")</f>
        <v>0</v>
      </c>
      <c r="P748" s="4" t="str">
        <f>IF(Table1_1[[#This Row],[Income]]&lt;=30000,"Low ",IF(Table1_1[[#This Row],[Income]]&lt;=70000,"Middle","High"))</f>
        <v>Middle</v>
      </c>
      <c r="Q748" s="6" t="str">
        <f>IF(Table1_1[[#This Row],[Age]]&lt;30,"Young",IF(Table1_1[[#This Row],[Age]]&lt;50,"Middle aged","Senior citizen"))</f>
        <v>Senior citizen</v>
      </c>
      <c r="R748" s="7">
        <f>IF(Table1_1[[#This Row],[Marriedarital SingletatuSingle]]="M",Table1_1[[#This Row],[Children]]+2,Table1_1[[#This Row],[Children]]+1)</f>
        <v>3</v>
      </c>
      <c r="S748" s="4" t="str">
        <f>IF(Table1_1[[#This Row],[Cars]]=0,"No","Yes")</f>
        <v>No</v>
      </c>
      <c r="T748" s="6" t="str">
        <f>IF(AND(Table1_1[[#This Row],[Income]]&gt;50000,Table1_1[[#This Row],[Home Owner]]="Yes"),"High stability","Low stability")</f>
        <v>High stability</v>
      </c>
      <c r="U748" s="3">
        <f>Table1_1[[#This Row],[Income]]/Table1_1[[#This Row],[Family size]]</f>
        <v>20000</v>
      </c>
      <c r="V748" s="6" t="str">
        <f>IF(Table1_1[[#This Row],[Occupation]]="Skilled manual","Blue collar",IF(Table1_1[[#This Row],[Occupation]]="Manual","Blue collar","White collar"))</f>
        <v>White collar</v>
      </c>
    </row>
    <row r="749" spans="1:22" x14ac:dyDescent="0.3">
      <c r="A749" t="s">
        <v>783</v>
      </c>
      <c r="B749" s="6" t="s">
        <v>1044</v>
      </c>
      <c r="C749" s="6" t="s">
        <v>1045</v>
      </c>
      <c r="D749" s="3">
        <v>70000</v>
      </c>
      <c r="E749">
        <v>1</v>
      </c>
      <c r="F749" s="6" t="s">
        <v>13</v>
      </c>
      <c r="G749" s="6" t="s">
        <v>21</v>
      </c>
      <c r="H749" s="6" t="s">
        <v>18</v>
      </c>
      <c r="I749">
        <v>1</v>
      </c>
      <c r="J749" t="s">
        <v>16</v>
      </c>
      <c r="K7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49" s="6" t="s">
        <v>32</v>
      </c>
      <c r="M749" s="7">
        <v>44</v>
      </c>
      <c r="N749" t="s">
        <v>18</v>
      </c>
      <c r="O749" s="9" t="str">
        <f>IF(Table1_1[[#This Row],[Purchased Bike]]="yes","1","0")</f>
        <v>0</v>
      </c>
      <c r="P749" s="4" t="str">
        <f>IF(Table1_1[[#This Row],[Income]]&lt;=30000,"Low ",IF(Table1_1[[#This Row],[Income]]&lt;=70000,"Middle","High"))</f>
        <v>Middle</v>
      </c>
      <c r="Q749" s="6" t="str">
        <f>IF(Table1_1[[#This Row],[Age]]&lt;30,"Young",IF(Table1_1[[#This Row],[Age]]&lt;50,"Middle aged","Senior citizen"))</f>
        <v>Middle aged</v>
      </c>
      <c r="R749" s="7">
        <f>IF(Table1_1[[#This Row],[Marriedarital SingletatuSingle]]="M",Table1_1[[#This Row],[Children]]+2,Table1_1[[#This Row],[Children]]+1)</f>
        <v>2</v>
      </c>
      <c r="S749" s="4" t="str">
        <f>IF(Table1_1[[#This Row],[Cars]]=0,"No","Yes")</f>
        <v>Yes</v>
      </c>
      <c r="T749" s="6" t="str">
        <f>IF(AND(Table1_1[[#This Row],[Income]]&gt;50000,Table1_1[[#This Row],[Home Owner]]="Yes"),"High stability","Low stability")</f>
        <v>Low stability</v>
      </c>
      <c r="U749" s="3">
        <f>Table1_1[[#This Row],[Income]]/Table1_1[[#This Row],[Family size]]</f>
        <v>35000</v>
      </c>
      <c r="V749" s="6" t="str">
        <f>IF(Table1_1[[#This Row],[Occupation]]="Skilled manual","Blue collar",IF(Table1_1[[#This Row],[Occupation]]="Manual","Blue collar","White collar"))</f>
        <v>White collar</v>
      </c>
    </row>
    <row r="750" spans="1:22" x14ac:dyDescent="0.3">
      <c r="A750" t="s">
        <v>784</v>
      </c>
      <c r="B750" s="6" t="s">
        <v>1042</v>
      </c>
      <c r="C750" s="6" t="s">
        <v>1046</v>
      </c>
      <c r="D750" s="3">
        <v>130000</v>
      </c>
      <c r="E750">
        <v>2</v>
      </c>
      <c r="F750" s="6" t="s">
        <v>31</v>
      </c>
      <c r="G750" s="6" t="s">
        <v>28</v>
      </c>
      <c r="H750" s="6" t="s">
        <v>15</v>
      </c>
      <c r="I750">
        <v>3</v>
      </c>
      <c r="J750" t="s">
        <v>22</v>
      </c>
      <c r="K7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50" s="6" t="s">
        <v>32</v>
      </c>
      <c r="M750" s="7">
        <v>69</v>
      </c>
      <c r="N750" t="s">
        <v>18</v>
      </c>
      <c r="O750" s="9" t="str">
        <f>IF(Table1_1[[#This Row],[Purchased Bike]]="yes","1","0")</f>
        <v>0</v>
      </c>
      <c r="P750" s="4" t="str">
        <f>IF(Table1_1[[#This Row],[Income]]&lt;=30000,"Low ",IF(Table1_1[[#This Row],[Income]]&lt;=70000,"Middle","High"))</f>
        <v>High</v>
      </c>
      <c r="Q750" s="6" t="str">
        <f>IF(Table1_1[[#This Row],[Age]]&lt;30,"Young",IF(Table1_1[[#This Row],[Age]]&lt;50,"Middle aged","Senior citizen"))</f>
        <v>Senior citizen</v>
      </c>
      <c r="R750" s="7">
        <f>IF(Table1_1[[#This Row],[Marriedarital SingletatuSingle]]="M",Table1_1[[#This Row],[Children]]+2,Table1_1[[#This Row],[Children]]+1)</f>
        <v>3</v>
      </c>
      <c r="S750" s="4" t="str">
        <f>IF(Table1_1[[#This Row],[Cars]]=0,"No","Yes")</f>
        <v>Yes</v>
      </c>
      <c r="T750" s="6" t="str">
        <f>IF(AND(Table1_1[[#This Row],[Income]]&gt;50000,Table1_1[[#This Row],[Home Owner]]="Yes"),"High stability","Low stability")</f>
        <v>High stability</v>
      </c>
      <c r="U750" s="3">
        <f>Table1_1[[#This Row],[Income]]/Table1_1[[#This Row],[Family size]]</f>
        <v>43333.333333333336</v>
      </c>
      <c r="V750" s="6" t="str">
        <f>IF(Table1_1[[#This Row],[Occupation]]="Skilled manual","Blue collar",IF(Table1_1[[#This Row],[Occupation]]="Manual","Blue collar","White collar"))</f>
        <v>White collar</v>
      </c>
    </row>
    <row r="751" spans="1:22" x14ac:dyDescent="0.3">
      <c r="A751" t="s">
        <v>785</v>
      </c>
      <c r="B751" s="6" t="s">
        <v>1042</v>
      </c>
      <c r="C751" s="6" t="s">
        <v>1045</v>
      </c>
      <c r="D751" s="3">
        <v>70000</v>
      </c>
      <c r="E751">
        <v>2</v>
      </c>
      <c r="F751" s="6" t="s">
        <v>19</v>
      </c>
      <c r="G751" s="6" t="s">
        <v>21</v>
      </c>
      <c r="H751" s="6" t="s">
        <v>15</v>
      </c>
      <c r="I751">
        <v>1</v>
      </c>
      <c r="J751" t="s">
        <v>22</v>
      </c>
      <c r="K7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51" s="6" t="s">
        <v>32</v>
      </c>
      <c r="M751" s="7">
        <v>59</v>
      </c>
      <c r="N751" t="s">
        <v>18</v>
      </c>
      <c r="O751" s="9" t="str">
        <f>IF(Table1_1[[#This Row],[Purchased Bike]]="yes","1","0")</f>
        <v>0</v>
      </c>
      <c r="P751" s="4" t="str">
        <f>IF(Table1_1[[#This Row],[Income]]&lt;=30000,"Low ",IF(Table1_1[[#This Row],[Income]]&lt;=70000,"Middle","High"))</f>
        <v>Middle</v>
      </c>
      <c r="Q751" s="6" t="str">
        <f>IF(Table1_1[[#This Row],[Age]]&lt;30,"Young",IF(Table1_1[[#This Row],[Age]]&lt;50,"Middle aged","Senior citizen"))</f>
        <v>Senior citizen</v>
      </c>
      <c r="R751" s="7">
        <f>IF(Table1_1[[#This Row],[Marriedarital SingletatuSingle]]="M",Table1_1[[#This Row],[Children]]+2,Table1_1[[#This Row],[Children]]+1)</f>
        <v>3</v>
      </c>
      <c r="S751" s="4" t="str">
        <f>IF(Table1_1[[#This Row],[Cars]]=0,"No","Yes")</f>
        <v>Yes</v>
      </c>
      <c r="T751" s="6" t="str">
        <f>IF(AND(Table1_1[[#This Row],[Income]]&gt;50000,Table1_1[[#This Row],[Home Owner]]="Yes"),"High stability","Low stability")</f>
        <v>High stability</v>
      </c>
      <c r="U751" s="3">
        <f>Table1_1[[#This Row],[Income]]/Table1_1[[#This Row],[Family size]]</f>
        <v>23333.333333333332</v>
      </c>
      <c r="V751" s="6" t="str">
        <f>IF(Table1_1[[#This Row],[Occupation]]="Skilled manual","Blue collar",IF(Table1_1[[#This Row],[Occupation]]="Manual","Blue collar","White collar"))</f>
        <v>White collar</v>
      </c>
    </row>
    <row r="752" spans="1:22" x14ac:dyDescent="0.3">
      <c r="A752" t="s">
        <v>786</v>
      </c>
      <c r="B752" s="6" t="s">
        <v>1042</v>
      </c>
      <c r="C752" s="6" t="s">
        <v>1046</v>
      </c>
      <c r="D752" s="3">
        <v>30000</v>
      </c>
      <c r="E752">
        <v>2</v>
      </c>
      <c r="F752" s="6" t="s">
        <v>27</v>
      </c>
      <c r="G752" s="6" t="s">
        <v>14</v>
      </c>
      <c r="H752" s="6" t="s">
        <v>15</v>
      </c>
      <c r="I752">
        <v>2</v>
      </c>
      <c r="J752" t="s">
        <v>26</v>
      </c>
      <c r="K7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52" s="6" t="s">
        <v>32</v>
      </c>
      <c r="M752" s="7">
        <v>50</v>
      </c>
      <c r="N752" t="s">
        <v>18</v>
      </c>
      <c r="O752" s="9" t="str">
        <f>IF(Table1_1[[#This Row],[Purchased Bike]]="yes","1","0")</f>
        <v>0</v>
      </c>
      <c r="P752" s="4" t="str">
        <f>IF(Table1_1[[#This Row],[Income]]&lt;=30000,"Low ",IF(Table1_1[[#This Row],[Income]]&lt;=70000,"Middle","High"))</f>
        <v xml:space="preserve">Low </v>
      </c>
      <c r="Q752" s="6" t="str">
        <f>IF(Table1_1[[#This Row],[Age]]&lt;30,"Young",IF(Table1_1[[#This Row],[Age]]&lt;50,"Middle aged","Senior citizen"))</f>
        <v>Senior citizen</v>
      </c>
      <c r="R752" s="7">
        <f>IF(Table1_1[[#This Row],[Marriedarital SingletatuSingle]]="M",Table1_1[[#This Row],[Children]]+2,Table1_1[[#This Row],[Children]]+1)</f>
        <v>3</v>
      </c>
      <c r="S752" s="4" t="str">
        <f>IF(Table1_1[[#This Row],[Cars]]=0,"No","Yes")</f>
        <v>Yes</v>
      </c>
      <c r="T752" s="6" t="str">
        <f>IF(AND(Table1_1[[#This Row],[Income]]&gt;50000,Table1_1[[#This Row],[Home Owner]]="Yes"),"High stability","Low stability")</f>
        <v>Low stability</v>
      </c>
      <c r="U752" s="3">
        <f>Table1_1[[#This Row],[Income]]/Table1_1[[#This Row],[Family size]]</f>
        <v>10000</v>
      </c>
      <c r="V752" s="6" t="str">
        <f>IF(Table1_1[[#This Row],[Occupation]]="Skilled manual","Blue collar",IF(Table1_1[[#This Row],[Occupation]]="Manual","Blue collar","White collar"))</f>
        <v>Blue collar</v>
      </c>
    </row>
    <row r="753" spans="1:22" x14ac:dyDescent="0.3">
      <c r="A753" t="s">
        <v>787</v>
      </c>
      <c r="B753" s="6" t="s">
        <v>1042</v>
      </c>
      <c r="C753" s="6" t="s">
        <v>1046</v>
      </c>
      <c r="D753" s="3">
        <v>60000</v>
      </c>
      <c r="E753">
        <v>1</v>
      </c>
      <c r="F753" s="6" t="s">
        <v>31</v>
      </c>
      <c r="G753" s="6" t="s">
        <v>21</v>
      </c>
      <c r="H753" s="6" t="s">
        <v>15</v>
      </c>
      <c r="I753">
        <v>0</v>
      </c>
      <c r="J753" t="s">
        <v>22</v>
      </c>
      <c r="K7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53" s="6" t="s">
        <v>32</v>
      </c>
      <c r="M753" s="7">
        <v>36</v>
      </c>
      <c r="N753" t="s">
        <v>18</v>
      </c>
      <c r="O753" s="9" t="str">
        <f>IF(Table1_1[[#This Row],[Purchased Bike]]="yes","1","0")</f>
        <v>0</v>
      </c>
      <c r="P753" s="4" t="str">
        <f>IF(Table1_1[[#This Row],[Income]]&lt;=30000,"Low ",IF(Table1_1[[#This Row],[Income]]&lt;=70000,"Middle","High"))</f>
        <v>Middle</v>
      </c>
      <c r="Q753" s="6" t="str">
        <f>IF(Table1_1[[#This Row],[Age]]&lt;30,"Young",IF(Table1_1[[#This Row],[Age]]&lt;50,"Middle aged","Senior citizen"))</f>
        <v>Middle aged</v>
      </c>
      <c r="R753" s="7">
        <f>IF(Table1_1[[#This Row],[Marriedarital SingletatuSingle]]="M",Table1_1[[#This Row],[Children]]+2,Table1_1[[#This Row],[Children]]+1)</f>
        <v>2</v>
      </c>
      <c r="S753" s="4" t="str">
        <f>IF(Table1_1[[#This Row],[Cars]]=0,"No","Yes")</f>
        <v>No</v>
      </c>
      <c r="T753" s="6" t="str">
        <f>IF(AND(Table1_1[[#This Row],[Income]]&gt;50000,Table1_1[[#This Row],[Home Owner]]="Yes"),"High stability","Low stability")</f>
        <v>High stability</v>
      </c>
      <c r="U753" s="3">
        <f>Table1_1[[#This Row],[Income]]/Table1_1[[#This Row],[Family size]]</f>
        <v>30000</v>
      </c>
      <c r="V753" s="6" t="str">
        <f>IF(Table1_1[[#This Row],[Occupation]]="Skilled manual","Blue collar",IF(Table1_1[[#This Row],[Occupation]]="Manual","Blue collar","White collar"))</f>
        <v>White collar</v>
      </c>
    </row>
    <row r="754" spans="1:22" x14ac:dyDescent="0.3">
      <c r="A754" t="s">
        <v>788</v>
      </c>
      <c r="B754" s="6" t="s">
        <v>1042</v>
      </c>
      <c r="C754" s="6" t="s">
        <v>1046</v>
      </c>
      <c r="D754" s="3">
        <v>60000</v>
      </c>
      <c r="E754">
        <v>0</v>
      </c>
      <c r="F754" s="6" t="s">
        <v>19</v>
      </c>
      <c r="G754" s="6" t="s">
        <v>21</v>
      </c>
      <c r="H754" s="6" t="s">
        <v>15</v>
      </c>
      <c r="I754">
        <v>2</v>
      </c>
      <c r="J754" t="s">
        <v>23</v>
      </c>
      <c r="K7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54" s="6" t="s">
        <v>32</v>
      </c>
      <c r="M754" s="7">
        <v>32</v>
      </c>
      <c r="N754" t="s">
        <v>18</v>
      </c>
      <c r="O754" s="9" t="str">
        <f>IF(Table1_1[[#This Row],[Purchased Bike]]="yes","1","0")</f>
        <v>0</v>
      </c>
      <c r="P754" s="4" t="str">
        <f>IF(Table1_1[[#This Row],[Income]]&lt;=30000,"Low ",IF(Table1_1[[#This Row],[Income]]&lt;=70000,"Middle","High"))</f>
        <v>Middle</v>
      </c>
      <c r="Q754" s="6" t="str">
        <f>IF(Table1_1[[#This Row],[Age]]&lt;30,"Young",IF(Table1_1[[#This Row],[Age]]&lt;50,"Middle aged","Senior citizen"))</f>
        <v>Middle aged</v>
      </c>
      <c r="R754" s="7">
        <f>IF(Table1_1[[#This Row],[Marriedarital SingletatuSingle]]="M",Table1_1[[#This Row],[Children]]+2,Table1_1[[#This Row],[Children]]+1)</f>
        <v>1</v>
      </c>
      <c r="S754" s="4" t="str">
        <f>IF(Table1_1[[#This Row],[Cars]]=0,"No","Yes")</f>
        <v>Yes</v>
      </c>
      <c r="T754" s="6" t="str">
        <f>IF(AND(Table1_1[[#This Row],[Income]]&gt;50000,Table1_1[[#This Row],[Home Owner]]="Yes"),"High stability","Low stability")</f>
        <v>High stability</v>
      </c>
      <c r="U754" s="3">
        <f>Table1_1[[#This Row],[Income]]/Table1_1[[#This Row],[Family size]]</f>
        <v>60000</v>
      </c>
      <c r="V754" s="6" t="str">
        <f>IF(Table1_1[[#This Row],[Occupation]]="Skilled manual","Blue collar",IF(Table1_1[[#This Row],[Occupation]]="Manual","Blue collar","White collar"))</f>
        <v>White collar</v>
      </c>
    </row>
    <row r="755" spans="1:22" x14ac:dyDescent="0.3">
      <c r="A755" t="s">
        <v>789</v>
      </c>
      <c r="B755" s="6" t="s">
        <v>1044</v>
      </c>
      <c r="C755" s="6" t="s">
        <v>1045</v>
      </c>
      <c r="D755" s="3">
        <v>40000</v>
      </c>
      <c r="E755">
        <v>0</v>
      </c>
      <c r="F755" s="6" t="s">
        <v>19</v>
      </c>
      <c r="G755" s="6" t="s">
        <v>14</v>
      </c>
      <c r="H755" s="6" t="s">
        <v>18</v>
      </c>
      <c r="I755">
        <v>1</v>
      </c>
      <c r="J755" t="s">
        <v>26</v>
      </c>
      <c r="K7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55" s="6" t="s">
        <v>32</v>
      </c>
      <c r="M755" s="7">
        <v>27</v>
      </c>
      <c r="N755" t="s">
        <v>18</v>
      </c>
      <c r="O755" s="9" t="str">
        <f>IF(Table1_1[[#This Row],[Purchased Bike]]="yes","1","0")</f>
        <v>0</v>
      </c>
      <c r="P755" s="4" t="str">
        <f>IF(Table1_1[[#This Row],[Income]]&lt;=30000,"Low ",IF(Table1_1[[#This Row],[Income]]&lt;=70000,"Middle","High"))</f>
        <v>Middle</v>
      </c>
      <c r="Q755" s="6" t="str">
        <f>IF(Table1_1[[#This Row],[Age]]&lt;30,"Young",IF(Table1_1[[#This Row],[Age]]&lt;50,"Middle aged","Senior citizen"))</f>
        <v>Young</v>
      </c>
      <c r="R755" s="7">
        <f>IF(Table1_1[[#This Row],[Marriedarital SingletatuSingle]]="M",Table1_1[[#This Row],[Children]]+2,Table1_1[[#This Row],[Children]]+1)</f>
        <v>1</v>
      </c>
      <c r="S755" s="4" t="str">
        <f>IF(Table1_1[[#This Row],[Cars]]=0,"No","Yes")</f>
        <v>Yes</v>
      </c>
      <c r="T755" s="6" t="str">
        <f>IF(AND(Table1_1[[#This Row],[Income]]&gt;50000,Table1_1[[#This Row],[Home Owner]]="Yes"),"High stability","Low stability")</f>
        <v>Low stability</v>
      </c>
      <c r="U755" s="3">
        <f>Table1_1[[#This Row],[Income]]/Table1_1[[#This Row],[Family size]]</f>
        <v>40000</v>
      </c>
      <c r="V755" s="6" t="str">
        <f>IF(Table1_1[[#This Row],[Occupation]]="Skilled manual","Blue collar",IF(Table1_1[[#This Row],[Occupation]]="Manual","Blue collar","White collar"))</f>
        <v>Blue collar</v>
      </c>
    </row>
    <row r="756" spans="1:22" x14ac:dyDescent="0.3">
      <c r="A756" t="s">
        <v>790</v>
      </c>
      <c r="B756" s="6" t="s">
        <v>1042</v>
      </c>
      <c r="C756" s="6" t="s">
        <v>1045</v>
      </c>
      <c r="D756" s="3">
        <v>40000</v>
      </c>
      <c r="E756">
        <v>4</v>
      </c>
      <c r="F756" s="6" t="s">
        <v>27</v>
      </c>
      <c r="G756" s="6" t="s">
        <v>21</v>
      </c>
      <c r="H756" s="6" t="s">
        <v>15</v>
      </c>
      <c r="I756">
        <v>2</v>
      </c>
      <c r="J756" t="s">
        <v>23</v>
      </c>
      <c r="K7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56" s="6" t="s">
        <v>32</v>
      </c>
      <c r="M756" s="7">
        <v>59</v>
      </c>
      <c r="N756" t="s">
        <v>15</v>
      </c>
      <c r="O756" s="9" t="str">
        <f>IF(Table1_1[[#This Row],[Purchased Bike]]="yes","1","0")</f>
        <v>1</v>
      </c>
      <c r="P756" s="4" t="str">
        <f>IF(Table1_1[[#This Row],[Income]]&lt;=30000,"Low ",IF(Table1_1[[#This Row],[Income]]&lt;=70000,"Middle","High"))</f>
        <v>Middle</v>
      </c>
      <c r="Q756" s="6" t="str">
        <f>IF(Table1_1[[#This Row],[Age]]&lt;30,"Young",IF(Table1_1[[#This Row],[Age]]&lt;50,"Middle aged","Senior citizen"))</f>
        <v>Senior citizen</v>
      </c>
      <c r="R756" s="7">
        <f>IF(Table1_1[[#This Row],[Marriedarital SingletatuSingle]]="M",Table1_1[[#This Row],[Children]]+2,Table1_1[[#This Row],[Children]]+1)</f>
        <v>5</v>
      </c>
      <c r="S756" s="4" t="str">
        <f>IF(Table1_1[[#This Row],[Cars]]=0,"No","Yes")</f>
        <v>Yes</v>
      </c>
      <c r="T756" s="6" t="str">
        <f>IF(AND(Table1_1[[#This Row],[Income]]&gt;50000,Table1_1[[#This Row],[Home Owner]]="Yes"),"High stability","Low stability")</f>
        <v>Low stability</v>
      </c>
      <c r="U756" s="3">
        <f>Table1_1[[#This Row],[Income]]/Table1_1[[#This Row],[Family size]]</f>
        <v>8000</v>
      </c>
      <c r="V756" s="6" t="str">
        <f>IF(Table1_1[[#This Row],[Occupation]]="Skilled manual","Blue collar",IF(Table1_1[[#This Row],[Occupation]]="Manual","Blue collar","White collar"))</f>
        <v>White collar</v>
      </c>
    </row>
    <row r="757" spans="1:22" x14ac:dyDescent="0.3">
      <c r="A757" t="s">
        <v>791</v>
      </c>
      <c r="B757" s="6" t="s">
        <v>1042</v>
      </c>
      <c r="C757" s="6" t="s">
        <v>1046</v>
      </c>
      <c r="D757" s="3">
        <v>60000</v>
      </c>
      <c r="E757">
        <v>3</v>
      </c>
      <c r="F757" s="6" t="s">
        <v>27</v>
      </c>
      <c r="G757" s="6" t="s">
        <v>21</v>
      </c>
      <c r="H757" s="6" t="s">
        <v>18</v>
      </c>
      <c r="I757">
        <v>2</v>
      </c>
      <c r="J757" t="s">
        <v>22</v>
      </c>
      <c r="K7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57" s="6" t="s">
        <v>32</v>
      </c>
      <c r="M757" s="7">
        <v>53</v>
      </c>
      <c r="N757" t="s">
        <v>18</v>
      </c>
      <c r="O757" s="9" t="str">
        <f>IF(Table1_1[[#This Row],[Purchased Bike]]="yes","1","0")</f>
        <v>0</v>
      </c>
      <c r="P757" s="4" t="str">
        <f>IF(Table1_1[[#This Row],[Income]]&lt;=30000,"Low ",IF(Table1_1[[#This Row],[Income]]&lt;=70000,"Middle","High"))</f>
        <v>Middle</v>
      </c>
      <c r="Q757" s="6" t="str">
        <f>IF(Table1_1[[#This Row],[Age]]&lt;30,"Young",IF(Table1_1[[#This Row],[Age]]&lt;50,"Middle aged","Senior citizen"))</f>
        <v>Senior citizen</v>
      </c>
      <c r="R757" s="7">
        <f>IF(Table1_1[[#This Row],[Marriedarital SingletatuSingle]]="M",Table1_1[[#This Row],[Children]]+2,Table1_1[[#This Row],[Children]]+1)</f>
        <v>4</v>
      </c>
      <c r="S757" s="4" t="str">
        <f>IF(Table1_1[[#This Row],[Cars]]=0,"No","Yes")</f>
        <v>Yes</v>
      </c>
      <c r="T757" s="6" t="str">
        <f>IF(AND(Table1_1[[#This Row],[Income]]&gt;50000,Table1_1[[#This Row],[Home Owner]]="Yes"),"High stability","Low stability")</f>
        <v>Low stability</v>
      </c>
      <c r="U757" s="3">
        <f>Table1_1[[#This Row],[Income]]/Table1_1[[#This Row],[Family size]]</f>
        <v>15000</v>
      </c>
      <c r="V757" s="6" t="str">
        <f>IF(Table1_1[[#This Row],[Occupation]]="Skilled manual","Blue collar",IF(Table1_1[[#This Row],[Occupation]]="Manual","Blue collar","White collar"))</f>
        <v>White collar</v>
      </c>
    </row>
    <row r="758" spans="1:22" x14ac:dyDescent="0.3">
      <c r="A758" t="s">
        <v>792</v>
      </c>
      <c r="B758" s="6" t="s">
        <v>1042</v>
      </c>
      <c r="C758" s="6" t="s">
        <v>1046</v>
      </c>
      <c r="D758" s="3">
        <v>40000</v>
      </c>
      <c r="E758">
        <v>1</v>
      </c>
      <c r="F758" s="6" t="s">
        <v>13</v>
      </c>
      <c r="G758" s="6" t="s">
        <v>14</v>
      </c>
      <c r="H758" s="6" t="s">
        <v>18</v>
      </c>
      <c r="I758">
        <v>1</v>
      </c>
      <c r="J758" t="s">
        <v>16</v>
      </c>
      <c r="K7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58" s="6" t="s">
        <v>32</v>
      </c>
      <c r="M758" s="7">
        <v>36</v>
      </c>
      <c r="N758" t="s">
        <v>15</v>
      </c>
      <c r="O758" s="9" t="str">
        <f>IF(Table1_1[[#This Row],[Purchased Bike]]="yes","1","0")</f>
        <v>1</v>
      </c>
      <c r="P758" s="4" t="str">
        <f>IF(Table1_1[[#This Row],[Income]]&lt;=30000,"Low ",IF(Table1_1[[#This Row],[Income]]&lt;=70000,"Middle","High"))</f>
        <v>Middle</v>
      </c>
      <c r="Q758" s="6" t="str">
        <f>IF(Table1_1[[#This Row],[Age]]&lt;30,"Young",IF(Table1_1[[#This Row],[Age]]&lt;50,"Middle aged","Senior citizen"))</f>
        <v>Middle aged</v>
      </c>
      <c r="R758" s="7">
        <f>IF(Table1_1[[#This Row],[Marriedarital SingletatuSingle]]="M",Table1_1[[#This Row],[Children]]+2,Table1_1[[#This Row],[Children]]+1)</f>
        <v>2</v>
      </c>
      <c r="S758" s="4" t="str">
        <f>IF(Table1_1[[#This Row],[Cars]]=0,"No","Yes")</f>
        <v>Yes</v>
      </c>
      <c r="T758" s="6" t="str">
        <f>IF(AND(Table1_1[[#This Row],[Income]]&gt;50000,Table1_1[[#This Row],[Home Owner]]="Yes"),"High stability","Low stability")</f>
        <v>Low stability</v>
      </c>
      <c r="U758" s="3">
        <f>Table1_1[[#This Row],[Income]]/Table1_1[[#This Row],[Family size]]</f>
        <v>20000</v>
      </c>
      <c r="V758" s="6" t="str">
        <f>IF(Table1_1[[#This Row],[Occupation]]="Skilled manual","Blue collar",IF(Table1_1[[#This Row],[Occupation]]="Manual","Blue collar","White collar"))</f>
        <v>Blue collar</v>
      </c>
    </row>
    <row r="759" spans="1:22" x14ac:dyDescent="0.3">
      <c r="A759" t="s">
        <v>793</v>
      </c>
      <c r="B759" s="6" t="s">
        <v>1044</v>
      </c>
      <c r="C759" s="6" t="s">
        <v>1046</v>
      </c>
      <c r="D759" s="3">
        <v>30000</v>
      </c>
      <c r="E759">
        <v>1</v>
      </c>
      <c r="F759" s="6" t="s">
        <v>27</v>
      </c>
      <c r="G759" s="6" t="s">
        <v>20</v>
      </c>
      <c r="H759" s="6" t="s">
        <v>15</v>
      </c>
      <c r="I759">
        <v>2</v>
      </c>
      <c r="J759" t="s">
        <v>26</v>
      </c>
      <c r="K7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59" s="6" t="s">
        <v>32</v>
      </c>
      <c r="M759" s="7">
        <v>51</v>
      </c>
      <c r="N759" t="s">
        <v>15</v>
      </c>
      <c r="O759" s="9" t="str">
        <f>IF(Table1_1[[#This Row],[Purchased Bike]]="yes","1","0")</f>
        <v>1</v>
      </c>
      <c r="P759" s="4" t="str">
        <f>IF(Table1_1[[#This Row],[Income]]&lt;=30000,"Low ",IF(Table1_1[[#This Row],[Income]]&lt;=70000,"Middle","High"))</f>
        <v xml:space="preserve">Low </v>
      </c>
      <c r="Q759" s="6" t="str">
        <f>IF(Table1_1[[#This Row],[Age]]&lt;30,"Young",IF(Table1_1[[#This Row],[Age]]&lt;50,"Middle aged","Senior citizen"))</f>
        <v>Senior citizen</v>
      </c>
      <c r="R759" s="7">
        <f>IF(Table1_1[[#This Row],[Marriedarital SingletatuSingle]]="M",Table1_1[[#This Row],[Children]]+2,Table1_1[[#This Row],[Children]]+1)</f>
        <v>2</v>
      </c>
      <c r="S759" s="4" t="str">
        <f>IF(Table1_1[[#This Row],[Cars]]=0,"No","Yes")</f>
        <v>Yes</v>
      </c>
      <c r="T759" s="6" t="str">
        <f>IF(AND(Table1_1[[#This Row],[Income]]&gt;50000,Table1_1[[#This Row],[Home Owner]]="Yes"),"High stability","Low stability")</f>
        <v>Low stability</v>
      </c>
      <c r="U759" s="3">
        <f>Table1_1[[#This Row],[Income]]/Table1_1[[#This Row],[Family size]]</f>
        <v>15000</v>
      </c>
      <c r="V759" s="6" t="str">
        <f>IF(Table1_1[[#This Row],[Occupation]]="Skilled manual","Blue collar",IF(Table1_1[[#This Row],[Occupation]]="Manual","Blue collar","White collar"))</f>
        <v>White collar</v>
      </c>
    </row>
    <row r="760" spans="1:22" x14ac:dyDescent="0.3">
      <c r="A760" t="s">
        <v>794</v>
      </c>
      <c r="B760" s="6" t="s">
        <v>1044</v>
      </c>
      <c r="C760" s="6" t="s">
        <v>1045</v>
      </c>
      <c r="D760" s="3">
        <v>80000</v>
      </c>
      <c r="E760">
        <v>5</v>
      </c>
      <c r="F760" s="6" t="s">
        <v>31</v>
      </c>
      <c r="G760" s="6" t="s">
        <v>14</v>
      </c>
      <c r="H760" s="6" t="s">
        <v>18</v>
      </c>
      <c r="I760">
        <v>0</v>
      </c>
      <c r="J760" t="s">
        <v>16</v>
      </c>
      <c r="K7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60" s="6" t="s">
        <v>32</v>
      </c>
      <c r="M760" s="7">
        <v>47</v>
      </c>
      <c r="N760" t="s">
        <v>18</v>
      </c>
      <c r="O760" s="9" t="str">
        <f>IF(Table1_1[[#This Row],[Purchased Bike]]="yes","1","0")</f>
        <v>0</v>
      </c>
      <c r="P760" s="4" t="str">
        <f>IF(Table1_1[[#This Row],[Income]]&lt;=30000,"Low ",IF(Table1_1[[#This Row],[Income]]&lt;=70000,"Middle","High"))</f>
        <v>High</v>
      </c>
      <c r="Q760" s="6" t="str">
        <f>IF(Table1_1[[#This Row],[Age]]&lt;30,"Young",IF(Table1_1[[#This Row],[Age]]&lt;50,"Middle aged","Senior citizen"))</f>
        <v>Middle aged</v>
      </c>
      <c r="R760" s="7">
        <f>IF(Table1_1[[#This Row],[Marriedarital SingletatuSingle]]="M",Table1_1[[#This Row],[Children]]+2,Table1_1[[#This Row],[Children]]+1)</f>
        <v>6</v>
      </c>
      <c r="S760" s="4" t="str">
        <f>IF(Table1_1[[#This Row],[Cars]]=0,"No","Yes")</f>
        <v>No</v>
      </c>
      <c r="T760" s="6" t="str">
        <f>IF(AND(Table1_1[[#This Row],[Income]]&gt;50000,Table1_1[[#This Row],[Home Owner]]="Yes"),"High stability","Low stability")</f>
        <v>Low stability</v>
      </c>
      <c r="U760" s="3">
        <f>Table1_1[[#This Row],[Income]]/Table1_1[[#This Row],[Family size]]</f>
        <v>13333.333333333334</v>
      </c>
      <c r="V760" s="6" t="str">
        <f>IF(Table1_1[[#This Row],[Occupation]]="Skilled manual","Blue collar",IF(Table1_1[[#This Row],[Occupation]]="Manual","Blue collar","White collar"))</f>
        <v>Blue collar</v>
      </c>
    </row>
    <row r="761" spans="1:22" x14ac:dyDescent="0.3">
      <c r="A761" t="s">
        <v>795</v>
      </c>
      <c r="B761" s="6" t="s">
        <v>1044</v>
      </c>
      <c r="C761" s="6" t="s">
        <v>1045</v>
      </c>
      <c r="D761" s="3">
        <v>60000</v>
      </c>
      <c r="E761">
        <v>3</v>
      </c>
      <c r="F761" s="6" t="s">
        <v>31</v>
      </c>
      <c r="G761" s="6" t="s">
        <v>21</v>
      </c>
      <c r="H761" s="6" t="s">
        <v>15</v>
      </c>
      <c r="I761">
        <v>0</v>
      </c>
      <c r="J761" t="s">
        <v>22</v>
      </c>
      <c r="K7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61" s="6" t="s">
        <v>32</v>
      </c>
      <c r="M761" s="7">
        <v>43</v>
      </c>
      <c r="N761" t="s">
        <v>15</v>
      </c>
      <c r="O761" s="9" t="str">
        <f>IF(Table1_1[[#This Row],[Purchased Bike]]="yes","1","0")</f>
        <v>1</v>
      </c>
      <c r="P761" s="4" t="str">
        <f>IF(Table1_1[[#This Row],[Income]]&lt;=30000,"Low ",IF(Table1_1[[#This Row],[Income]]&lt;=70000,"Middle","High"))</f>
        <v>Middle</v>
      </c>
      <c r="Q761" s="6" t="str">
        <f>IF(Table1_1[[#This Row],[Age]]&lt;30,"Young",IF(Table1_1[[#This Row],[Age]]&lt;50,"Middle aged","Senior citizen"))</f>
        <v>Middle aged</v>
      </c>
      <c r="R761" s="7">
        <f>IF(Table1_1[[#This Row],[Marriedarital SingletatuSingle]]="M",Table1_1[[#This Row],[Children]]+2,Table1_1[[#This Row],[Children]]+1)</f>
        <v>4</v>
      </c>
      <c r="S761" s="4" t="str">
        <f>IF(Table1_1[[#This Row],[Cars]]=0,"No","Yes")</f>
        <v>No</v>
      </c>
      <c r="T761" s="6" t="str">
        <f>IF(AND(Table1_1[[#This Row],[Income]]&gt;50000,Table1_1[[#This Row],[Home Owner]]="Yes"),"High stability","Low stability")</f>
        <v>High stability</v>
      </c>
      <c r="U761" s="3">
        <f>Table1_1[[#This Row],[Income]]/Table1_1[[#This Row],[Family size]]</f>
        <v>15000</v>
      </c>
      <c r="V761" s="6" t="str">
        <f>IF(Table1_1[[#This Row],[Occupation]]="Skilled manual","Blue collar",IF(Table1_1[[#This Row],[Occupation]]="Manual","Blue collar","White collar"))</f>
        <v>White collar</v>
      </c>
    </row>
    <row r="762" spans="1:22" x14ac:dyDescent="0.3">
      <c r="A762" t="s">
        <v>796</v>
      </c>
      <c r="B762" s="6" t="s">
        <v>1044</v>
      </c>
      <c r="C762" s="6" t="s">
        <v>1046</v>
      </c>
      <c r="D762" s="3">
        <v>20000</v>
      </c>
      <c r="E762">
        <v>3</v>
      </c>
      <c r="F762" s="6" t="s">
        <v>29</v>
      </c>
      <c r="G762" s="6" t="s">
        <v>20</v>
      </c>
      <c r="H762" s="6" t="s">
        <v>18</v>
      </c>
      <c r="I762">
        <v>2</v>
      </c>
      <c r="J762" t="s">
        <v>16</v>
      </c>
      <c r="K7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62" s="6" t="s">
        <v>32</v>
      </c>
      <c r="M762" s="7">
        <v>50</v>
      </c>
      <c r="N762" t="s">
        <v>18</v>
      </c>
      <c r="O762" s="9" t="str">
        <f>IF(Table1_1[[#This Row],[Purchased Bike]]="yes","1","0")</f>
        <v>0</v>
      </c>
      <c r="P762" s="4" t="str">
        <f>IF(Table1_1[[#This Row],[Income]]&lt;=30000,"Low ",IF(Table1_1[[#This Row],[Income]]&lt;=70000,"Middle","High"))</f>
        <v xml:space="preserve">Low </v>
      </c>
      <c r="Q762" s="6" t="str">
        <f>IF(Table1_1[[#This Row],[Age]]&lt;30,"Young",IF(Table1_1[[#This Row],[Age]]&lt;50,"Middle aged","Senior citizen"))</f>
        <v>Senior citizen</v>
      </c>
      <c r="R762" s="7">
        <f>IF(Table1_1[[#This Row],[Marriedarital SingletatuSingle]]="M",Table1_1[[#This Row],[Children]]+2,Table1_1[[#This Row],[Children]]+1)</f>
        <v>4</v>
      </c>
      <c r="S762" s="4" t="str">
        <f>IF(Table1_1[[#This Row],[Cars]]=0,"No","Yes")</f>
        <v>Yes</v>
      </c>
      <c r="T762" s="6" t="str">
        <f>IF(AND(Table1_1[[#This Row],[Income]]&gt;50000,Table1_1[[#This Row],[Home Owner]]="Yes"),"High stability","Low stability")</f>
        <v>Low stability</v>
      </c>
      <c r="U762" s="3">
        <f>Table1_1[[#This Row],[Income]]/Table1_1[[#This Row],[Family size]]</f>
        <v>5000</v>
      </c>
      <c r="V762" s="6" t="str">
        <f>IF(Table1_1[[#This Row],[Occupation]]="Skilled manual","Blue collar",IF(Table1_1[[#This Row],[Occupation]]="Manual","Blue collar","White collar"))</f>
        <v>White collar</v>
      </c>
    </row>
    <row r="763" spans="1:22" x14ac:dyDescent="0.3">
      <c r="A763" t="s">
        <v>797</v>
      </c>
      <c r="B763" s="6" t="s">
        <v>1042</v>
      </c>
      <c r="C763" s="6" t="s">
        <v>1045</v>
      </c>
      <c r="D763" s="3">
        <v>60000</v>
      </c>
      <c r="E763">
        <v>5</v>
      </c>
      <c r="F763" s="6" t="s">
        <v>13</v>
      </c>
      <c r="G763" s="6" t="s">
        <v>28</v>
      </c>
      <c r="H763" s="6" t="s">
        <v>15</v>
      </c>
      <c r="I763">
        <v>3</v>
      </c>
      <c r="J763" t="s">
        <v>30</v>
      </c>
      <c r="K7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63" s="6" t="s">
        <v>32</v>
      </c>
      <c r="M763" s="7">
        <v>59</v>
      </c>
      <c r="N763" t="s">
        <v>18</v>
      </c>
      <c r="O763" s="9" t="str">
        <f>IF(Table1_1[[#This Row],[Purchased Bike]]="yes","1","0")</f>
        <v>0</v>
      </c>
      <c r="P763" s="4" t="str">
        <f>IF(Table1_1[[#This Row],[Income]]&lt;=30000,"Low ",IF(Table1_1[[#This Row],[Income]]&lt;=70000,"Middle","High"))</f>
        <v>Middle</v>
      </c>
      <c r="Q763" s="6" t="str">
        <f>IF(Table1_1[[#This Row],[Age]]&lt;30,"Young",IF(Table1_1[[#This Row],[Age]]&lt;50,"Middle aged","Senior citizen"))</f>
        <v>Senior citizen</v>
      </c>
      <c r="R763" s="7">
        <f>IF(Table1_1[[#This Row],[Marriedarital SingletatuSingle]]="M",Table1_1[[#This Row],[Children]]+2,Table1_1[[#This Row],[Children]]+1)</f>
        <v>6</v>
      </c>
      <c r="S763" s="4" t="str">
        <f>IF(Table1_1[[#This Row],[Cars]]=0,"No","Yes")</f>
        <v>Yes</v>
      </c>
      <c r="T763" s="6" t="str">
        <f>IF(AND(Table1_1[[#This Row],[Income]]&gt;50000,Table1_1[[#This Row],[Home Owner]]="Yes"),"High stability","Low stability")</f>
        <v>High stability</v>
      </c>
      <c r="U763" s="3">
        <f>Table1_1[[#This Row],[Income]]/Table1_1[[#This Row],[Family size]]</f>
        <v>10000</v>
      </c>
      <c r="V763" s="6" t="str">
        <f>IF(Table1_1[[#This Row],[Occupation]]="Skilled manual","Blue collar",IF(Table1_1[[#This Row],[Occupation]]="Manual","Blue collar","White collar"))</f>
        <v>White collar</v>
      </c>
    </row>
    <row r="764" spans="1:22" x14ac:dyDescent="0.3">
      <c r="A764" t="s">
        <v>798</v>
      </c>
      <c r="B764" s="6" t="s">
        <v>1044</v>
      </c>
      <c r="C764" s="6" t="s">
        <v>1046</v>
      </c>
      <c r="D764" s="3">
        <v>50000</v>
      </c>
      <c r="E764">
        <v>2</v>
      </c>
      <c r="F764" s="6" t="s">
        <v>13</v>
      </c>
      <c r="G764" s="6" t="s">
        <v>14</v>
      </c>
      <c r="H764" s="6" t="s">
        <v>15</v>
      </c>
      <c r="I764">
        <v>0</v>
      </c>
      <c r="J764" t="s">
        <v>22</v>
      </c>
      <c r="K7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64" s="6" t="s">
        <v>32</v>
      </c>
      <c r="M764" s="7">
        <v>37</v>
      </c>
      <c r="N764" t="s">
        <v>15</v>
      </c>
      <c r="O764" s="9" t="str">
        <f>IF(Table1_1[[#This Row],[Purchased Bike]]="yes","1","0")</f>
        <v>1</v>
      </c>
      <c r="P764" s="4" t="str">
        <f>IF(Table1_1[[#This Row],[Income]]&lt;=30000,"Low ",IF(Table1_1[[#This Row],[Income]]&lt;=70000,"Middle","High"))</f>
        <v>Middle</v>
      </c>
      <c r="Q764" s="6" t="str">
        <f>IF(Table1_1[[#This Row],[Age]]&lt;30,"Young",IF(Table1_1[[#This Row],[Age]]&lt;50,"Middle aged","Senior citizen"))</f>
        <v>Middle aged</v>
      </c>
      <c r="R764" s="7">
        <f>IF(Table1_1[[#This Row],[Marriedarital SingletatuSingle]]="M",Table1_1[[#This Row],[Children]]+2,Table1_1[[#This Row],[Children]]+1)</f>
        <v>3</v>
      </c>
      <c r="S764" s="4" t="str">
        <f>IF(Table1_1[[#This Row],[Cars]]=0,"No","Yes")</f>
        <v>No</v>
      </c>
      <c r="T764" s="6" t="str">
        <f>IF(AND(Table1_1[[#This Row],[Income]]&gt;50000,Table1_1[[#This Row],[Home Owner]]="Yes"),"High stability","Low stability")</f>
        <v>Low stability</v>
      </c>
      <c r="U764" s="3">
        <f>Table1_1[[#This Row],[Income]]/Table1_1[[#This Row],[Family size]]</f>
        <v>16666.666666666668</v>
      </c>
      <c r="V764" s="6" t="str">
        <f>IF(Table1_1[[#This Row],[Occupation]]="Skilled manual","Blue collar",IF(Table1_1[[#This Row],[Occupation]]="Manual","Blue collar","White collar"))</f>
        <v>Blue collar</v>
      </c>
    </row>
    <row r="765" spans="1:22" x14ac:dyDescent="0.3">
      <c r="A765" t="s">
        <v>799</v>
      </c>
      <c r="B765" s="6" t="s">
        <v>1042</v>
      </c>
      <c r="C765" s="6" t="s">
        <v>1046</v>
      </c>
      <c r="D765" s="3">
        <v>50000</v>
      </c>
      <c r="E765">
        <v>1</v>
      </c>
      <c r="F765" s="6" t="s">
        <v>31</v>
      </c>
      <c r="G765" s="6" t="s">
        <v>14</v>
      </c>
      <c r="H765" s="6" t="s">
        <v>15</v>
      </c>
      <c r="I765">
        <v>0</v>
      </c>
      <c r="J765" t="s">
        <v>16</v>
      </c>
      <c r="K7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65" s="6" t="s">
        <v>32</v>
      </c>
      <c r="M765" s="7">
        <v>33</v>
      </c>
      <c r="N765" t="s">
        <v>15</v>
      </c>
      <c r="O765" s="9" t="str">
        <f>IF(Table1_1[[#This Row],[Purchased Bike]]="yes","1","0")</f>
        <v>1</v>
      </c>
      <c r="P765" s="4" t="str">
        <f>IF(Table1_1[[#This Row],[Income]]&lt;=30000,"Low ",IF(Table1_1[[#This Row],[Income]]&lt;=70000,"Middle","High"))</f>
        <v>Middle</v>
      </c>
      <c r="Q765" s="6" t="str">
        <f>IF(Table1_1[[#This Row],[Age]]&lt;30,"Young",IF(Table1_1[[#This Row],[Age]]&lt;50,"Middle aged","Senior citizen"))</f>
        <v>Middle aged</v>
      </c>
      <c r="R765" s="7">
        <f>IF(Table1_1[[#This Row],[Marriedarital SingletatuSingle]]="M",Table1_1[[#This Row],[Children]]+2,Table1_1[[#This Row],[Children]]+1)</f>
        <v>2</v>
      </c>
      <c r="S765" s="4" t="str">
        <f>IF(Table1_1[[#This Row],[Cars]]=0,"No","Yes")</f>
        <v>No</v>
      </c>
      <c r="T765" s="6" t="str">
        <f>IF(AND(Table1_1[[#This Row],[Income]]&gt;50000,Table1_1[[#This Row],[Home Owner]]="Yes"),"High stability","Low stability")</f>
        <v>Low stability</v>
      </c>
      <c r="U765" s="3">
        <f>Table1_1[[#This Row],[Income]]/Table1_1[[#This Row],[Family size]]</f>
        <v>25000</v>
      </c>
      <c r="V765" s="6" t="str">
        <f>IF(Table1_1[[#This Row],[Occupation]]="Skilled manual","Blue collar",IF(Table1_1[[#This Row],[Occupation]]="Manual","Blue collar","White collar"))</f>
        <v>Blue collar</v>
      </c>
    </row>
    <row r="766" spans="1:22" x14ac:dyDescent="0.3">
      <c r="A766" t="s">
        <v>800</v>
      </c>
      <c r="B766" s="6" t="s">
        <v>1042</v>
      </c>
      <c r="C766" s="6" t="s">
        <v>1045</v>
      </c>
      <c r="D766" s="3">
        <v>60000</v>
      </c>
      <c r="E766">
        <v>0</v>
      </c>
      <c r="F766" s="6" t="s">
        <v>19</v>
      </c>
      <c r="G766" s="6" t="s">
        <v>14</v>
      </c>
      <c r="H766" s="6" t="s">
        <v>18</v>
      </c>
      <c r="I766">
        <v>1</v>
      </c>
      <c r="J766" t="s">
        <v>26</v>
      </c>
      <c r="K7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66" s="6" t="s">
        <v>32</v>
      </c>
      <c r="M766" s="7">
        <v>27</v>
      </c>
      <c r="N766" t="s">
        <v>18</v>
      </c>
      <c r="O766" s="9" t="str">
        <f>IF(Table1_1[[#This Row],[Purchased Bike]]="yes","1","0")</f>
        <v>0</v>
      </c>
      <c r="P766" s="4" t="str">
        <f>IF(Table1_1[[#This Row],[Income]]&lt;=30000,"Low ",IF(Table1_1[[#This Row],[Income]]&lt;=70000,"Middle","High"))</f>
        <v>Middle</v>
      </c>
      <c r="Q766" s="6" t="str">
        <f>IF(Table1_1[[#This Row],[Age]]&lt;30,"Young",IF(Table1_1[[#This Row],[Age]]&lt;50,"Middle aged","Senior citizen"))</f>
        <v>Young</v>
      </c>
      <c r="R766" s="7">
        <f>IF(Table1_1[[#This Row],[Marriedarital SingletatuSingle]]="M",Table1_1[[#This Row],[Children]]+2,Table1_1[[#This Row],[Children]]+1)</f>
        <v>1</v>
      </c>
      <c r="S766" s="4" t="str">
        <f>IF(Table1_1[[#This Row],[Cars]]=0,"No","Yes")</f>
        <v>Yes</v>
      </c>
      <c r="T766" s="6" t="str">
        <f>IF(AND(Table1_1[[#This Row],[Income]]&gt;50000,Table1_1[[#This Row],[Home Owner]]="Yes"),"High stability","Low stability")</f>
        <v>Low stability</v>
      </c>
      <c r="U766" s="3">
        <f>Table1_1[[#This Row],[Income]]/Table1_1[[#This Row],[Family size]]</f>
        <v>60000</v>
      </c>
      <c r="V766" s="6" t="str">
        <f>IF(Table1_1[[#This Row],[Occupation]]="Skilled manual","Blue collar",IF(Table1_1[[#This Row],[Occupation]]="Manual","Blue collar","White collar"))</f>
        <v>Blue collar</v>
      </c>
    </row>
    <row r="767" spans="1:22" x14ac:dyDescent="0.3">
      <c r="A767" t="s">
        <v>801</v>
      </c>
      <c r="B767" s="6" t="s">
        <v>1044</v>
      </c>
      <c r="C767" s="6" t="s">
        <v>1045</v>
      </c>
      <c r="D767" s="3">
        <v>70000</v>
      </c>
      <c r="E767">
        <v>0</v>
      </c>
      <c r="F767" s="6" t="s">
        <v>19</v>
      </c>
      <c r="G767" s="6" t="s">
        <v>14</v>
      </c>
      <c r="H767" s="6" t="s">
        <v>15</v>
      </c>
      <c r="I767">
        <v>2</v>
      </c>
      <c r="J767" t="s">
        <v>23</v>
      </c>
      <c r="K7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67" s="6" t="s">
        <v>32</v>
      </c>
      <c r="M767" s="7">
        <v>34</v>
      </c>
      <c r="N767" t="s">
        <v>15</v>
      </c>
      <c r="O767" s="9" t="str">
        <f>IF(Table1_1[[#This Row],[Purchased Bike]]="yes","1","0")</f>
        <v>1</v>
      </c>
      <c r="P767" s="4" t="str">
        <f>IF(Table1_1[[#This Row],[Income]]&lt;=30000,"Low ",IF(Table1_1[[#This Row],[Income]]&lt;=70000,"Middle","High"))</f>
        <v>Middle</v>
      </c>
      <c r="Q767" s="6" t="str">
        <f>IF(Table1_1[[#This Row],[Age]]&lt;30,"Young",IF(Table1_1[[#This Row],[Age]]&lt;50,"Middle aged","Senior citizen"))</f>
        <v>Middle aged</v>
      </c>
      <c r="R767" s="7">
        <f>IF(Table1_1[[#This Row],[Marriedarital SingletatuSingle]]="M",Table1_1[[#This Row],[Children]]+2,Table1_1[[#This Row],[Children]]+1)</f>
        <v>1</v>
      </c>
      <c r="S767" s="4" t="str">
        <f>IF(Table1_1[[#This Row],[Cars]]=0,"No","Yes")</f>
        <v>Yes</v>
      </c>
      <c r="T767" s="6" t="str">
        <f>IF(AND(Table1_1[[#This Row],[Income]]&gt;50000,Table1_1[[#This Row],[Home Owner]]="Yes"),"High stability","Low stability")</f>
        <v>High stability</v>
      </c>
      <c r="U767" s="3">
        <f>Table1_1[[#This Row],[Income]]/Table1_1[[#This Row],[Family size]]</f>
        <v>70000</v>
      </c>
      <c r="V767" s="6" t="str">
        <f>IF(Table1_1[[#This Row],[Occupation]]="Skilled manual","Blue collar",IF(Table1_1[[#This Row],[Occupation]]="Manual","Blue collar","White collar"))</f>
        <v>Blue collar</v>
      </c>
    </row>
    <row r="768" spans="1:22" x14ac:dyDescent="0.3">
      <c r="A768" t="s">
        <v>802</v>
      </c>
      <c r="B768" s="6" t="s">
        <v>1042</v>
      </c>
      <c r="C768" s="6" t="s">
        <v>1046</v>
      </c>
      <c r="D768" s="3">
        <v>50000</v>
      </c>
      <c r="E768">
        <v>4</v>
      </c>
      <c r="F768" s="6" t="s">
        <v>13</v>
      </c>
      <c r="G768" s="6" t="s">
        <v>14</v>
      </c>
      <c r="H768" s="6" t="s">
        <v>15</v>
      </c>
      <c r="I768">
        <v>3</v>
      </c>
      <c r="J768" t="s">
        <v>30</v>
      </c>
      <c r="K7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68" s="6" t="s">
        <v>32</v>
      </c>
      <c r="M768" s="7">
        <v>42</v>
      </c>
      <c r="N768" t="s">
        <v>18</v>
      </c>
      <c r="O768" s="9" t="str">
        <f>IF(Table1_1[[#This Row],[Purchased Bike]]="yes","1","0")</f>
        <v>0</v>
      </c>
      <c r="P768" s="4" t="str">
        <f>IF(Table1_1[[#This Row],[Income]]&lt;=30000,"Low ",IF(Table1_1[[#This Row],[Income]]&lt;=70000,"Middle","High"))</f>
        <v>Middle</v>
      </c>
      <c r="Q768" s="6" t="str">
        <f>IF(Table1_1[[#This Row],[Age]]&lt;30,"Young",IF(Table1_1[[#This Row],[Age]]&lt;50,"Middle aged","Senior citizen"))</f>
        <v>Middle aged</v>
      </c>
      <c r="R768" s="7">
        <f>IF(Table1_1[[#This Row],[Marriedarital SingletatuSingle]]="M",Table1_1[[#This Row],[Children]]+2,Table1_1[[#This Row],[Children]]+1)</f>
        <v>5</v>
      </c>
      <c r="S768" s="4" t="str">
        <f>IF(Table1_1[[#This Row],[Cars]]=0,"No","Yes")</f>
        <v>Yes</v>
      </c>
      <c r="T768" s="6" t="str">
        <f>IF(AND(Table1_1[[#This Row],[Income]]&gt;50000,Table1_1[[#This Row],[Home Owner]]="Yes"),"High stability","Low stability")</f>
        <v>Low stability</v>
      </c>
      <c r="U768" s="3">
        <f>Table1_1[[#This Row],[Income]]/Table1_1[[#This Row],[Family size]]</f>
        <v>10000</v>
      </c>
      <c r="V768" s="6" t="str">
        <f>IF(Table1_1[[#This Row],[Occupation]]="Skilled manual","Blue collar",IF(Table1_1[[#This Row],[Occupation]]="Manual","Blue collar","White collar"))</f>
        <v>Blue collar</v>
      </c>
    </row>
    <row r="769" spans="1:22" x14ac:dyDescent="0.3">
      <c r="A769" t="s">
        <v>803</v>
      </c>
      <c r="B769" s="6" t="s">
        <v>1042</v>
      </c>
      <c r="C769" s="6" t="s">
        <v>1045</v>
      </c>
      <c r="D769" s="3">
        <v>60000</v>
      </c>
      <c r="E769">
        <v>2</v>
      </c>
      <c r="F769" s="6" t="s">
        <v>19</v>
      </c>
      <c r="G769" s="6" t="s">
        <v>21</v>
      </c>
      <c r="H769" s="6" t="s">
        <v>15</v>
      </c>
      <c r="I769">
        <v>2</v>
      </c>
      <c r="J769" t="s">
        <v>22</v>
      </c>
      <c r="K7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69" s="6" t="s">
        <v>32</v>
      </c>
      <c r="M769" s="7">
        <v>57</v>
      </c>
      <c r="N769" t="s">
        <v>15</v>
      </c>
      <c r="O769" s="9" t="str">
        <f>IF(Table1_1[[#This Row],[Purchased Bike]]="yes","1","0")</f>
        <v>1</v>
      </c>
      <c r="P769" s="4" t="str">
        <f>IF(Table1_1[[#This Row],[Income]]&lt;=30000,"Low ",IF(Table1_1[[#This Row],[Income]]&lt;=70000,"Middle","High"))</f>
        <v>Middle</v>
      </c>
      <c r="Q769" s="6" t="str">
        <f>IF(Table1_1[[#This Row],[Age]]&lt;30,"Young",IF(Table1_1[[#This Row],[Age]]&lt;50,"Middle aged","Senior citizen"))</f>
        <v>Senior citizen</v>
      </c>
      <c r="R769" s="7">
        <f>IF(Table1_1[[#This Row],[Marriedarital SingletatuSingle]]="M",Table1_1[[#This Row],[Children]]+2,Table1_1[[#This Row],[Children]]+1)</f>
        <v>3</v>
      </c>
      <c r="S769" s="4" t="str">
        <f>IF(Table1_1[[#This Row],[Cars]]=0,"No","Yes")</f>
        <v>Yes</v>
      </c>
      <c r="T769" s="6" t="str">
        <f>IF(AND(Table1_1[[#This Row],[Income]]&gt;50000,Table1_1[[#This Row],[Home Owner]]="Yes"),"High stability","Low stability")</f>
        <v>High stability</v>
      </c>
      <c r="U769" s="3">
        <f>Table1_1[[#This Row],[Income]]/Table1_1[[#This Row],[Family size]]</f>
        <v>20000</v>
      </c>
      <c r="V769" s="6" t="str">
        <f>IF(Table1_1[[#This Row],[Occupation]]="Skilled manual","Blue collar",IF(Table1_1[[#This Row],[Occupation]]="Manual","Blue collar","White collar"))</f>
        <v>White collar</v>
      </c>
    </row>
    <row r="770" spans="1:22" x14ac:dyDescent="0.3">
      <c r="A770" t="s">
        <v>804</v>
      </c>
      <c r="B770" s="6" t="s">
        <v>1042</v>
      </c>
      <c r="C770" s="6" t="s">
        <v>1045</v>
      </c>
      <c r="D770" s="3">
        <v>120000</v>
      </c>
      <c r="E770">
        <v>1</v>
      </c>
      <c r="F770" s="6" t="s">
        <v>27</v>
      </c>
      <c r="G770" s="6" t="s">
        <v>21</v>
      </c>
      <c r="H770" s="6" t="s">
        <v>18</v>
      </c>
      <c r="I770">
        <v>4</v>
      </c>
      <c r="J770" t="s">
        <v>22</v>
      </c>
      <c r="K7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70" s="6" t="s">
        <v>32</v>
      </c>
      <c r="M770" s="7">
        <v>45</v>
      </c>
      <c r="N770" t="s">
        <v>18</v>
      </c>
      <c r="O770" s="9" t="str">
        <f>IF(Table1_1[[#This Row],[Purchased Bike]]="yes","1","0")</f>
        <v>0</v>
      </c>
      <c r="P770" s="4" t="str">
        <f>IF(Table1_1[[#This Row],[Income]]&lt;=30000,"Low ",IF(Table1_1[[#This Row],[Income]]&lt;=70000,"Middle","High"))</f>
        <v>High</v>
      </c>
      <c r="Q770" s="6" t="str">
        <f>IF(Table1_1[[#This Row],[Age]]&lt;30,"Young",IF(Table1_1[[#This Row],[Age]]&lt;50,"Middle aged","Senior citizen"))</f>
        <v>Middle aged</v>
      </c>
      <c r="R770" s="7">
        <f>IF(Table1_1[[#This Row],[Marriedarital SingletatuSingle]]="M",Table1_1[[#This Row],[Children]]+2,Table1_1[[#This Row],[Children]]+1)</f>
        <v>2</v>
      </c>
      <c r="S770" s="4" t="str">
        <f>IF(Table1_1[[#This Row],[Cars]]=0,"No","Yes")</f>
        <v>Yes</v>
      </c>
      <c r="T770" s="6" t="str">
        <f>IF(AND(Table1_1[[#This Row],[Income]]&gt;50000,Table1_1[[#This Row],[Home Owner]]="Yes"),"High stability","Low stability")</f>
        <v>Low stability</v>
      </c>
      <c r="U770" s="3">
        <f>Table1_1[[#This Row],[Income]]/Table1_1[[#This Row],[Family size]]</f>
        <v>60000</v>
      </c>
      <c r="V770" s="6" t="str">
        <f>IF(Table1_1[[#This Row],[Occupation]]="Skilled manual","Blue collar",IF(Table1_1[[#This Row],[Occupation]]="Manual","Blue collar","White collar"))</f>
        <v>White collar</v>
      </c>
    </row>
    <row r="771" spans="1:22" x14ac:dyDescent="0.3">
      <c r="A771" t="s">
        <v>805</v>
      </c>
      <c r="B771" s="6" t="s">
        <v>1042</v>
      </c>
      <c r="C771" s="6" t="s">
        <v>1045</v>
      </c>
      <c r="D771" s="3">
        <v>100000</v>
      </c>
      <c r="E771">
        <v>4</v>
      </c>
      <c r="F771" s="6" t="s">
        <v>13</v>
      </c>
      <c r="G771" s="6" t="s">
        <v>28</v>
      </c>
      <c r="H771" s="6" t="s">
        <v>15</v>
      </c>
      <c r="I771">
        <v>4</v>
      </c>
      <c r="J771" t="s">
        <v>16</v>
      </c>
      <c r="K7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71" s="6" t="s">
        <v>32</v>
      </c>
      <c r="M771" s="7">
        <v>40</v>
      </c>
      <c r="N771" t="s">
        <v>18</v>
      </c>
      <c r="O771" s="9" t="str">
        <f>IF(Table1_1[[#This Row],[Purchased Bike]]="yes","1","0")</f>
        <v>0</v>
      </c>
      <c r="P771" s="4" t="str">
        <f>IF(Table1_1[[#This Row],[Income]]&lt;=30000,"Low ",IF(Table1_1[[#This Row],[Income]]&lt;=70000,"Middle","High"))</f>
        <v>High</v>
      </c>
      <c r="Q771" s="6" t="str">
        <f>IF(Table1_1[[#This Row],[Age]]&lt;30,"Young",IF(Table1_1[[#This Row],[Age]]&lt;50,"Middle aged","Senior citizen"))</f>
        <v>Middle aged</v>
      </c>
      <c r="R771" s="7">
        <f>IF(Table1_1[[#This Row],[Marriedarital SingletatuSingle]]="M",Table1_1[[#This Row],[Children]]+2,Table1_1[[#This Row],[Children]]+1)</f>
        <v>5</v>
      </c>
      <c r="S771" s="4" t="str">
        <f>IF(Table1_1[[#This Row],[Cars]]=0,"No","Yes")</f>
        <v>Yes</v>
      </c>
      <c r="T771" s="6" t="str">
        <f>IF(AND(Table1_1[[#This Row],[Income]]&gt;50000,Table1_1[[#This Row],[Home Owner]]="Yes"),"High stability","Low stability")</f>
        <v>High stability</v>
      </c>
      <c r="U771" s="3">
        <f>Table1_1[[#This Row],[Income]]/Table1_1[[#This Row],[Family size]]</f>
        <v>20000</v>
      </c>
      <c r="V771" s="6" t="str">
        <f>IF(Table1_1[[#This Row],[Occupation]]="Skilled manual","Blue collar",IF(Table1_1[[#This Row],[Occupation]]="Manual","Blue collar","White collar"))</f>
        <v>White collar</v>
      </c>
    </row>
    <row r="772" spans="1:22" x14ac:dyDescent="0.3">
      <c r="A772" t="s">
        <v>806</v>
      </c>
      <c r="B772" s="6" t="s">
        <v>1042</v>
      </c>
      <c r="C772" s="6" t="s">
        <v>1046</v>
      </c>
      <c r="D772" s="3">
        <v>60000</v>
      </c>
      <c r="E772">
        <v>1</v>
      </c>
      <c r="F772" s="6" t="s">
        <v>31</v>
      </c>
      <c r="G772" s="6" t="s">
        <v>14</v>
      </c>
      <c r="H772" s="6" t="s">
        <v>18</v>
      </c>
      <c r="I772">
        <v>0</v>
      </c>
      <c r="J772" t="s">
        <v>16</v>
      </c>
      <c r="K7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72" s="6" t="s">
        <v>32</v>
      </c>
      <c r="M772" s="7">
        <v>55</v>
      </c>
      <c r="N772" t="s">
        <v>18</v>
      </c>
      <c r="O772" s="9" t="str">
        <f>IF(Table1_1[[#This Row],[Purchased Bike]]="yes","1","0")</f>
        <v>0</v>
      </c>
      <c r="P772" s="4" t="str">
        <f>IF(Table1_1[[#This Row],[Income]]&lt;=30000,"Low ",IF(Table1_1[[#This Row],[Income]]&lt;=70000,"Middle","High"))</f>
        <v>Middle</v>
      </c>
      <c r="Q772" s="6" t="str">
        <f>IF(Table1_1[[#This Row],[Age]]&lt;30,"Young",IF(Table1_1[[#This Row],[Age]]&lt;50,"Middle aged","Senior citizen"))</f>
        <v>Senior citizen</v>
      </c>
      <c r="R772" s="7">
        <f>IF(Table1_1[[#This Row],[Marriedarital SingletatuSingle]]="M",Table1_1[[#This Row],[Children]]+2,Table1_1[[#This Row],[Children]]+1)</f>
        <v>2</v>
      </c>
      <c r="S772" s="4" t="str">
        <f>IF(Table1_1[[#This Row],[Cars]]=0,"No","Yes")</f>
        <v>No</v>
      </c>
      <c r="T772" s="6" t="str">
        <f>IF(AND(Table1_1[[#This Row],[Income]]&gt;50000,Table1_1[[#This Row],[Home Owner]]="Yes"),"High stability","Low stability")</f>
        <v>Low stability</v>
      </c>
      <c r="U772" s="3">
        <f>Table1_1[[#This Row],[Income]]/Table1_1[[#This Row],[Family size]]</f>
        <v>30000</v>
      </c>
      <c r="V772" s="6" t="str">
        <f>IF(Table1_1[[#This Row],[Occupation]]="Skilled manual","Blue collar",IF(Table1_1[[#This Row],[Occupation]]="Manual","Blue collar","White collar"))</f>
        <v>Blue collar</v>
      </c>
    </row>
    <row r="773" spans="1:22" x14ac:dyDescent="0.3">
      <c r="A773" t="s">
        <v>807</v>
      </c>
      <c r="B773" s="6" t="s">
        <v>1042</v>
      </c>
      <c r="C773" s="6" t="s">
        <v>1046</v>
      </c>
      <c r="D773" s="3">
        <v>80000</v>
      </c>
      <c r="E773">
        <v>1</v>
      </c>
      <c r="F773" s="6" t="s">
        <v>19</v>
      </c>
      <c r="G773" s="6" t="s">
        <v>14</v>
      </c>
      <c r="H773" s="6" t="s">
        <v>18</v>
      </c>
      <c r="I773">
        <v>1</v>
      </c>
      <c r="J773" t="s">
        <v>16</v>
      </c>
      <c r="K7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73" s="6" t="s">
        <v>32</v>
      </c>
      <c r="M773" s="7">
        <v>47</v>
      </c>
      <c r="N773" t="s">
        <v>15</v>
      </c>
      <c r="O773" s="9" t="str">
        <f>IF(Table1_1[[#This Row],[Purchased Bike]]="yes","1","0")</f>
        <v>1</v>
      </c>
      <c r="P773" s="4" t="str">
        <f>IF(Table1_1[[#This Row],[Income]]&lt;=30000,"Low ",IF(Table1_1[[#This Row],[Income]]&lt;=70000,"Middle","High"))</f>
        <v>High</v>
      </c>
      <c r="Q773" s="6" t="str">
        <f>IF(Table1_1[[#This Row],[Age]]&lt;30,"Young",IF(Table1_1[[#This Row],[Age]]&lt;50,"Middle aged","Senior citizen"))</f>
        <v>Middle aged</v>
      </c>
      <c r="R773" s="7">
        <f>IF(Table1_1[[#This Row],[Marriedarital SingletatuSingle]]="M",Table1_1[[#This Row],[Children]]+2,Table1_1[[#This Row],[Children]]+1)</f>
        <v>2</v>
      </c>
      <c r="S773" s="4" t="str">
        <f>IF(Table1_1[[#This Row],[Cars]]=0,"No","Yes")</f>
        <v>Yes</v>
      </c>
      <c r="T773" s="6" t="str">
        <f>IF(AND(Table1_1[[#This Row],[Income]]&gt;50000,Table1_1[[#This Row],[Home Owner]]="Yes"),"High stability","Low stability")</f>
        <v>Low stability</v>
      </c>
      <c r="U773" s="3">
        <f>Table1_1[[#This Row],[Income]]/Table1_1[[#This Row],[Family size]]</f>
        <v>40000</v>
      </c>
      <c r="V773" s="6" t="str">
        <f>IF(Table1_1[[#This Row],[Occupation]]="Skilled manual","Blue collar",IF(Table1_1[[#This Row],[Occupation]]="Manual","Blue collar","White collar"))</f>
        <v>Blue collar</v>
      </c>
    </row>
    <row r="774" spans="1:22" x14ac:dyDescent="0.3">
      <c r="A774" t="s">
        <v>808</v>
      </c>
      <c r="B774" s="6" t="s">
        <v>1044</v>
      </c>
      <c r="C774" s="6" t="s">
        <v>1046</v>
      </c>
      <c r="D774" s="3">
        <v>60000</v>
      </c>
      <c r="E774">
        <v>4</v>
      </c>
      <c r="F774" s="6" t="s">
        <v>31</v>
      </c>
      <c r="G774" s="6" t="s">
        <v>14</v>
      </c>
      <c r="H774" s="6" t="s">
        <v>15</v>
      </c>
      <c r="I774">
        <v>0</v>
      </c>
      <c r="J774" t="s">
        <v>26</v>
      </c>
      <c r="K7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74" s="6" t="s">
        <v>32</v>
      </c>
      <c r="M774" s="7">
        <v>47</v>
      </c>
      <c r="N774" t="s">
        <v>15</v>
      </c>
      <c r="O774" s="9" t="str">
        <f>IF(Table1_1[[#This Row],[Purchased Bike]]="yes","1","0")</f>
        <v>1</v>
      </c>
      <c r="P774" s="4" t="str">
        <f>IF(Table1_1[[#This Row],[Income]]&lt;=30000,"Low ",IF(Table1_1[[#This Row],[Income]]&lt;=70000,"Middle","High"))</f>
        <v>Middle</v>
      </c>
      <c r="Q774" s="6" t="str">
        <f>IF(Table1_1[[#This Row],[Age]]&lt;30,"Young",IF(Table1_1[[#This Row],[Age]]&lt;50,"Middle aged","Senior citizen"))</f>
        <v>Middle aged</v>
      </c>
      <c r="R774" s="7">
        <f>IF(Table1_1[[#This Row],[Marriedarital SingletatuSingle]]="M",Table1_1[[#This Row],[Children]]+2,Table1_1[[#This Row],[Children]]+1)</f>
        <v>5</v>
      </c>
      <c r="S774" s="4" t="str">
        <f>IF(Table1_1[[#This Row],[Cars]]=0,"No","Yes")</f>
        <v>No</v>
      </c>
      <c r="T774" s="6" t="str">
        <f>IF(AND(Table1_1[[#This Row],[Income]]&gt;50000,Table1_1[[#This Row],[Home Owner]]="Yes"),"High stability","Low stability")</f>
        <v>High stability</v>
      </c>
      <c r="U774" s="3">
        <f>Table1_1[[#This Row],[Income]]/Table1_1[[#This Row],[Family size]]</f>
        <v>12000</v>
      </c>
      <c r="V774" s="6" t="str">
        <f>IF(Table1_1[[#This Row],[Occupation]]="Skilled manual","Blue collar",IF(Table1_1[[#This Row],[Occupation]]="Manual","Blue collar","White collar"))</f>
        <v>Blue collar</v>
      </c>
    </row>
    <row r="775" spans="1:22" x14ac:dyDescent="0.3">
      <c r="A775" t="s">
        <v>809</v>
      </c>
      <c r="B775" s="6" t="s">
        <v>1042</v>
      </c>
      <c r="C775" s="6" t="s">
        <v>1045</v>
      </c>
      <c r="D775" s="3">
        <v>60000</v>
      </c>
      <c r="E775">
        <v>1</v>
      </c>
      <c r="F775" s="6" t="s">
        <v>31</v>
      </c>
      <c r="G775" s="6" t="s">
        <v>14</v>
      </c>
      <c r="H775" s="6" t="s">
        <v>15</v>
      </c>
      <c r="I775">
        <v>0</v>
      </c>
      <c r="J775" t="s">
        <v>16</v>
      </c>
      <c r="K7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75" s="6" t="s">
        <v>32</v>
      </c>
      <c r="M775" s="7">
        <v>34</v>
      </c>
      <c r="N775" t="s">
        <v>18</v>
      </c>
      <c r="O775" s="9" t="str">
        <f>IF(Table1_1[[#This Row],[Purchased Bike]]="yes","1","0")</f>
        <v>0</v>
      </c>
      <c r="P775" s="4" t="str">
        <f>IF(Table1_1[[#This Row],[Income]]&lt;=30000,"Low ",IF(Table1_1[[#This Row],[Income]]&lt;=70000,"Middle","High"))</f>
        <v>Middle</v>
      </c>
      <c r="Q775" s="6" t="str">
        <f>IF(Table1_1[[#This Row],[Age]]&lt;30,"Young",IF(Table1_1[[#This Row],[Age]]&lt;50,"Middle aged","Senior citizen"))</f>
        <v>Middle aged</v>
      </c>
      <c r="R775" s="7">
        <f>IF(Table1_1[[#This Row],[Marriedarital SingletatuSingle]]="M",Table1_1[[#This Row],[Children]]+2,Table1_1[[#This Row],[Children]]+1)</f>
        <v>2</v>
      </c>
      <c r="S775" s="4" t="str">
        <f>IF(Table1_1[[#This Row],[Cars]]=0,"No","Yes")</f>
        <v>No</v>
      </c>
      <c r="T775" s="6" t="str">
        <f>IF(AND(Table1_1[[#This Row],[Income]]&gt;50000,Table1_1[[#This Row],[Home Owner]]="Yes"),"High stability","Low stability")</f>
        <v>High stability</v>
      </c>
      <c r="U775" s="3">
        <f>Table1_1[[#This Row],[Income]]/Table1_1[[#This Row],[Family size]]</f>
        <v>30000</v>
      </c>
      <c r="V775" s="6" t="str">
        <f>IF(Table1_1[[#This Row],[Occupation]]="Skilled manual","Blue collar",IF(Table1_1[[#This Row],[Occupation]]="Manual","Blue collar","White collar"))</f>
        <v>Blue collar</v>
      </c>
    </row>
    <row r="776" spans="1:22" x14ac:dyDescent="0.3">
      <c r="A776" t="s">
        <v>810</v>
      </c>
      <c r="B776" s="6" t="s">
        <v>1042</v>
      </c>
      <c r="C776" s="6" t="s">
        <v>1045</v>
      </c>
      <c r="D776" s="3">
        <v>80000</v>
      </c>
      <c r="E776">
        <v>3</v>
      </c>
      <c r="F776" s="6" t="s">
        <v>31</v>
      </c>
      <c r="G776" s="6" t="s">
        <v>21</v>
      </c>
      <c r="H776" s="6" t="s">
        <v>15</v>
      </c>
      <c r="I776">
        <v>0</v>
      </c>
      <c r="J776" t="s">
        <v>16</v>
      </c>
      <c r="K7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76" s="6" t="s">
        <v>32</v>
      </c>
      <c r="M776" s="7">
        <v>36</v>
      </c>
      <c r="N776" t="s">
        <v>15</v>
      </c>
      <c r="O776" s="9" t="str">
        <f>IF(Table1_1[[#This Row],[Purchased Bike]]="yes","1","0")</f>
        <v>1</v>
      </c>
      <c r="P776" s="4" t="str">
        <f>IF(Table1_1[[#This Row],[Income]]&lt;=30000,"Low ",IF(Table1_1[[#This Row],[Income]]&lt;=70000,"Middle","High"))</f>
        <v>High</v>
      </c>
      <c r="Q776" s="6" t="str">
        <f>IF(Table1_1[[#This Row],[Age]]&lt;30,"Young",IF(Table1_1[[#This Row],[Age]]&lt;50,"Middle aged","Senior citizen"))</f>
        <v>Middle aged</v>
      </c>
      <c r="R776" s="7">
        <f>IF(Table1_1[[#This Row],[Marriedarital SingletatuSingle]]="M",Table1_1[[#This Row],[Children]]+2,Table1_1[[#This Row],[Children]]+1)</f>
        <v>4</v>
      </c>
      <c r="S776" s="4" t="str">
        <f>IF(Table1_1[[#This Row],[Cars]]=0,"No","Yes")</f>
        <v>No</v>
      </c>
      <c r="T776" s="6" t="str">
        <f>IF(AND(Table1_1[[#This Row],[Income]]&gt;50000,Table1_1[[#This Row],[Home Owner]]="Yes"),"High stability","Low stability")</f>
        <v>High stability</v>
      </c>
      <c r="U776" s="3">
        <f>Table1_1[[#This Row],[Income]]/Table1_1[[#This Row],[Family size]]</f>
        <v>20000</v>
      </c>
      <c r="V776" s="6" t="str">
        <f>IF(Table1_1[[#This Row],[Occupation]]="Skilled manual","Blue collar",IF(Table1_1[[#This Row],[Occupation]]="Manual","Blue collar","White collar"))</f>
        <v>White collar</v>
      </c>
    </row>
    <row r="777" spans="1:22" x14ac:dyDescent="0.3">
      <c r="A777" t="s">
        <v>811</v>
      </c>
      <c r="B777" s="6" t="s">
        <v>1042</v>
      </c>
      <c r="C777" s="6" t="s">
        <v>1046</v>
      </c>
      <c r="D777" s="3">
        <v>70000</v>
      </c>
      <c r="E777">
        <v>2</v>
      </c>
      <c r="F777" s="6" t="s">
        <v>29</v>
      </c>
      <c r="G777" s="6" t="s">
        <v>14</v>
      </c>
      <c r="H777" s="6" t="s">
        <v>15</v>
      </c>
      <c r="I777">
        <v>2</v>
      </c>
      <c r="J777" t="s">
        <v>30</v>
      </c>
      <c r="K7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77" s="6" t="s">
        <v>32</v>
      </c>
      <c r="M777" s="7">
        <v>54</v>
      </c>
      <c r="N777" t="s">
        <v>18</v>
      </c>
      <c r="O777" s="9" t="str">
        <f>IF(Table1_1[[#This Row],[Purchased Bike]]="yes","1","0")</f>
        <v>0</v>
      </c>
      <c r="P777" s="4" t="str">
        <f>IF(Table1_1[[#This Row],[Income]]&lt;=30000,"Low ",IF(Table1_1[[#This Row],[Income]]&lt;=70000,"Middle","High"))</f>
        <v>Middle</v>
      </c>
      <c r="Q777" s="6" t="str">
        <f>IF(Table1_1[[#This Row],[Age]]&lt;30,"Young",IF(Table1_1[[#This Row],[Age]]&lt;50,"Middle aged","Senior citizen"))</f>
        <v>Senior citizen</v>
      </c>
      <c r="R777" s="7">
        <f>IF(Table1_1[[#This Row],[Marriedarital SingletatuSingle]]="M",Table1_1[[#This Row],[Children]]+2,Table1_1[[#This Row],[Children]]+1)</f>
        <v>3</v>
      </c>
      <c r="S777" s="4" t="str">
        <f>IF(Table1_1[[#This Row],[Cars]]=0,"No","Yes")</f>
        <v>Yes</v>
      </c>
      <c r="T777" s="6" t="str">
        <f>IF(AND(Table1_1[[#This Row],[Income]]&gt;50000,Table1_1[[#This Row],[Home Owner]]="Yes"),"High stability","Low stability")</f>
        <v>High stability</v>
      </c>
      <c r="U777" s="3">
        <f>Table1_1[[#This Row],[Income]]/Table1_1[[#This Row],[Family size]]</f>
        <v>23333.333333333332</v>
      </c>
      <c r="V777" s="6" t="str">
        <f>IF(Table1_1[[#This Row],[Occupation]]="Skilled manual","Blue collar",IF(Table1_1[[#This Row],[Occupation]]="Manual","Blue collar","White collar"))</f>
        <v>Blue collar</v>
      </c>
    </row>
    <row r="778" spans="1:22" x14ac:dyDescent="0.3">
      <c r="A778" t="s">
        <v>812</v>
      </c>
      <c r="B778" s="6" t="s">
        <v>1044</v>
      </c>
      <c r="C778" s="6" t="s">
        <v>1046</v>
      </c>
      <c r="D778" s="3">
        <v>70000</v>
      </c>
      <c r="E778">
        <v>2</v>
      </c>
      <c r="F778" s="6" t="s">
        <v>13</v>
      </c>
      <c r="G778" s="6" t="s">
        <v>28</v>
      </c>
      <c r="H778" s="6" t="s">
        <v>18</v>
      </c>
      <c r="I778">
        <v>1</v>
      </c>
      <c r="J778" t="s">
        <v>22</v>
      </c>
      <c r="K7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78" s="6" t="s">
        <v>32</v>
      </c>
      <c r="M778" s="7">
        <v>59</v>
      </c>
      <c r="N778" t="s">
        <v>15</v>
      </c>
      <c r="O778" s="9" t="str">
        <f>IF(Table1_1[[#This Row],[Purchased Bike]]="yes","1","0")</f>
        <v>1</v>
      </c>
      <c r="P778" s="4" t="str">
        <f>IF(Table1_1[[#This Row],[Income]]&lt;=30000,"Low ",IF(Table1_1[[#This Row],[Income]]&lt;=70000,"Middle","High"))</f>
        <v>Middle</v>
      </c>
      <c r="Q778" s="6" t="str">
        <f>IF(Table1_1[[#This Row],[Age]]&lt;30,"Young",IF(Table1_1[[#This Row],[Age]]&lt;50,"Middle aged","Senior citizen"))</f>
        <v>Senior citizen</v>
      </c>
      <c r="R778" s="7">
        <f>IF(Table1_1[[#This Row],[Marriedarital SingletatuSingle]]="M",Table1_1[[#This Row],[Children]]+2,Table1_1[[#This Row],[Children]]+1)</f>
        <v>3</v>
      </c>
      <c r="S778" s="4" t="str">
        <f>IF(Table1_1[[#This Row],[Cars]]=0,"No","Yes")</f>
        <v>Yes</v>
      </c>
      <c r="T778" s="6" t="str">
        <f>IF(AND(Table1_1[[#This Row],[Income]]&gt;50000,Table1_1[[#This Row],[Home Owner]]="Yes"),"High stability","Low stability")</f>
        <v>Low stability</v>
      </c>
      <c r="U778" s="3">
        <f>Table1_1[[#This Row],[Income]]/Table1_1[[#This Row],[Family size]]</f>
        <v>23333.333333333332</v>
      </c>
      <c r="V778" s="6" t="str">
        <f>IF(Table1_1[[#This Row],[Occupation]]="Skilled manual","Blue collar",IF(Table1_1[[#This Row],[Occupation]]="Manual","Blue collar","White collar"))</f>
        <v>White collar</v>
      </c>
    </row>
    <row r="779" spans="1:22" x14ac:dyDescent="0.3">
      <c r="A779" t="s">
        <v>813</v>
      </c>
      <c r="B779" s="6" t="s">
        <v>1044</v>
      </c>
      <c r="C779" s="6" t="s">
        <v>1046</v>
      </c>
      <c r="D779" s="3">
        <v>40000</v>
      </c>
      <c r="E779">
        <v>0</v>
      </c>
      <c r="F779" s="6" t="s">
        <v>27</v>
      </c>
      <c r="G779" s="6" t="s">
        <v>14</v>
      </c>
      <c r="H779" s="6" t="s">
        <v>15</v>
      </c>
      <c r="I779">
        <v>2</v>
      </c>
      <c r="J779" t="s">
        <v>23</v>
      </c>
      <c r="K7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79" s="6" t="s">
        <v>32</v>
      </c>
      <c r="M779" s="7">
        <v>27</v>
      </c>
      <c r="N779" t="s">
        <v>18</v>
      </c>
      <c r="O779" s="9" t="str">
        <f>IF(Table1_1[[#This Row],[Purchased Bike]]="yes","1","0")</f>
        <v>0</v>
      </c>
      <c r="P779" s="4" t="str">
        <f>IF(Table1_1[[#This Row],[Income]]&lt;=30000,"Low ",IF(Table1_1[[#This Row],[Income]]&lt;=70000,"Middle","High"))</f>
        <v>Middle</v>
      </c>
      <c r="Q779" s="6" t="str">
        <f>IF(Table1_1[[#This Row],[Age]]&lt;30,"Young",IF(Table1_1[[#This Row],[Age]]&lt;50,"Middle aged","Senior citizen"))</f>
        <v>Young</v>
      </c>
      <c r="R779" s="7">
        <f>IF(Table1_1[[#This Row],[Marriedarital SingletatuSingle]]="M",Table1_1[[#This Row],[Children]]+2,Table1_1[[#This Row],[Children]]+1)</f>
        <v>1</v>
      </c>
      <c r="S779" s="4" t="str">
        <f>IF(Table1_1[[#This Row],[Cars]]=0,"No","Yes")</f>
        <v>Yes</v>
      </c>
      <c r="T779" s="6" t="str">
        <f>IF(AND(Table1_1[[#This Row],[Income]]&gt;50000,Table1_1[[#This Row],[Home Owner]]="Yes"),"High stability","Low stability")</f>
        <v>Low stability</v>
      </c>
      <c r="U779" s="3">
        <f>Table1_1[[#This Row],[Income]]/Table1_1[[#This Row],[Family size]]</f>
        <v>40000</v>
      </c>
      <c r="V779" s="6" t="str">
        <f>IF(Table1_1[[#This Row],[Occupation]]="Skilled manual","Blue collar",IF(Table1_1[[#This Row],[Occupation]]="Manual","Blue collar","White collar"))</f>
        <v>Blue collar</v>
      </c>
    </row>
    <row r="780" spans="1:22" x14ac:dyDescent="0.3">
      <c r="A780" t="s">
        <v>814</v>
      </c>
      <c r="B780" s="6" t="s">
        <v>1042</v>
      </c>
      <c r="C780" s="6" t="s">
        <v>1046</v>
      </c>
      <c r="D780" s="3">
        <v>90000</v>
      </c>
      <c r="E780">
        <v>5</v>
      </c>
      <c r="F780" s="6" t="s">
        <v>19</v>
      </c>
      <c r="G780" s="6" t="s">
        <v>21</v>
      </c>
      <c r="H780" s="6" t="s">
        <v>15</v>
      </c>
      <c r="I780">
        <v>3</v>
      </c>
      <c r="J780" t="s">
        <v>16</v>
      </c>
      <c r="K7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80" s="6" t="s">
        <v>32</v>
      </c>
      <c r="M780" s="7">
        <v>41</v>
      </c>
      <c r="N780" t="s">
        <v>18</v>
      </c>
      <c r="O780" s="9" t="str">
        <f>IF(Table1_1[[#This Row],[Purchased Bike]]="yes","1","0")</f>
        <v>0</v>
      </c>
      <c r="P780" s="4" t="str">
        <f>IF(Table1_1[[#This Row],[Income]]&lt;=30000,"Low ",IF(Table1_1[[#This Row],[Income]]&lt;=70000,"Middle","High"))</f>
        <v>High</v>
      </c>
      <c r="Q780" s="6" t="str">
        <f>IF(Table1_1[[#This Row],[Age]]&lt;30,"Young",IF(Table1_1[[#This Row],[Age]]&lt;50,"Middle aged","Senior citizen"))</f>
        <v>Middle aged</v>
      </c>
      <c r="R780" s="7">
        <f>IF(Table1_1[[#This Row],[Marriedarital SingletatuSingle]]="M",Table1_1[[#This Row],[Children]]+2,Table1_1[[#This Row],[Children]]+1)</f>
        <v>6</v>
      </c>
      <c r="S780" s="4" t="str">
        <f>IF(Table1_1[[#This Row],[Cars]]=0,"No","Yes")</f>
        <v>Yes</v>
      </c>
      <c r="T780" s="6" t="str">
        <f>IF(AND(Table1_1[[#This Row],[Income]]&gt;50000,Table1_1[[#This Row],[Home Owner]]="Yes"),"High stability","Low stability")</f>
        <v>High stability</v>
      </c>
      <c r="U780" s="3">
        <f>Table1_1[[#This Row],[Income]]/Table1_1[[#This Row],[Family size]]</f>
        <v>15000</v>
      </c>
      <c r="V780" s="6" t="str">
        <f>IF(Table1_1[[#This Row],[Occupation]]="Skilled manual","Blue collar",IF(Table1_1[[#This Row],[Occupation]]="Manual","Blue collar","White collar"))</f>
        <v>White collar</v>
      </c>
    </row>
    <row r="781" spans="1:22" x14ac:dyDescent="0.3">
      <c r="A781" t="s">
        <v>815</v>
      </c>
      <c r="B781" s="6" t="s">
        <v>1042</v>
      </c>
      <c r="C781" s="6" t="s">
        <v>1046</v>
      </c>
      <c r="D781" s="3">
        <v>80000</v>
      </c>
      <c r="E781">
        <v>3</v>
      </c>
      <c r="F781" s="6" t="s">
        <v>19</v>
      </c>
      <c r="G781" s="6" t="s">
        <v>21</v>
      </c>
      <c r="H781" s="6" t="s">
        <v>18</v>
      </c>
      <c r="I781">
        <v>2</v>
      </c>
      <c r="J781" t="s">
        <v>22</v>
      </c>
      <c r="K7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81" s="6" t="s">
        <v>32</v>
      </c>
      <c r="M781" s="7">
        <v>50</v>
      </c>
      <c r="N781" t="s">
        <v>15</v>
      </c>
      <c r="O781" s="9" t="str">
        <f>IF(Table1_1[[#This Row],[Purchased Bike]]="yes","1","0")</f>
        <v>1</v>
      </c>
      <c r="P781" s="4" t="str">
        <f>IF(Table1_1[[#This Row],[Income]]&lt;=30000,"Low ",IF(Table1_1[[#This Row],[Income]]&lt;=70000,"Middle","High"))</f>
        <v>High</v>
      </c>
      <c r="Q781" s="6" t="str">
        <f>IF(Table1_1[[#This Row],[Age]]&lt;30,"Young",IF(Table1_1[[#This Row],[Age]]&lt;50,"Middle aged","Senior citizen"))</f>
        <v>Senior citizen</v>
      </c>
      <c r="R781" s="7">
        <f>IF(Table1_1[[#This Row],[Marriedarital SingletatuSingle]]="M",Table1_1[[#This Row],[Children]]+2,Table1_1[[#This Row],[Children]]+1)</f>
        <v>4</v>
      </c>
      <c r="S781" s="4" t="str">
        <f>IF(Table1_1[[#This Row],[Cars]]=0,"No","Yes")</f>
        <v>Yes</v>
      </c>
      <c r="T781" s="6" t="str">
        <f>IF(AND(Table1_1[[#This Row],[Income]]&gt;50000,Table1_1[[#This Row],[Home Owner]]="Yes"),"High stability","Low stability")</f>
        <v>Low stability</v>
      </c>
      <c r="U781" s="3">
        <f>Table1_1[[#This Row],[Income]]/Table1_1[[#This Row],[Family size]]</f>
        <v>20000</v>
      </c>
      <c r="V781" s="6" t="str">
        <f>IF(Table1_1[[#This Row],[Occupation]]="Skilled manual","Blue collar",IF(Table1_1[[#This Row],[Occupation]]="Manual","Blue collar","White collar"))</f>
        <v>White collar</v>
      </c>
    </row>
    <row r="782" spans="1:22" x14ac:dyDescent="0.3">
      <c r="A782" t="s">
        <v>816</v>
      </c>
      <c r="B782" s="6" t="s">
        <v>1042</v>
      </c>
      <c r="C782" s="6" t="s">
        <v>1045</v>
      </c>
      <c r="D782" s="3">
        <v>60000</v>
      </c>
      <c r="E782">
        <v>2</v>
      </c>
      <c r="F782" s="6" t="s">
        <v>19</v>
      </c>
      <c r="G782" s="6" t="s">
        <v>21</v>
      </c>
      <c r="H782" s="6" t="s">
        <v>15</v>
      </c>
      <c r="I782">
        <v>1</v>
      </c>
      <c r="J782" t="s">
        <v>30</v>
      </c>
      <c r="K7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782" s="6" t="s">
        <v>32</v>
      </c>
      <c r="M782" s="7">
        <v>55</v>
      </c>
      <c r="N782" t="s">
        <v>18</v>
      </c>
      <c r="O782" s="9" t="str">
        <f>IF(Table1_1[[#This Row],[Purchased Bike]]="yes","1","0")</f>
        <v>0</v>
      </c>
      <c r="P782" s="4" t="str">
        <f>IF(Table1_1[[#This Row],[Income]]&lt;=30000,"Low ",IF(Table1_1[[#This Row],[Income]]&lt;=70000,"Middle","High"))</f>
        <v>Middle</v>
      </c>
      <c r="Q782" s="6" t="str">
        <f>IF(Table1_1[[#This Row],[Age]]&lt;30,"Young",IF(Table1_1[[#This Row],[Age]]&lt;50,"Middle aged","Senior citizen"))</f>
        <v>Senior citizen</v>
      </c>
      <c r="R782" s="7">
        <f>IF(Table1_1[[#This Row],[Marriedarital SingletatuSingle]]="M",Table1_1[[#This Row],[Children]]+2,Table1_1[[#This Row],[Children]]+1)</f>
        <v>3</v>
      </c>
      <c r="S782" s="4" t="str">
        <f>IF(Table1_1[[#This Row],[Cars]]=0,"No","Yes")</f>
        <v>Yes</v>
      </c>
      <c r="T782" s="6" t="str">
        <f>IF(AND(Table1_1[[#This Row],[Income]]&gt;50000,Table1_1[[#This Row],[Home Owner]]="Yes"),"High stability","Low stability")</f>
        <v>High stability</v>
      </c>
      <c r="U782" s="3">
        <f>Table1_1[[#This Row],[Income]]/Table1_1[[#This Row],[Family size]]</f>
        <v>20000</v>
      </c>
      <c r="V782" s="6" t="str">
        <f>IF(Table1_1[[#This Row],[Occupation]]="Skilled manual","Blue collar",IF(Table1_1[[#This Row],[Occupation]]="Manual","Blue collar","White collar"))</f>
        <v>White collar</v>
      </c>
    </row>
    <row r="783" spans="1:22" x14ac:dyDescent="0.3">
      <c r="A783" t="s">
        <v>817</v>
      </c>
      <c r="B783" s="6" t="s">
        <v>1042</v>
      </c>
      <c r="C783" s="6" t="s">
        <v>1046</v>
      </c>
      <c r="D783" s="3">
        <v>80000</v>
      </c>
      <c r="E783">
        <v>4</v>
      </c>
      <c r="F783" s="6" t="s">
        <v>13</v>
      </c>
      <c r="G783" s="6" t="s">
        <v>28</v>
      </c>
      <c r="H783" s="6" t="s">
        <v>15</v>
      </c>
      <c r="I783">
        <v>0</v>
      </c>
      <c r="J783" t="s">
        <v>16</v>
      </c>
      <c r="K7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83" s="6" t="s">
        <v>32</v>
      </c>
      <c r="M783" s="7">
        <v>43</v>
      </c>
      <c r="N783" t="s">
        <v>18</v>
      </c>
      <c r="O783" s="9" t="str">
        <f>IF(Table1_1[[#This Row],[Purchased Bike]]="yes","1","0")</f>
        <v>0</v>
      </c>
      <c r="P783" s="4" t="str">
        <f>IF(Table1_1[[#This Row],[Income]]&lt;=30000,"Low ",IF(Table1_1[[#This Row],[Income]]&lt;=70000,"Middle","High"))</f>
        <v>High</v>
      </c>
      <c r="Q783" s="6" t="str">
        <f>IF(Table1_1[[#This Row],[Age]]&lt;30,"Young",IF(Table1_1[[#This Row],[Age]]&lt;50,"Middle aged","Senior citizen"))</f>
        <v>Middle aged</v>
      </c>
      <c r="R783" s="7">
        <f>IF(Table1_1[[#This Row],[Marriedarital SingletatuSingle]]="M",Table1_1[[#This Row],[Children]]+2,Table1_1[[#This Row],[Children]]+1)</f>
        <v>5</v>
      </c>
      <c r="S783" s="4" t="str">
        <f>IF(Table1_1[[#This Row],[Cars]]=0,"No","Yes")</f>
        <v>No</v>
      </c>
      <c r="T783" s="6" t="str">
        <f>IF(AND(Table1_1[[#This Row],[Income]]&gt;50000,Table1_1[[#This Row],[Home Owner]]="Yes"),"High stability","Low stability")</f>
        <v>High stability</v>
      </c>
      <c r="U783" s="3">
        <f>Table1_1[[#This Row],[Income]]/Table1_1[[#This Row],[Family size]]</f>
        <v>16000</v>
      </c>
      <c r="V783" s="6" t="str">
        <f>IF(Table1_1[[#This Row],[Occupation]]="Skilled manual","Blue collar",IF(Table1_1[[#This Row],[Occupation]]="Manual","Blue collar","White collar"))</f>
        <v>White collar</v>
      </c>
    </row>
    <row r="784" spans="1:22" x14ac:dyDescent="0.3">
      <c r="A784" t="s">
        <v>818</v>
      </c>
      <c r="B784" s="6" t="s">
        <v>1044</v>
      </c>
      <c r="C784" s="6" t="s">
        <v>1046</v>
      </c>
      <c r="D784" s="3">
        <v>70000</v>
      </c>
      <c r="E784">
        <v>4</v>
      </c>
      <c r="F784" s="6" t="s">
        <v>13</v>
      </c>
      <c r="G784" s="6" t="s">
        <v>21</v>
      </c>
      <c r="H784" s="6" t="s">
        <v>15</v>
      </c>
      <c r="I784">
        <v>2</v>
      </c>
      <c r="J784" t="s">
        <v>22</v>
      </c>
      <c r="K7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84" s="6" t="s">
        <v>32</v>
      </c>
      <c r="M784" s="7">
        <v>43</v>
      </c>
      <c r="N784" t="s">
        <v>15</v>
      </c>
      <c r="O784" s="9" t="str">
        <f>IF(Table1_1[[#This Row],[Purchased Bike]]="yes","1","0")</f>
        <v>1</v>
      </c>
      <c r="P784" s="4" t="str">
        <f>IF(Table1_1[[#This Row],[Income]]&lt;=30000,"Low ",IF(Table1_1[[#This Row],[Income]]&lt;=70000,"Middle","High"))</f>
        <v>Middle</v>
      </c>
      <c r="Q784" s="6" t="str">
        <f>IF(Table1_1[[#This Row],[Age]]&lt;30,"Young",IF(Table1_1[[#This Row],[Age]]&lt;50,"Middle aged","Senior citizen"))</f>
        <v>Middle aged</v>
      </c>
      <c r="R784" s="7">
        <f>IF(Table1_1[[#This Row],[Marriedarital SingletatuSingle]]="M",Table1_1[[#This Row],[Children]]+2,Table1_1[[#This Row],[Children]]+1)</f>
        <v>5</v>
      </c>
      <c r="S784" s="4" t="str">
        <f>IF(Table1_1[[#This Row],[Cars]]=0,"No","Yes")</f>
        <v>Yes</v>
      </c>
      <c r="T784" s="6" t="str">
        <f>IF(AND(Table1_1[[#This Row],[Income]]&gt;50000,Table1_1[[#This Row],[Home Owner]]="Yes"),"High stability","Low stability")</f>
        <v>High stability</v>
      </c>
      <c r="U784" s="3">
        <f>Table1_1[[#This Row],[Income]]/Table1_1[[#This Row],[Family size]]</f>
        <v>14000</v>
      </c>
      <c r="V784" s="6" t="str">
        <f>IF(Table1_1[[#This Row],[Occupation]]="Skilled manual","Blue collar",IF(Table1_1[[#This Row],[Occupation]]="Manual","Blue collar","White collar"))</f>
        <v>White collar</v>
      </c>
    </row>
    <row r="785" spans="1:22" x14ac:dyDescent="0.3">
      <c r="A785" t="s">
        <v>819</v>
      </c>
      <c r="B785" s="6" t="s">
        <v>1042</v>
      </c>
      <c r="C785" s="6" t="s">
        <v>1046</v>
      </c>
      <c r="D785" s="3">
        <v>60000</v>
      </c>
      <c r="E785">
        <v>4</v>
      </c>
      <c r="F785" s="6" t="s">
        <v>13</v>
      </c>
      <c r="G785" s="6" t="s">
        <v>14</v>
      </c>
      <c r="H785" s="6" t="s">
        <v>15</v>
      </c>
      <c r="I785">
        <v>3</v>
      </c>
      <c r="J785" t="s">
        <v>23</v>
      </c>
      <c r="K7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85" s="6" t="s">
        <v>32</v>
      </c>
      <c r="M785" s="7">
        <v>42</v>
      </c>
      <c r="N785" t="s">
        <v>18</v>
      </c>
      <c r="O785" s="9" t="str">
        <f>IF(Table1_1[[#This Row],[Purchased Bike]]="yes","1","0")</f>
        <v>0</v>
      </c>
      <c r="P785" s="4" t="str">
        <f>IF(Table1_1[[#This Row],[Income]]&lt;=30000,"Low ",IF(Table1_1[[#This Row],[Income]]&lt;=70000,"Middle","High"))</f>
        <v>Middle</v>
      </c>
      <c r="Q785" s="6" t="str">
        <f>IF(Table1_1[[#This Row],[Age]]&lt;30,"Young",IF(Table1_1[[#This Row],[Age]]&lt;50,"Middle aged","Senior citizen"))</f>
        <v>Middle aged</v>
      </c>
      <c r="R785" s="7">
        <f>IF(Table1_1[[#This Row],[Marriedarital SingletatuSingle]]="M",Table1_1[[#This Row],[Children]]+2,Table1_1[[#This Row],[Children]]+1)</f>
        <v>5</v>
      </c>
      <c r="S785" s="4" t="str">
        <f>IF(Table1_1[[#This Row],[Cars]]=0,"No","Yes")</f>
        <v>Yes</v>
      </c>
      <c r="T785" s="6" t="str">
        <f>IF(AND(Table1_1[[#This Row],[Income]]&gt;50000,Table1_1[[#This Row],[Home Owner]]="Yes"),"High stability","Low stability")</f>
        <v>High stability</v>
      </c>
      <c r="U785" s="3">
        <f>Table1_1[[#This Row],[Income]]/Table1_1[[#This Row],[Family size]]</f>
        <v>12000</v>
      </c>
      <c r="V785" s="6" t="str">
        <f>IF(Table1_1[[#This Row],[Occupation]]="Skilled manual","Blue collar",IF(Table1_1[[#This Row],[Occupation]]="Manual","Blue collar","White collar"))</f>
        <v>Blue collar</v>
      </c>
    </row>
    <row r="786" spans="1:22" x14ac:dyDescent="0.3">
      <c r="A786" t="s">
        <v>820</v>
      </c>
      <c r="B786" s="6" t="s">
        <v>1044</v>
      </c>
      <c r="C786" s="6" t="s">
        <v>1045</v>
      </c>
      <c r="D786" s="3">
        <v>10000</v>
      </c>
      <c r="E786">
        <v>2</v>
      </c>
      <c r="F786" s="6" t="s">
        <v>27</v>
      </c>
      <c r="G786" s="6" t="s">
        <v>25</v>
      </c>
      <c r="H786" s="6" t="s">
        <v>15</v>
      </c>
      <c r="I786">
        <v>2</v>
      </c>
      <c r="J786" t="s">
        <v>26</v>
      </c>
      <c r="K7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86" s="6" t="s">
        <v>32</v>
      </c>
      <c r="M786" s="7">
        <v>53</v>
      </c>
      <c r="N786" t="s">
        <v>15</v>
      </c>
      <c r="O786" s="9" t="str">
        <f>IF(Table1_1[[#This Row],[Purchased Bike]]="yes","1","0")</f>
        <v>1</v>
      </c>
      <c r="P786" s="4" t="str">
        <f>IF(Table1_1[[#This Row],[Income]]&lt;=30000,"Low ",IF(Table1_1[[#This Row],[Income]]&lt;=70000,"Middle","High"))</f>
        <v xml:space="preserve">Low </v>
      </c>
      <c r="Q786" s="6" t="str">
        <f>IF(Table1_1[[#This Row],[Age]]&lt;30,"Young",IF(Table1_1[[#This Row],[Age]]&lt;50,"Middle aged","Senior citizen"))</f>
        <v>Senior citizen</v>
      </c>
      <c r="R786" s="7">
        <f>IF(Table1_1[[#This Row],[Marriedarital SingletatuSingle]]="M",Table1_1[[#This Row],[Children]]+2,Table1_1[[#This Row],[Children]]+1)</f>
        <v>3</v>
      </c>
      <c r="S786" s="4" t="str">
        <f>IF(Table1_1[[#This Row],[Cars]]=0,"No","Yes")</f>
        <v>Yes</v>
      </c>
      <c r="T786" s="6" t="str">
        <f>IF(AND(Table1_1[[#This Row],[Income]]&gt;50000,Table1_1[[#This Row],[Home Owner]]="Yes"),"High stability","Low stability")</f>
        <v>Low stability</v>
      </c>
      <c r="U786" s="3">
        <f>Table1_1[[#This Row],[Income]]/Table1_1[[#This Row],[Family size]]</f>
        <v>3333.3333333333335</v>
      </c>
      <c r="V786" s="6" t="str">
        <f>IF(Table1_1[[#This Row],[Occupation]]="Skilled manual","Blue collar",IF(Table1_1[[#This Row],[Occupation]]="Manual","Blue collar","White collar"))</f>
        <v>Blue collar</v>
      </c>
    </row>
    <row r="787" spans="1:22" x14ac:dyDescent="0.3">
      <c r="A787" t="s">
        <v>821</v>
      </c>
      <c r="B787" s="6" t="s">
        <v>1044</v>
      </c>
      <c r="C787" s="6" t="s">
        <v>1045</v>
      </c>
      <c r="D787" s="3">
        <v>40000</v>
      </c>
      <c r="E787">
        <v>0</v>
      </c>
      <c r="F787" s="6" t="s">
        <v>27</v>
      </c>
      <c r="G787" s="6" t="s">
        <v>14</v>
      </c>
      <c r="H787" s="6" t="s">
        <v>18</v>
      </c>
      <c r="I787">
        <v>2</v>
      </c>
      <c r="J787" t="s">
        <v>16</v>
      </c>
      <c r="K7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87" s="6" t="s">
        <v>32</v>
      </c>
      <c r="M787" s="7">
        <v>28</v>
      </c>
      <c r="N787" t="s">
        <v>15</v>
      </c>
      <c r="O787" s="9" t="str">
        <f>IF(Table1_1[[#This Row],[Purchased Bike]]="yes","1","0")</f>
        <v>1</v>
      </c>
      <c r="P787" s="4" t="str">
        <f>IF(Table1_1[[#This Row],[Income]]&lt;=30000,"Low ",IF(Table1_1[[#This Row],[Income]]&lt;=70000,"Middle","High"))</f>
        <v>Middle</v>
      </c>
      <c r="Q787" s="6" t="str">
        <f>IF(Table1_1[[#This Row],[Age]]&lt;30,"Young",IF(Table1_1[[#This Row],[Age]]&lt;50,"Middle aged","Senior citizen"))</f>
        <v>Young</v>
      </c>
      <c r="R787" s="7">
        <f>IF(Table1_1[[#This Row],[Marriedarital SingletatuSingle]]="M",Table1_1[[#This Row],[Children]]+2,Table1_1[[#This Row],[Children]]+1)</f>
        <v>1</v>
      </c>
      <c r="S787" s="4" t="str">
        <f>IF(Table1_1[[#This Row],[Cars]]=0,"No","Yes")</f>
        <v>Yes</v>
      </c>
      <c r="T787" s="6" t="str">
        <f>IF(AND(Table1_1[[#This Row],[Income]]&gt;50000,Table1_1[[#This Row],[Home Owner]]="Yes"),"High stability","Low stability")</f>
        <v>Low stability</v>
      </c>
      <c r="U787" s="3">
        <f>Table1_1[[#This Row],[Income]]/Table1_1[[#This Row],[Family size]]</f>
        <v>40000</v>
      </c>
      <c r="V787" s="6" t="str">
        <f>IF(Table1_1[[#This Row],[Occupation]]="Skilled manual","Blue collar",IF(Table1_1[[#This Row],[Occupation]]="Manual","Blue collar","White collar"))</f>
        <v>Blue collar</v>
      </c>
    </row>
    <row r="788" spans="1:22" x14ac:dyDescent="0.3">
      <c r="A788" t="s">
        <v>822</v>
      </c>
      <c r="B788" s="6" t="s">
        <v>1042</v>
      </c>
      <c r="C788" s="6" t="s">
        <v>1045</v>
      </c>
      <c r="D788" s="3">
        <v>50000</v>
      </c>
      <c r="E788">
        <v>1</v>
      </c>
      <c r="F788" s="6" t="s">
        <v>13</v>
      </c>
      <c r="G788" s="6" t="s">
        <v>14</v>
      </c>
      <c r="H788" s="6" t="s">
        <v>15</v>
      </c>
      <c r="I788">
        <v>1</v>
      </c>
      <c r="J788" t="s">
        <v>16</v>
      </c>
      <c r="K7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788" s="6" t="s">
        <v>32</v>
      </c>
      <c r="M788" s="7">
        <v>35</v>
      </c>
      <c r="N788" t="s">
        <v>18</v>
      </c>
      <c r="O788" s="9" t="str">
        <f>IF(Table1_1[[#This Row],[Purchased Bike]]="yes","1","0")</f>
        <v>0</v>
      </c>
      <c r="P788" s="4" t="str">
        <f>IF(Table1_1[[#This Row],[Income]]&lt;=30000,"Low ",IF(Table1_1[[#This Row],[Income]]&lt;=70000,"Middle","High"))</f>
        <v>Middle</v>
      </c>
      <c r="Q788" s="6" t="str">
        <f>IF(Table1_1[[#This Row],[Age]]&lt;30,"Young",IF(Table1_1[[#This Row],[Age]]&lt;50,"Middle aged","Senior citizen"))</f>
        <v>Middle aged</v>
      </c>
      <c r="R788" s="7">
        <f>IF(Table1_1[[#This Row],[Marriedarital SingletatuSingle]]="M",Table1_1[[#This Row],[Children]]+2,Table1_1[[#This Row],[Children]]+1)</f>
        <v>2</v>
      </c>
      <c r="S788" s="4" t="str">
        <f>IF(Table1_1[[#This Row],[Cars]]=0,"No","Yes")</f>
        <v>Yes</v>
      </c>
      <c r="T788" s="6" t="str">
        <f>IF(AND(Table1_1[[#This Row],[Income]]&gt;50000,Table1_1[[#This Row],[Home Owner]]="Yes"),"High stability","Low stability")</f>
        <v>Low stability</v>
      </c>
      <c r="U788" s="3">
        <f>Table1_1[[#This Row],[Income]]/Table1_1[[#This Row],[Family size]]</f>
        <v>25000</v>
      </c>
      <c r="V788" s="6" t="str">
        <f>IF(Table1_1[[#This Row],[Occupation]]="Skilled manual","Blue collar",IF(Table1_1[[#This Row],[Occupation]]="Manual","Blue collar","White collar"))</f>
        <v>Blue collar</v>
      </c>
    </row>
    <row r="789" spans="1:22" x14ac:dyDescent="0.3">
      <c r="A789" t="s">
        <v>823</v>
      </c>
      <c r="B789" s="6" t="s">
        <v>1044</v>
      </c>
      <c r="C789" s="6" t="s">
        <v>1045</v>
      </c>
      <c r="D789" s="3">
        <v>70000</v>
      </c>
      <c r="E789">
        <v>2</v>
      </c>
      <c r="F789" s="6" t="s">
        <v>13</v>
      </c>
      <c r="G789" s="6" t="s">
        <v>28</v>
      </c>
      <c r="H789" s="6" t="s">
        <v>18</v>
      </c>
      <c r="I789">
        <v>1</v>
      </c>
      <c r="J789" t="s">
        <v>22</v>
      </c>
      <c r="K7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89" s="6" t="s">
        <v>32</v>
      </c>
      <c r="M789" s="7">
        <v>59</v>
      </c>
      <c r="N789" t="s">
        <v>15</v>
      </c>
      <c r="O789" s="9" t="str">
        <f>IF(Table1_1[[#This Row],[Purchased Bike]]="yes","1","0")</f>
        <v>1</v>
      </c>
      <c r="P789" s="4" t="str">
        <f>IF(Table1_1[[#This Row],[Income]]&lt;=30000,"Low ",IF(Table1_1[[#This Row],[Income]]&lt;=70000,"Middle","High"))</f>
        <v>Middle</v>
      </c>
      <c r="Q789" s="6" t="str">
        <f>IF(Table1_1[[#This Row],[Age]]&lt;30,"Young",IF(Table1_1[[#This Row],[Age]]&lt;50,"Middle aged","Senior citizen"))</f>
        <v>Senior citizen</v>
      </c>
      <c r="R789" s="7">
        <f>IF(Table1_1[[#This Row],[Marriedarital SingletatuSingle]]="M",Table1_1[[#This Row],[Children]]+2,Table1_1[[#This Row],[Children]]+1)</f>
        <v>3</v>
      </c>
      <c r="S789" s="4" t="str">
        <f>IF(Table1_1[[#This Row],[Cars]]=0,"No","Yes")</f>
        <v>Yes</v>
      </c>
      <c r="T789" s="6" t="str">
        <f>IF(AND(Table1_1[[#This Row],[Income]]&gt;50000,Table1_1[[#This Row],[Home Owner]]="Yes"),"High stability","Low stability")</f>
        <v>Low stability</v>
      </c>
      <c r="U789" s="3">
        <f>Table1_1[[#This Row],[Income]]/Table1_1[[#This Row],[Family size]]</f>
        <v>23333.333333333332</v>
      </c>
      <c r="V789" s="6" t="str">
        <f>IF(Table1_1[[#This Row],[Occupation]]="Skilled manual","Blue collar",IF(Table1_1[[#This Row],[Occupation]]="Manual","Blue collar","White collar"))</f>
        <v>White collar</v>
      </c>
    </row>
    <row r="790" spans="1:22" x14ac:dyDescent="0.3">
      <c r="A790" t="s">
        <v>824</v>
      </c>
      <c r="B790" s="6" t="s">
        <v>1044</v>
      </c>
      <c r="C790" s="6" t="s">
        <v>1045</v>
      </c>
      <c r="D790" s="3">
        <v>20000</v>
      </c>
      <c r="E790">
        <v>2</v>
      </c>
      <c r="F790" s="6" t="s">
        <v>29</v>
      </c>
      <c r="G790" s="6" t="s">
        <v>20</v>
      </c>
      <c r="H790" s="6" t="s">
        <v>15</v>
      </c>
      <c r="I790">
        <v>2</v>
      </c>
      <c r="J790" t="s">
        <v>26</v>
      </c>
      <c r="K7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90" s="6" t="s">
        <v>32</v>
      </c>
      <c r="M790" s="7">
        <v>49</v>
      </c>
      <c r="N790" t="s">
        <v>18</v>
      </c>
      <c r="O790" s="9" t="str">
        <f>IF(Table1_1[[#This Row],[Purchased Bike]]="yes","1","0")</f>
        <v>0</v>
      </c>
      <c r="P790" s="4" t="str">
        <f>IF(Table1_1[[#This Row],[Income]]&lt;=30000,"Low ",IF(Table1_1[[#This Row],[Income]]&lt;=70000,"Middle","High"))</f>
        <v xml:space="preserve">Low </v>
      </c>
      <c r="Q790" s="6" t="str">
        <f>IF(Table1_1[[#This Row],[Age]]&lt;30,"Young",IF(Table1_1[[#This Row],[Age]]&lt;50,"Middle aged","Senior citizen"))</f>
        <v>Middle aged</v>
      </c>
      <c r="R790" s="7">
        <f>IF(Table1_1[[#This Row],[Marriedarital SingletatuSingle]]="M",Table1_1[[#This Row],[Children]]+2,Table1_1[[#This Row],[Children]]+1)</f>
        <v>3</v>
      </c>
      <c r="S790" s="4" t="str">
        <f>IF(Table1_1[[#This Row],[Cars]]=0,"No","Yes")</f>
        <v>Yes</v>
      </c>
      <c r="T790" s="6" t="str">
        <f>IF(AND(Table1_1[[#This Row],[Income]]&gt;50000,Table1_1[[#This Row],[Home Owner]]="Yes"),"High stability","Low stability")</f>
        <v>Low stability</v>
      </c>
      <c r="U790" s="3">
        <f>Table1_1[[#This Row],[Income]]/Table1_1[[#This Row],[Family size]]</f>
        <v>6666.666666666667</v>
      </c>
      <c r="V790" s="6" t="str">
        <f>IF(Table1_1[[#This Row],[Occupation]]="Skilled manual","Blue collar",IF(Table1_1[[#This Row],[Occupation]]="Manual","Blue collar","White collar"))</f>
        <v>White collar</v>
      </c>
    </row>
    <row r="791" spans="1:22" x14ac:dyDescent="0.3">
      <c r="A791" t="s">
        <v>825</v>
      </c>
      <c r="B791" s="6" t="s">
        <v>1042</v>
      </c>
      <c r="C791" s="6" t="s">
        <v>1046</v>
      </c>
      <c r="D791" s="3">
        <v>60000</v>
      </c>
      <c r="E791">
        <v>2</v>
      </c>
      <c r="F791" s="6" t="s">
        <v>27</v>
      </c>
      <c r="G791" s="6" t="s">
        <v>21</v>
      </c>
      <c r="H791" s="6" t="s">
        <v>18</v>
      </c>
      <c r="I791">
        <v>2</v>
      </c>
      <c r="J791" t="s">
        <v>26</v>
      </c>
      <c r="K7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91" s="6" t="s">
        <v>32</v>
      </c>
      <c r="M791" s="7">
        <v>48</v>
      </c>
      <c r="N791" t="s">
        <v>15</v>
      </c>
      <c r="O791" s="9" t="str">
        <f>IF(Table1_1[[#This Row],[Purchased Bike]]="yes","1","0")</f>
        <v>1</v>
      </c>
      <c r="P791" s="4" t="str">
        <f>IF(Table1_1[[#This Row],[Income]]&lt;=30000,"Low ",IF(Table1_1[[#This Row],[Income]]&lt;=70000,"Middle","High"))</f>
        <v>Middle</v>
      </c>
      <c r="Q791" s="6" t="str">
        <f>IF(Table1_1[[#This Row],[Age]]&lt;30,"Young",IF(Table1_1[[#This Row],[Age]]&lt;50,"Middle aged","Senior citizen"))</f>
        <v>Middle aged</v>
      </c>
      <c r="R791" s="7">
        <f>IF(Table1_1[[#This Row],[Marriedarital SingletatuSingle]]="M",Table1_1[[#This Row],[Children]]+2,Table1_1[[#This Row],[Children]]+1)</f>
        <v>3</v>
      </c>
      <c r="S791" s="4" t="str">
        <f>IF(Table1_1[[#This Row],[Cars]]=0,"No","Yes")</f>
        <v>Yes</v>
      </c>
      <c r="T791" s="6" t="str">
        <f>IF(AND(Table1_1[[#This Row],[Income]]&gt;50000,Table1_1[[#This Row],[Home Owner]]="Yes"),"High stability","Low stability")</f>
        <v>Low stability</v>
      </c>
      <c r="U791" s="3">
        <f>Table1_1[[#This Row],[Income]]/Table1_1[[#This Row],[Family size]]</f>
        <v>20000</v>
      </c>
      <c r="V791" s="6" t="str">
        <f>IF(Table1_1[[#This Row],[Occupation]]="Skilled manual","Blue collar",IF(Table1_1[[#This Row],[Occupation]]="Manual","Blue collar","White collar"))</f>
        <v>White collar</v>
      </c>
    </row>
    <row r="792" spans="1:22" x14ac:dyDescent="0.3">
      <c r="A792" t="s">
        <v>826</v>
      </c>
      <c r="B792" s="6" t="s">
        <v>1044</v>
      </c>
      <c r="C792" s="6" t="s">
        <v>1045</v>
      </c>
      <c r="D792" s="3">
        <v>80000</v>
      </c>
      <c r="E792">
        <v>2</v>
      </c>
      <c r="F792" s="6" t="s">
        <v>29</v>
      </c>
      <c r="G792" s="6" t="s">
        <v>14</v>
      </c>
      <c r="H792" s="6" t="s">
        <v>18</v>
      </c>
      <c r="I792">
        <v>2</v>
      </c>
      <c r="J792" t="s">
        <v>26</v>
      </c>
      <c r="K7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92" s="6" t="s">
        <v>32</v>
      </c>
      <c r="M792" s="7">
        <v>50</v>
      </c>
      <c r="N792" t="s">
        <v>18</v>
      </c>
      <c r="O792" s="9" t="str">
        <f>IF(Table1_1[[#This Row],[Purchased Bike]]="yes","1","0")</f>
        <v>0</v>
      </c>
      <c r="P792" s="4" t="str">
        <f>IF(Table1_1[[#This Row],[Income]]&lt;=30000,"Low ",IF(Table1_1[[#This Row],[Income]]&lt;=70000,"Middle","High"))</f>
        <v>High</v>
      </c>
      <c r="Q792" s="6" t="str">
        <f>IF(Table1_1[[#This Row],[Age]]&lt;30,"Young",IF(Table1_1[[#This Row],[Age]]&lt;50,"Middle aged","Senior citizen"))</f>
        <v>Senior citizen</v>
      </c>
      <c r="R792" s="7">
        <f>IF(Table1_1[[#This Row],[Marriedarital SingletatuSingle]]="M",Table1_1[[#This Row],[Children]]+2,Table1_1[[#This Row],[Children]]+1)</f>
        <v>3</v>
      </c>
      <c r="S792" s="4" t="str">
        <f>IF(Table1_1[[#This Row],[Cars]]=0,"No","Yes")</f>
        <v>Yes</v>
      </c>
      <c r="T792" s="6" t="str">
        <f>IF(AND(Table1_1[[#This Row],[Income]]&gt;50000,Table1_1[[#This Row],[Home Owner]]="Yes"),"High stability","Low stability")</f>
        <v>Low stability</v>
      </c>
      <c r="U792" s="3">
        <f>Table1_1[[#This Row],[Income]]/Table1_1[[#This Row],[Family size]]</f>
        <v>26666.666666666668</v>
      </c>
      <c r="V792" s="6" t="str">
        <f>IF(Table1_1[[#This Row],[Occupation]]="Skilled manual","Blue collar",IF(Table1_1[[#This Row],[Occupation]]="Manual","Blue collar","White collar"))</f>
        <v>Blue collar</v>
      </c>
    </row>
    <row r="793" spans="1:22" x14ac:dyDescent="0.3">
      <c r="A793" t="s">
        <v>827</v>
      </c>
      <c r="B793" s="6" t="s">
        <v>1042</v>
      </c>
      <c r="C793" s="6" t="s">
        <v>1046</v>
      </c>
      <c r="D793" s="3">
        <v>40000</v>
      </c>
      <c r="E793">
        <v>0</v>
      </c>
      <c r="F793" s="6" t="s">
        <v>27</v>
      </c>
      <c r="G793" s="6" t="s">
        <v>14</v>
      </c>
      <c r="H793" s="6" t="s">
        <v>15</v>
      </c>
      <c r="I793">
        <v>2</v>
      </c>
      <c r="J793" t="s">
        <v>23</v>
      </c>
      <c r="K7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93" s="6" t="s">
        <v>32</v>
      </c>
      <c r="M793" s="7">
        <v>28</v>
      </c>
      <c r="N793" t="s">
        <v>15</v>
      </c>
      <c r="O793" s="9" t="str">
        <f>IF(Table1_1[[#This Row],[Purchased Bike]]="yes","1","0")</f>
        <v>1</v>
      </c>
      <c r="P793" s="4" t="str">
        <f>IF(Table1_1[[#This Row],[Income]]&lt;=30000,"Low ",IF(Table1_1[[#This Row],[Income]]&lt;=70000,"Middle","High"))</f>
        <v>Middle</v>
      </c>
      <c r="Q793" s="6" t="str">
        <f>IF(Table1_1[[#This Row],[Age]]&lt;30,"Young",IF(Table1_1[[#This Row],[Age]]&lt;50,"Middle aged","Senior citizen"))</f>
        <v>Young</v>
      </c>
      <c r="R793" s="7">
        <f>IF(Table1_1[[#This Row],[Marriedarital SingletatuSingle]]="M",Table1_1[[#This Row],[Children]]+2,Table1_1[[#This Row],[Children]]+1)</f>
        <v>1</v>
      </c>
      <c r="S793" s="4" t="str">
        <f>IF(Table1_1[[#This Row],[Cars]]=0,"No","Yes")</f>
        <v>Yes</v>
      </c>
      <c r="T793" s="6" t="str">
        <f>IF(AND(Table1_1[[#This Row],[Income]]&gt;50000,Table1_1[[#This Row],[Home Owner]]="Yes"),"High stability","Low stability")</f>
        <v>Low stability</v>
      </c>
      <c r="U793" s="3">
        <f>Table1_1[[#This Row],[Income]]/Table1_1[[#This Row],[Family size]]</f>
        <v>40000</v>
      </c>
      <c r="V793" s="6" t="str">
        <f>IF(Table1_1[[#This Row],[Occupation]]="Skilled manual","Blue collar",IF(Table1_1[[#This Row],[Occupation]]="Manual","Blue collar","White collar"))</f>
        <v>Blue collar</v>
      </c>
    </row>
    <row r="794" spans="1:22" x14ac:dyDescent="0.3">
      <c r="A794" t="s">
        <v>828</v>
      </c>
      <c r="B794" s="6" t="s">
        <v>1044</v>
      </c>
      <c r="C794" s="6" t="s">
        <v>1046</v>
      </c>
      <c r="D794" s="3">
        <v>30000</v>
      </c>
      <c r="E794">
        <v>1</v>
      </c>
      <c r="F794" s="6" t="s">
        <v>27</v>
      </c>
      <c r="G794" s="6" t="s">
        <v>20</v>
      </c>
      <c r="H794" s="6" t="s">
        <v>18</v>
      </c>
      <c r="I794">
        <v>1</v>
      </c>
      <c r="J794" t="s">
        <v>23</v>
      </c>
      <c r="K7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94" s="6" t="s">
        <v>32</v>
      </c>
      <c r="M794" s="7">
        <v>52</v>
      </c>
      <c r="N794" t="s">
        <v>18</v>
      </c>
      <c r="O794" s="9" t="str">
        <f>IF(Table1_1[[#This Row],[Purchased Bike]]="yes","1","0")</f>
        <v>0</v>
      </c>
      <c r="P794" s="4" t="str">
        <f>IF(Table1_1[[#This Row],[Income]]&lt;=30000,"Low ",IF(Table1_1[[#This Row],[Income]]&lt;=70000,"Middle","High"))</f>
        <v xml:space="preserve">Low </v>
      </c>
      <c r="Q794" s="6" t="str">
        <f>IF(Table1_1[[#This Row],[Age]]&lt;30,"Young",IF(Table1_1[[#This Row],[Age]]&lt;50,"Middle aged","Senior citizen"))</f>
        <v>Senior citizen</v>
      </c>
      <c r="R794" s="7">
        <f>IF(Table1_1[[#This Row],[Marriedarital SingletatuSingle]]="M",Table1_1[[#This Row],[Children]]+2,Table1_1[[#This Row],[Children]]+1)</f>
        <v>2</v>
      </c>
      <c r="S794" s="4" t="str">
        <f>IF(Table1_1[[#This Row],[Cars]]=0,"No","Yes")</f>
        <v>Yes</v>
      </c>
      <c r="T794" s="6" t="str">
        <f>IF(AND(Table1_1[[#This Row],[Income]]&gt;50000,Table1_1[[#This Row],[Home Owner]]="Yes"),"High stability","Low stability")</f>
        <v>Low stability</v>
      </c>
      <c r="U794" s="3">
        <f>Table1_1[[#This Row],[Income]]/Table1_1[[#This Row],[Family size]]</f>
        <v>15000</v>
      </c>
      <c r="V794" s="6" t="str">
        <f>IF(Table1_1[[#This Row],[Occupation]]="Skilled manual","Blue collar",IF(Table1_1[[#This Row],[Occupation]]="Manual","Blue collar","White collar"))</f>
        <v>White collar</v>
      </c>
    </row>
    <row r="795" spans="1:22" x14ac:dyDescent="0.3">
      <c r="A795" t="s">
        <v>829</v>
      </c>
      <c r="B795" s="6" t="s">
        <v>1042</v>
      </c>
      <c r="C795" s="6" t="s">
        <v>1046</v>
      </c>
      <c r="D795" s="3">
        <v>30000</v>
      </c>
      <c r="E795">
        <v>1</v>
      </c>
      <c r="F795" s="6" t="s">
        <v>27</v>
      </c>
      <c r="G795" s="6" t="s">
        <v>20</v>
      </c>
      <c r="H795" s="6" t="s">
        <v>15</v>
      </c>
      <c r="I795">
        <v>1</v>
      </c>
      <c r="J795" t="s">
        <v>22</v>
      </c>
      <c r="K7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795" s="6" t="s">
        <v>32</v>
      </c>
      <c r="M795" s="7">
        <v>52</v>
      </c>
      <c r="N795" t="s">
        <v>15</v>
      </c>
      <c r="O795" s="9" t="str">
        <f>IF(Table1_1[[#This Row],[Purchased Bike]]="yes","1","0")</f>
        <v>1</v>
      </c>
      <c r="P795" s="4" t="str">
        <f>IF(Table1_1[[#This Row],[Income]]&lt;=30000,"Low ",IF(Table1_1[[#This Row],[Income]]&lt;=70000,"Middle","High"))</f>
        <v xml:space="preserve">Low </v>
      </c>
      <c r="Q795" s="6" t="str">
        <f>IF(Table1_1[[#This Row],[Age]]&lt;30,"Young",IF(Table1_1[[#This Row],[Age]]&lt;50,"Middle aged","Senior citizen"))</f>
        <v>Senior citizen</v>
      </c>
      <c r="R795" s="7">
        <f>IF(Table1_1[[#This Row],[Marriedarital SingletatuSingle]]="M",Table1_1[[#This Row],[Children]]+2,Table1_1[[#This Row],[Children]]+1)</f>
        <v>2</v>
      </c>
      <c r="S795" s="4" t="str">
        <f>IF(Table1_1[[#This Row],[Cars]]=0,"No","Yes")</f>
        <v>Yes</v>
      </c>
      <c r="T795" s="6" t="str">
        <f>IF(AND(Table1_1[[#This Row],[Income]]&gt;50000,Table1_1[[#This Row],[Home Owner]]="Yes"),"High stability","Low stability")</f>
        <v>Low stability</v>
      </c>
      <c r="U795" s="3">
        <f>Table1_1[[#This Row],[Income]]/Table1_1[[#This Row],[Family size]]</f>
        <v>15000</v>
      </c>
      <c r="V795" s="6" t="str">
        <f>IF(Table1_1[[#This Row],[Occupation]]="Skilled manual","Blue collar",IF(Table1_1[[#This Row],[Occupation]]="Manual","Blue collar","White collar"))</f>
        <v>White collar</v>
      </c>
    </row>
    <row r="796" spans="1:22" x14ac:dyDescent="0.3">
      <c r="A796" t="s">
        <v>830</v>
      </c>
      <c r="B796" s="6" t="s">
        <v>1042</v>
      </c>
      <c r="C796" s="6" t="s">
        <v>1046</v>
      </c>
      <c r="D796" s="3">
        <v>50000</v>
      </c>
      <c r="E796">
        <v>2</v>
      </c>
      <c r="F796" s="6" t="s">
        <v>31</v>
      </c>
      <c r="G796" s="6" t="s">
        <v>28</v>
      </c>
      <c r="H796" s="6" t="s">
        <v>15</v>
      </c>
      <c r="I796">
        <v>2</v>
      </c>
      <c r="J796" t="s">
        <v>23</v>
      </c>
      <c r="K7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96" s="6" t="s">
        <v>32</v>
      </c>
      <c r="M796" s="7">
        <v>69</v>
      </c>
      <c r="N796" t="s">
        <v>18</v>
      </c>
      <c r="O796" s="9" t="str">
        <f>IF(Table1_1[[#This Row],[Purchased Bike]]="yes","1","0")</f>
        <v>0</v>
      </c>
      <c r="P796" s="4" t="str">
        <f>IF(Table1_1[[#This Row],[Income]]&lt;=30000,"Low ",IF(Table1_1[[#This Row],[Income]]&lt;=70000,"Middle","High"))</f>
        <v>Middle</v>
      </c>
      <c r="Q796" s="6" t="str">
        <f>IF(Table1_1[[#This Row],[Age]]&lt;30,"Young",IF(Table1_1[[#This Row],[Age]]&lt;50,"Middle aged","Senior citizen"))</f>
        <v>Senior citizen</v>
      </c>
      <c r="R796" s="7">
        <f>IF(Table1_1[[#This Row],[Marriedarital SingletatuSingle]]="M",Table1_1[[#This Row],[Children]]+2,Table1_1[[#This Row],[Children]]+1)</f>
        <v>3</v>
      </c>
      <c r="S796" s="4" t="str">
        <f>IF(Table1_1[[#This Row],[Cars]]=0,"No","Yes")</f>
        <v>Yes</v>
      </c>
      <c r="T796" s="6" t="str">
        <f>IF(AND(Table1_1[[#This Row],[Income]]&gt;50000,Table1_1[[#This Row],[Home Owner]]="Yes"),"High stability","Low stability")</f>
        <v>Low stability</v>
      </c>
      <c r="U796" s="3">
        <f>Table1_1[[#This Row],[Income]]/Table1_1[[#This Row],[Family size]]</f>
        <v>16666.666666666668</v>
      </c>
      <c r="V796" s="6" t="str">
        <f>IF(Table1_1[[#This Row],[Occupation]]="Skilled manual","Blue collar",IF(Table1_1[[#This Row],[Occupation]]="Manual","Blue collar","White collar"))</f>
        <v>White collar</v>
      </c>
    </row>
    <row r="797" spans="1:22" x14ac:dyDescent="0.3">
      <c r="A797" t="s">
        <v>831</v>
      </c>
      <c r="B797" s="6" t="s">
        <v>1044</v>
      </c>
      <c r="C797" s="6" t="s">
        <v>1046</v>
      </c>
      <c r="D797" s="3">
        <v>60000</v>
      </c>
      <c r="E797">
        <v>2</v>
      </c>
      <c r="F797" s="6" t="s">
        <v>27</v>
      </c>
      <c r="G797" s="6" t="s">
        <v>21</v>
      </c>
      <c r="H797" s="6" t="s">
        <v>15</v>
      </c>
      <c r="I797">
        <v>2</v>
      </c>
      <c r="J797" t="s">
        <v>23</v>
      </c>
      <c r="K7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97" s="6" t="s">
        <v>32</v>
      </c>
      <c r="M797" s="7">
        <v>51</v>
      </c>
      <c r="N797" t="s">
        <v>18</v>
      </c>
      <c r="O797" s="9" t="str">
        <f>IF(Table1_1[[#This Row],[Purchased Bike]]="yes","1","0")</f>
        <v>0</v>
      </c>
      <c r="P797" s="4" t="str">
        <f>IF(Table1_1[[#This Row],[Income]]&lt;=30000,"Low ",IF(Table1_1[[#This Row],[Income]]&lt;=70000,"Middle","High"))</f>
        <v>Middle</v>
      </c>
      <c r="Q797" s="6" t="str">
        <f>IF(Table1_1[[#This Row],[Age]]&lt;30,"Young",IF(Table1_1[[#This Row],[Age]]&lt;50,"Middle aged","Senior citizen"))</f>
        <v>Senior citizen</v>
      </c>
      <c r="R797" s="7">
        <f>IF(Table1_1[[#This Row],[Marriedarital SingletatuSingle]]="M",Table1_1[[#This Row],[Children]]+2,Table1_1[[#This Row],[Children]]+1)</f>
        <v>3</v>
      </c>
      <c r="S797" s="4" t="str">
        <f>IF(Table1_1[[#This Row],[Cars]]=0,"No","Yes")</f>
        <v>Yes</v>
      </c>
      <c r="T797" s="6" t="str">
        <f>IF(AND(Table1_1[[#This Row],[Income]]&gt;50000,Table1_1[[#This Row],[Home Owner]]="Yes"),"High stability","Low stability")</f>
        <v>High stability</v>
      </c>
      <c r="U797" s="3">
        <f>Table1_1[[#This Row],[Income]]/Table1_1[[#This Row],[Family size]]</f>
        <v>20000</v>
      </c>
      <c r="V797" s="6" t="str">
        <f>IF(Table1_1[[#This Row],[Occupation]]="Skilled manual","Blue collar",IF(Table1_1[[#This Row],[Occupation]]="Manual","Blue collar","White collar"))</f>
        <v>White collar</v>
      </c>
    </row>
    <row r="798" spans="1:22" x14ac:dyDescent="0.3">
      <c r="A798" t="s">
        <v>832</v>
      </c>
      <c r="B798" s="6" t="s">
        <v>1042</v>
      </c>
      <c r="C798" s="6" t="s">
        <v>1046</v>
      </c>
      <c r="D798" s="3">
        <v>70000</v>
      </c>
      <c r="E798">
        <v>5</v>
      </c>
      <c r="F798" s="6" t="s">
        <v>19</v>
      </c>
      <c r="G798" s="6" t="s">
        <v>21</v>
      </c>
      <c r="H798" s="6" t="s">
        <v>15</v>
      </c>
      <c r="I798">
        <v>2</v>
      </c>
      <c r="J798" t="s">
        <v>26</v>
      </c>
      <c r="K7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798" s="6" t="s">
        <v>32</v>
      </c>
      <c r="M798" s="7">
        <v>57</v>
      </c>
      <c r="N798" t="s">
        <v>15</v>
      </c>
      <c r="O798" s="9" t="str">
        <f>IF(Table1_1[[#This Row],[Purchased Bike]]="yes","1","0")</f>
        <v>1</v>
      </c>
      <c r="P798" s="4" t="str">
        <f>IF(Table1_1[[#This Row],[Income]]&lt;=30000,"Low ",IF(Table1_1[[#This Row],[Income]]&lt;=70000,"Middle","High"))</f>
        <v>Middle</v>
      </c>
      <c r="Q798" s="6" t="str">
        <f>IF(Table1_1[[#This Row],[Age]]&lt;30,"Young",IF(Table1_1[[#This Row],[Age]]&lt;50,"Middle aged","Senior citizen"))</f>
        <v>Senior citizen</v>
      </c>
      <c r="R798" s="7">
        <f>IF(Table1_1[[#This Row],[Marriedarital SingletatuSingle]]="M",Table1_1[[#This Row],[Children]]+2,Table1_1[[#This Row],[Children]]+1)</f>
        <v>6</v>
      </c>
      <c r="S798" s="4" t="str">
        <f>IF(Table1_1[[#This Row],[Cars]]=0,"No","Yes")</f>
        <v>Yes</v>
      </c>
      <c r="T798" s="6" t="str">
        <f>IF(AND(Table1_1[[#This Row],[Income]]&gt;50000,Table1_1[[#This Row],[Home Owner]]="Yes"),"High stability","Low stability")</f>
        <v>High stability</v>
      </c>
      <c r="U798" s="3">
        <f>Table1_1[[#This Row],[Income]]/Table1_1[[#This Row],[Family size]]</f>
        <v>11666.666666666666</v>
      </c>
      <c r="V798" s="6" t="str">
        <f>IF(Table1_1[[#This Row],[Occupation]]="Skilled manual","Blue collar",IF(Table1_1[[#This Row],[Occupation]]="Manual","Blue collar","White collar"))</f>
        <v>White collar</v>
      </c>
    </row>
    <row r="799" spans="1:22" x14ac:dyDescent="0.3">
      <c r="A799" t="s">
        <v>833</v>
      </c>
      <c r="B799" s="6" t="s">
        <v>1044</v>
      </c>
      <c r="C799" s="6" t="s">
        <v>1046</v>
      </c>
      <c r="D799" s="3">
        <v>60000</v>
      </c>
      <c r="E799">
        <v>0</v>
      </c>
      <c r="F799" s="6" t="s">
        <v>19</v>
      </c>
      <c r="G799" s="6" t="s">
        <v>14</v>
      </c>
      <c r="H799" s="6" t="s">
        <v>15</v>
      </c>
      <c r="I799">
        <v>1</v>
      </c>
      <c r="J799" t="s">
        <v>23</v>
      </c>
      <c r="K7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799" s="6" t="s">
        <v>32</v>
      </c>
      <c r="M799" s="7">
        <v>27</v>
      </c>
      <c r="N799" t="s">
        <v>15</v>
      </c>
      <c r="O799" s="9" t="str">
        <f>IF(Table1_1[[#This Row],[Purchased Bike]]="yes","1","0")</f>
        <v>1</v>
      </c>
      <c r="P799" s="4" t="str">
        <f>IF(Table1_1[[#This Row],[Income]]&lt;=30000,"Low ",IF(Table1_1[[#This Row],[Income]]&lt;=70000,"Middle","High"))</f>
        <v>Middle</v>
      </c>
      <c r="Q799" s="6" t="str">
        <f>IF(Table1_1[[#This Row],[Age]]&lt;30,"Young",IF(Table1_1[[#This Row],[Age]]&lt;50,"Middle aged","Senior citizen"))</f>
        <v>Young</v>
      </c>
      <c r="R799" s="7">
        <f>IF(Table1_1[[#This Row],[Marriedarital SingletatuSingle]]="M",Table1_1[[#This Row],[Children]]+2,Table1_1[[#This Row],[Children]]+1)</f>
        <v>1</v>
      </c>
      <c r="S799" s="4" t="str">
        <f>IF(Table1_1[[#This Row],[Cars]]=0,"No","Yes")</f>
        <v>Yes</v>
      </c>
      <c r="T799" s="6" t="str">
        <f>IF(AND(Table1_1[[#This Row],[Income]]&gt;50000,Table1_1[[#This Row],[Home Owner]]="Yes"),"High stability","Low stability")</f>
        <v>High stability</v>
      </c>
      <c r="U799" s="3">
        <f>Table1_1[[#This Row],[Income]]/Table1_1[[#This Row],[Family size]]</f>
        <v>60000</v>
      </c>
      <c r="V799" s="6" t="str">
        <f>IF(Table1_1[[#This Row],[Occupation]]="Skilled manual","Blue collar",IF(Table1_1[[#This Row],[Occupation]]="Manual","Blue collar","White collar"))</f>
        <v>Blue collar</v>
      </c>
    </row>
    <row r="800" spans="1:22" x14ac:dyDescent="0.3">
      <c r="A800" t="s">
        <v>834</v>
      </c>
      <c r="B800" s="6" t="s">
        <v>1044</v>
      </c>
      <c r="C800" s="6" t="s">
        <v>1045</v>
      </c>
      <c r="D800" s="3">
        <v>30000</v>
      </c>
      <c r="E800">
        <v>0</v>
      </c>
      <c r="F800" s="6" t="s">
        <v>27</v>
      </c>
      <c r="G800" s="6" t="s">
        <v>14</v>
      </c>
      <c r="H800" s="6" t="s">
        <v>18</v>
      </c>
      <c r="I800">
        <v>2</v>
      </c>
      <c r="J800" t="s">
        <v>16</v>
      </c>
      <c r="K8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00" s="6" t="s">
        <v>32</v>
      </c>
      <c r="M800" s="7">
        <v>25</v>
      </c>
      <c r="N800" t="s">
        <v>15</v>
      </c>
      <c r="O800" s="9" t="str">
        <f>IF(Table1_1[[#This Row],[Purchased Bike]]="yes","1","0")</f>
        <v>1</v>
      </c>
      <c r="P800" s="4" t="str">
        <f>IF(Table1_1[[#This Row],[Income]]&lt;=30000,"Low ",IF(Table1_1[[#This Row],[Income]]&lt;=70000,"Middle","High"))</f>
        <v xml:space="preserve">Low </v>
      </c>
      <c r="Q800" s="6" t="str">
        <f>IF(Table1_1[[#This Row],[Age]]&lt;30,"Young",IF(Table1_1[[#This Row],[Age]]&lt;50,"Middle aged","Senior citizen"))</f>
        <v>Young</v>
      </c>
      <c r="R800" s="7">
        <f>IF(Table1_1[[#This Row],[Marriedarital SingletatuSingle]]="M",Table1_1[[#This Row],[Children]]+2,Table1_1[[#This Row],[Children]]+1)</f>
        <v>1</v>
      </c>
      <c r="S800" s="4" t="str">
        <f>IF(Table1_1[[#This Row],[Cars]]=0,"No","Yes")</f>
        <v>Yes</v>
      </c>
      <c r="T800" s="6" t="str">
        <f>IF(AND(Table1_1[[#This Row],[Income]]&gt;50000,Table1_1[[#This Row],[Home Owner]]="Yes"),"High stability","Low stability")</f>
        <v>Low stability</v>
      </c>
      <c r="U800" s="3">
        <f>Table1_1[[#This Row],[Income]]/Table1_1[[#This Row],[Family size]]</f>
        <v>30000</v>
      </c>
      <c r="V800" s="6" t="str">
        <f>IF(Table1_1[[#This Row],[Occupation]]="Skilled manual","Blue collar",IF(Table1_1[[#This Row],[Occupation]]="Manual","Blue collar","White collar"))</f>
        <v>Blue collar</v>
      </c>
    </row>
    <row r="801" spans="1:22" x14ac:dyDescent="0.3">
      <c r="A801" t="s">
        <v>835</v>
      </c>
      <c r="B801" s="6" t="s">
        <v>1044</v>
      </c>
      <c r="C801" s="6" t="s">
        <v>1045</v>
      </c>
      <c r="D801" s="3">
        <v>50000</v>
      </c>
      <c r="E801">
        <v>1</v>
      </c>
      <c r="F801" s="6" t="s">
        <v>31</v>
      </c>
      <c r="G801" s="6" t="s">
        <v>14</v>
      </c>
      <c r="H801" s="6" t="s">
        <v>15</v>
      </c>
      <c r="I801">
        <v>0</v>
      </c>
      <c r="J801" t="s">
        <v>26</v>
      </c>
      <c r="K8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01" s="6" t="s">
        <v>32</v>
      </c>
      <c r="M801" s="7">
        <v>33</v>
      </c>
      <c r="N801" t="s">
        <v>15</v>
      </c>
      <c r="O801" s="9" t="str">
        <f>IF(Table1_1[[#This Row],[Purchased Bike]]="yes","1","0")</f>
        <v>1</v>
      </c>
      <c r="P801" s="4" t="str">
        <f>IF(Table1_1[[#This Row],[Income]]&lt;=30000,"Low ",IF(Table1_1[[#This Row],[Income]]&lt;=70000,"Middle","High"))</f>
        <v>Middle</v>
      </c>
      <c r="Q801" s="6" t="str">
        <f>IF(Table1_1[[#This Row],[Age]]&lt;30,"Young",IF(Table1_1[[#This Row],[Age]]&lt;50,"Middle aged","Senior citizen"))</f>
        <v>Middle aged</v>
      </c>
      <c r="R801" s="7">
        <f>IF(Table1_1[[#This Row],[Marriedarital SingletatuSingle]]="M",Table1_1[[#This Row],[Children]]+2,Table1_1[[#This Row],[Children]]+1)</f>
        <v>2</v>
      </c>
      <c r="S801" s="4" t="str">
        <f>IF(Table1_1[[#This Row],[Cars]]=0,"No","Yes")</f>
        <v>No</v>
      </c>
      <c r="T801" s="6" t="str">
        <f>IF(AND(Table1_1[[#This Row],[Income]]&gt;50000,Table1_1[[#This Row],[Home Owner]]="Yes"),"High stability","Low stability")</f>
        <v>Low stability</v>
      </c>
      <c r="U801" s="3">
        <f>Table1_1[[#This Row],[Income]]/Table1_1[[#This Row],[Family size]]</f>
        <v>25000</v>
      </c>
      <c r="V801" s="6" t="str">
        <f>IF(Table1_1[[#This Row],[Occupation]]="Skilled manual","Blue collar",IF(Table1_1[[#This Row],[Occupation]]="Manual","Blue collar","White collar"))</f>
        <v>Blue collar</v>
      </c>
    </row>
    <row r="802" spans="1:22" x14ac:dyDescent="0.3">
      <c r="A802" t="s">
        <v>836</v>
      </c>
      <c r="B802" s="6" t="s">
        <v>1044</v>
      </c>
      <c r="C802" s="6" t="s">
        <v>1046</v>
      </c>
      <c r="D802" s="3">
        <v>60000</v>
      </c>
      <c r="E802">
        <v>4</v>
      </c>
      <c r="F802" s="6" t="s">
        <v>13</v>
      </c>
      <c r="G802" s="6" t="s">
        <v>21</v>
      </c>
      <c r="H802" s="6" t="s">
        <v>15</v>
      </c>
      <c r="I802">
        <v>2</v>
      </c>
      <c r="J802" t="s">
        <v>22</v>
      </c>
      <c r="K80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02" s="6" t="s">
        <v>32</v>
      </c>
      <c r="M802" s="7">
        <v>43</v>
      </c>
      <c r="N802" t="s">
        <v>15</v>
      </c>
      <c r="O802" s="9" t="str">
        <f>IF(Table1_1[[#This Row],[Purchased Bike]]="yes","1","0")</f>
        <v>1</v>
      </c>
      <c r="P802" s="4" t="str">
        <f>IF(Table1_1[[#This Row],[Income]]&lt;=30000,"Low ",IF(Table1_1[[#This Row],[Income]]&lt;=70000,"Middle","High"))</f>
        <v>Middle</v>
      </c>
      <c r="Q802" s="6" t="str">
        <f>IF(Table1_1[[#This Row],[Age]]&lt;30,"Young",IF(Table1_1[[#This Row],[Age]]&lt;50,"Middle aged","Senior citizen"))</f>
        <v>Middle aged</v>
      </c>
      <c r="R802" s="7">
        <f>IF(Table1_1[[#This Row],[Marriedarital SingletatuSingle]]="M",Table1_1[[#This Row],[Children]]+2,Table1_1[[#This Row],[Children]]+1)</f>
        <v>5</v>
      </c>
      <c r="S802" s="4" t="str">
        <f>IF(Table1_1[[#This Row],[Cars]]=0,"No","Yes")</f>
        <v>Yes</v>
      </c>
      <c r="T802" s="6" t="str">
        <f>IF(AND(Table1_1[[#This Row],[Income]]&gt;50000,Table1_1[[#This Row],[Home Owner]]="Yes"),"High stability","Low stability")</f>
        <v>High stability</v>
      </c>
      <c r="U802" s="3">
        <f>Table1_1[[#This Row],[Income]]/Table1_1[[#This Row],[Family size]]</f>
        <v>12000</v>
      </c>
      <c r="V802" s="6" t="str">
        <f>IF(Table1_1[[#This Row],[Occupation]]="Skilled manual","Blue collar",IF(Table1_1[[#This Row],[Occupation]]="Manual","Blue collar","White collar"))</f>
        <v>White collar</v>
      </c>
    </row>
    <row r="803" spans="1:22" x14ac:dyDescent="0.3">
      <c r="A803" t="s">
        <v>837</v>
      </c>
      <c r="B803" s="6" t="s">
        <v>1042</v>
      </c>
      <c r="C803" s="6" t="s">
        <v>1046</v>
      </c>
      <c r="D803" s="3">
        <v>70000</v>
      </c>
      <c r="E803">
        <v>4</v>
      </c>
      <c r="F803" s="6" t="s">
        <v>31</v>
      </c>
      <c r="G803" s="6" t="s">
        <v>28</v>
      </c>
      <c r="H803" s="6" t="s">
        <v>15</v>
      </c>
      <c r="I803">
        <v>2</v>
      </c>
      <c r="J803" t="s">
        <v>23</v>
      </c>
      <c r="K80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03" s="6" t="s">
        <v>32</v>
      </c>
      <c r="M803" s="7">
        <v>73</v>
      </c>
      <c r="N803" t="s">
        <v>18</v>
      </c>
      <c r="O803" s="9" t="str">
        <f>IF(Table1_1[[#This Row],[Purchased Bike]]="yes","1","0")</f>
        <v>0</v>
      </c>
      <c r="P803" s="4" t="str">
        <f>IF(Table1_1[[#This Row],[Income]]&lt;=30000,"Low ",IF(Table1_1[[#This Row],[Income]]&lt;=70000,"Middle","High"))</f>
        <v>Middle</v>
      </c>
      <c r="Q803" s="6" t="str">
        <f>IF(Table1_1[[#This Row],[Age]]&lt;30,"Young",IF(Table1_1[[#This Row],[Age]]&lt;50,"Middle aged","Senior citizen"))</f>
        <v>Senior citizen</v>
      </c>
      <c r="R803" s="7">
        <f>IF(Table1_1[[#This Row],[Marriedarital SingletatuSingle]]="M",Table1_1[[#This Row],[Children]]+2,Table1_1[[#This Row],[Children]]+1)</f>
        <v>5</v>
      </c>
      <c r="S803" s="4" t="str">
        <f>IF(Table1_1[[#This Row],[Cars]]=0,"No","Yes")</f>
        <v>Yes</v>
      </c>
      <c r="T803" s="6" t="str">
        <f>IF(AND(Table1_1[[#This Row],[Income]]&gt;50000,Table1_1[[#This Row],[Home Owner]]="Yes"),"High stability","Low stability")</f>
        <v>High stability</v>
      </c>
      <c r="U803" s="3">
        <f>Table1_1[[#This Row],[Income]]/Table1_1[[#This Row],[Family size]]</f>
        <v>14000</v>
      </c>
      <c r="V803" s="6" t="str">
        <f>IF(Table1_1[[#This Row],[Occupation]]="Skilled manual","Blue collar",IF(Table1_1[[#This Row],[Occupation]]="Manual","Blue collar","White collar"))</f>
        <v>White collar</v>
      </c>
    </row>
    <row r="804" spans="1:22" x14ac:dyDescent="0.3">
      <c r="A804" t="s">
        <v>838</v>
      </c>
      <c r="B804" s="6" t="s">
        <v>1042</v>
      </c>
      <c r="C804" s="6" t="s">
        <v>1046</v>
      </c>
      <c r="D804" s="3">
        <v>40000</v>
      </c>
      <c r="E804">
        <v>0</v>
      </c>
      <c r="F804" s="6" t="s">
        <v>19</v>
      </c>
      <c r="G804" s="6" t="s">
        <v>14</v>
      </c>
      <c r="H804" s="6" t="s">
        <v>15</v>
      </c>
      <c r="I804">
        <v>1</v>
      </c>
      <c r="J804" t="s">
        <v>23</v>
      </c>
      <c r="K80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04" s="6" t="s">
        <v>32</v>
      </c>
      <c r="M804" s="7">
        <v>27</v>
      </c>
      <c r="N804" t="s">
        <v>18</v>
      </c>
      <c r="O804" s="9" t="str">
        <f>IF(Table1_1[[#This Row],[Purchased Bike]]="yes","1","0")</f>
        <v>0</v>
      </c>
      <c r="P804" s="4" t="str">
        <f>IF(Table1_1[[#This Row],[Income]]&lt;=30000,"Low ",IF(Table1_1[[#This Row],[Income]]&lt;=70000,"Middle","High"))</f>
        <v>Middle</v>
      </c>
      <c r="Q804" s="6" t="str">
        <f>IF(Table1_1[[#This Row],[Age]]&lt;30,"Young",IF(Table1_1[[#This Row],[Age]]&lt;50,"Middle aged","Senior citizen"))</f>
        <v>Young</v>
      </c>
      <c r="R804" s="7">
        <f>IF(Table1_1[[#This Row],[Marriedarital SingletatuSingle]]="M",Table1_1[[#This Row],[Children]]+2,Table1_1[[#This Row],[Children]]+1)</f>
        <v>1</v>
      </c>
      <c r="S804" s="4" t="str">
        <f>IF(Table1_1[[#This Row],[Cars]]=0,"No","Yes")</f>
        <v>Yes</v>
      </c>
      <c r="T804" s="6" t="str">
        <f>IF(AND(Table1_1[[#This Row],[Income]]&gt;50000,Table1_1[[#This Row],[Home Owner]]="Yes"),"High stability","Low stability")</f>
        <v>Low stability</v>
      </c>
      <c r="U804" s="3">
        <f>Table1_1[[#This Row],[Income]]/Table1_1[[#This Row],[Family size]]</f>
        <v>40000</v>
      </c>
      <c r="V804" s="6" t="str">
        <f>IF(Table1_1[[#This Row],[Occupation]]="Skilled manual","Blue collar",IF(Table1_1[[#This Row],[Occupation]]="Manual","Blue collar","White collar"))</f>
        <v>Blue collar</v>
      </c>
    </row>
    <row r="805" spans="1:22" x14ac:dyDescent="0.3">
      <c r="A805" t="s">
        <v>839</v>
      </c>
      <c r="B805" s="6" t="s">
        <v>1042</v>
      </c>
      <c r="C805" s="6" t="s">
        <v>1046</v>
      </c>
      <c r="D805" s="3">
        <v>40000</v>
      </c>
      <c r="E805">
        <v>0</v>
      </c>
      <c r="F805" s="6" t="s">
        <v>27</v>
      </c>
      <c r="G805" s="6" t="s">
        <v>14</v>
      </c>
      <c r="H805" s="6" t="s">
        <v>15</v>
      </c>
      <c r="I805">
        <v>2</v>
      </c>
      <c r="J805" t="s">
        <v>23</v>
      </c>
      <c r="K80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05" s="6" t="s">
        <v>32</v>
      </c>
      <c r="M805" s="7">
        <v>28</v>
      </c>
      <c r="N805" t="s">
        <v>15</v>
      </c>
      <c r="O805" s="9" t="str">
        <f>IF(Table1_1[[#This Row],[Purchased Bike]]="yes","1","0")</f>
        <v>1</v>
      </c>
      <c r="P805" s="4" t="str">
        <f>IF(Table1_1[[#This Row],[Income]]&lt;=30000,"Low ",IF(Table1_1[[#This Row],[Income]]&lt;=70000,"Middle","High"))</f>
        <v>Middle</v>
      </c>
      <c r="Q805" s="6" t="str">
        <f>IF(Table1_1[[#This Row],[Age]]&lt;30,"Young",IF(Table1_1[[#This Row],[Age]]&lt;50,"Middle aged","Senior citizen"))</f>
        <v>Young</v>
      </c>
      <c r="R805" s="7">
        <f>IF(Table1_1[[#This Row],[Marriedarital SingletatuSingle]]="M",Table1_1[[#This Row],[Children]]+2,Table1_1[[#This Row],[Children]]+1)</f>
        <v>1</v>
      </c>
      <c r="S805" s="4" t="str">
        <f>IF(Table1_1[[#This Row],[Cars]]=0,"No","Yes")</f>
        <v>Yes</v>
      </c>
      <c r="T805" s="6" t="str">
        <f>IF(AND(Table1_1[[#This Row],[Income]]&gt;50000,Table1_1[[#This Row],[Home Owner]]="Yes"),"High stability","Low stability")</f>
        <v>Low stability</v>
      </c>
      <c r="U805" s="3">
        <f>Table1_1[[#This Row],[Income]]/Table1_1[[#This Row],[Family size]]</f>
        <v>40000</v>
      </c>
      <c r="V805" s="6" t="str">
        <f>IF(Table1_1[[#This Row],[Occupation]]="Skilled manual","Blue collar",IF(Table1_1[[#This Row],[Occupation]]="Manual","Blue collar","White collar"))</f>
        <v>Blue collar</v>
      </c>
    </row>
    <row r="806" spans="1:22" x14ac:dyDescent="0.3">
      <c r="A806" t="s">
        <v>840</v>
      </c>
      <c r="B806" s="6" t="s">
        <v>1042</v>
      </c>
      <c r="C806" s="6" t="s">
        <v>1046</v>
      </c>
      <c r="D806" s="3">
        <v>40000</v>
      </c>
      <c r="E806">
        <v>0</v>
      </c>
      <c r="F806" s="6" t="s">
        <v>27</v>
      </c>
      <c r="G806" s="6" t="s">
        <v>14</v>
      </c>
      <c r="H806" s="6" t="s">
        <v>18</v>
      </c>
      <c r="I806">
        <v>2</v>
      </c>
      <c r="J806" t="s">
        <v>16</v>
      </c>
      <c r="K80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06" s="6" t="s">
        <v>32</v>
      </c>
      <c r="M806" s="7">
        <v>27</v>
      </c>
      <c r="N806" t="s">
        <v>15</v>
      </c>
      <c r="O806" s="9" t="str">
        <f>IF(Table1_1[[#This Row],[Purchased Bike]]="yes","1","0")</f>
        <v>1</v>
      </c>
      <c r="P806" s="4" t="str">
        <f>IF(Table1_1[[#This Row],[Income]]&lt;=30000,"Low ",IF(Table1_1[[#This Row],[Income]]&lt;=70000,"Middle","High"))</f>
        <v>Middle</v>
      </c>
      <c r="Q806" s="6" t="str">
        <f>IF(Table1_1[[#This Row],[Age]]&lt;30,"Young",IF(Table1_1[[#This Row],[Age]]&lt;50,"Middle aged","Senior citizen"))</f>
        <v>Young</v>
      </c>
      <c r="R806" s="7">
        <f>IF(Table1_1[[#This Row],[Marriedarital SingletatuSingle]]="M",Table1_1[[#This Row],[Children]]+2,Table1_1[[#This Row],[Children]]+1)</f>
        <v>1</v>
      </c>
      <c r="S806" s="4" t="str">
        <f>IF(Table1_1[[#This Row],[Cars]]=0,"No","Yes")</f>
        <v>Yes</v>
      </c>
      <c r="T806" s="6" t="str">
        <f>IF(AND(Table1_1[[#This Row],[Income]]&gt;50000,Table1_1[[#This Row],[Home Owner]]="Yes"),"High stability","Low stability")</f>
        <v>Low stability</v>
      </c>
      <c r="U806" s="3">
        <f>Table1_1[[#This Row],[Income]]/Table1_1[[#This Row],[Family size]]</f>
        <v>40000</v>
      </c>
      <c r="V806" s="6" t="str">
        <f>IF(Table1_1[[#This Row],[Occupation]]="Skilled manual","Blue collar",IF(Table1_1[[#This Row],[Occupation]]="Manual","Blue collar","White collar"))</f>
        <v>Blue collar</v>
      </c>
    </row>
    <row r="807" spans="1:22" x14ac:dyDescent="0.3">
      <c r="A807" t="s">
        <v>841</v>
      </c>
      <c r="B807" s="6" t="s">
        <v>1044</v>
      </c>
      <c r="C807" s="6" t="s">
        <v>1045</v>
      </c>
      <c r="D807" s="3">
        <v>40000</v>
      </c>
      <c r="E807">
        <v>0</v>
      </c>
      <c r="F807" s="6" t="s">
        <v>27</v>
      </c>
      <c r="G807" s="6" t="s">
        <v>14</v>
      </c>
      <c r="H807" s="6" t="s">
        <v>15</v>
      </c>
      <c r="I807">
        <v>2</v>
      </c>
      <c r="J807" t="s">
        <v>23</v>
      </c>
      <c r="K80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07" s="6" t="s">
        <v>32</v>
      </c>
      <c r="M807" s="7">
        <v>31</v>
      </c>
      <c r="N807" t="s">
        <v>18</v>
      </c>
      <c r="O807" s="9" t="str">
        <f>IF(Table1_1[[#This Row],[Purchased Bike]]="yes","1","0")</f>
        <v>0</v>
      </c>
      <c r="P807" s="4" t="str">
        <f>IF(Table1_1[[#This Row],[Income]]&lt;=30000,"Low ",IF(Table1_1[[#This Row],[Income]]&lt;=70000,"Middle","High"))</f>
        <v>Middle</v>
      </c>
      <c r="Q807" s="6" t="str">
        <f>IF(Table1_1[[#This Row],[Age]]&lt;30,"Young",IF(Table1_1[[#This Row],[Age]]&lt;50,"Middle aged","Senior citizen"))</f>
        <v>Middle aged</v>
      </c>
      <c r="R807" s="7">
        <f>IF(Table1_1[[#This Row],[Marriedarital SingletatuSingle]]="M",Table1_1[[#This Row],[Children]]+2,Table1_1[[#This Row],[Children]]+1)</f>
        <v>1</v>
      </c>
      <c r="S807" s="4" t="str">
        <f>IF(Table1_1[[#This Row],[Cars]]=0,"No","Yes")</f>
        <v>Yes</v>
      </c>
      <c r="T807" s="6" t="str">
        <f>IF(AND(Table1_1[[#This Row],[Income]]&gt;50000,Table1_1[[#This Row],[Home Owner]]="Yes"),"High stability","Low stability")</f>
        <v>Low stability</v>
      </c>
      <c r="U807" s="3">
        <f>Table1_1[[#This Row],[Income]]/Table1_1[[#This Row],[Family size]]</f>
        <v>40000</v>
      </c>
      <c r="V807" s="6" t="str">
        <f>IF(Table1_1[[#This Row],[Occupation]]="Skilled manual","Blue collar",IF(Table1_1[[#This Row],[Occupation]]="Manual","Blue collar","White collar"))</f>
        <v>Blue collar</v>
      </c>
    </row>
    <row r="808" spans="1:22" x14ac:dyDescent="0.3">
      <c r="A808" t="s">
        <v>842</v>
      </c>
      <c r="B808" s="6" t="s">
        <v>1042</v>
      </c>
      <c r="C808" s="6" t="s">
        <v>1045</v>
      </c>
      <c r="D808" s="3">
        <v>10000</v>
      </c>
      <c r="E808">
        <v>2</v>
      </c>
      <c r="F808" s="6" t="s">
        <v>27</v>
      </c>
      <c r="G808" s="6" t="s">
        <v>25</v>
      </c>
      <c r="H808" s="6" t="s">
        <v>15</v>
      </c>
      <c r="I808">
        <v>2</v>
      </c>
      <c r="J808" t="s">
        <v>26</v>
      </c>
      <c r="K80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08" s="6" t="s">
        <v>32</v>
      </c>
      <c r="M808" s="7">
        <v>53</v>
      </c>
      <c r="N808" t="s">
        <v>18</v>
      </c>
      <c r="O808" s="9" t="str">
        <f>IF(Table1_1[[#This Row],[Purchased Bike]]="yes","1","0")</f>
        <v>0</v>
      </c>
      <c r="P808" s="4" t="str">
        <f>IF(Table1_1[[#This Row],[Income]]&lt;=30000,"Low ",IF(Table1_1[[#This Row],[Income]]&lt;=70000,"Middle","High"))</f>
        <v xml:space="preserve">Low </v>
      </c>
      <c r="Q808" s="6" t="str">
        <f>IF(Table1_1[[#This Row],[Age]]&lt;30,"Young",IF(Table1_1[[#This Row],[Age]]&lt;50,"Middle aged","Senior citizen"))</f>
        <v>Senior citizen</v>
      </c>
      <c r="R808" s="7">
        <f>IF(Table1_1[[#This Row],[Marriedarital SingletatuSingle]]="M",Table1_1[[#This Row],[Children]]+2,Table1_1[[#This Row],[Children]]+1)</f>
        <v>3</v>
      </c>
      <c r="S808" s="4" t="str">
        <f>IF(Table1_1[[#This Row],[Cars]]=0,"No","Yes")</f>
        <v>Yes</v>
      </c>
      <c r="T808" s="6" t="str">
        <f>IF(AND(Table1_1[[#This Row],[Income]]&gt;50000,Table1_1[[#This Row],[Home Owner]]="Yes"),"High stability","Low stability")</f>
        <v>Low stability</v>
      </c>
      <c r="U808" s="3">
        <f>Table1_1[[#This Row],[Income]]/Table1_1[[#This Row],[Family size]]</f>
        <v>3333.3333333333335</v>
      </c>
      <c r="V808" s="6" t="str">
        <f>IF(Table1_1[[#This Row],[Occupation]]="Skilled manual","Blue collar",IF(Table1_1[[#This Row],[Occupation]]="Manual","Blue collar","White collar"))</f>
        <v>Blue collar</v>
      </c>
    </row>
    <row r="809" spans="1:22" x14ac:dyDescent="0.3">
      <c r="A809" t="s">
        <v>843</v>
      </c>
      <c r="B809" s="6" t="s">
        <v>1044</v>
      </c>
      <c r="C809" s="6" t="s">
        <v>1045</v>
      </c>
      <c r="D809" s="3">
        <v>60000</v>
      </c>
      <c r="E809">
        <v>0</v>
      </c>
      <c r="F809" s="6" t="s">
        <v>19</v>
      </c>
      <c r="G809" s="6" t="s">
        <v>21</v>
      </c>
      <c r="H809" s="6" t="s">
        <v>18</v>
      </c>
      <c r="I809">
        <v>2</v>
      </c>
      <c r="J809" t="s">
        <v>26</v>
      </c>
      <c r="K80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09" s="6" t="s">
        <v>32</v>
      </c>
      <c r="M809" s="7">
        <v>32</v>
      </c>
      <c r="N809" t="s">
        <v>15</v>
      </c>
      <c r="O809" s="9" t="str">
        <f>IF(Table1_1[[#This Row],[Purchased Bike]]="yes","1","0")</f>
        <v>1</v>
      </c>
      <c r="P809" s="4" t="str">
        <f>IF(Table1_1[[#This Row],[Income]]&lt;=30000,"Low ",IF(Table1_1[[#This Row],[Income]]&lt;=70000,"Middle","High"))</f>
        <v>Middle</v>
      </c>
      <c r="Q809" s="6" t="str">
        <f>IF(Table1_1[[#This Row],[Age]]&lt;30,"Young",IF(Table1_1[[#This Row],[Age]]&lt;50,"Middle aged","Senior citizen"))</f>
        <v>Middle aged</v>
      </c>
      <c r="R809" s="7">
        <f>IF(Table1_1[[#This Row],[Marriedarital SingletatuSingle]]="M",Table1_1[[#This Row],[Children]]+2,Table1_1[[#This Row],[Children]]+1)</f>
        <v>1</v>
      </c>
      <c r="S809" s="4" t="str">
        <f>IF(Table1_1[[#This Row],[Cars]]=0,"No","Yes")</f>
        <v>Yes</v>
      </c>
      <c r="T809" s="6" t="str">
        <f>IF(AND(Table1_1[[#This Row],[Income]]&gt;50000,Table1_1[[#This Row],[Home Owner]]="Yes"),"High stability","Low stability")</f>
        <v>Low stability</v>
      </c>
      <c r="U809" s="3">
        <f>Table1_1[[#This Row],[Income]]/Table1_1[[#This Row],[Family size]]</f>
        <v>60000</v>
      </c>
      <c r="V809" s="6" t="str">
        <f>IF(Table1_1[[#This Row],[Occupation]]="Skilled manual","Blue collar",IF(Table1_1[[#This Row],[Occupation]]="Manual","Blue collar","White collar"))</f>
        <v>White collar</v>
      </c>
    </row>
    <row r="810" spans="1:22" x14ac:dyDescent="0.3">
      <c r="A810" t="s">
        <v>844</v>
      </c>
      <c r="B810" s="6" t="s">
        <v>1044</v>
      </c>
      <c r="C810" s="6" t="s">
        <v>1046</v>
      </c>
      <c r="D810" s="3">
        <v>30000</v>
      </c>
      <c r="E810">
        <v>2</v>
      </c>
      <c r="F810" s="6" t="s">
        <v>27</v>
      </c>
      <c r="G810" s="6" t="s">
        <v>14</v>
      </c>
      <c r="H810" s="6" t="s">
        <v>15</v>
      </c>
      <c r="I810">
        <v>2</v>
      </c>
      <c r="J810" t="s">
        <v>26</v>
      </c>
      <c r="K8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10" s="6" t="s">
        <v>32</v>
      </c>
      <c r="M810" s="7">
        <v>50</v>
      </c>
      <c r="N810" t="s">
        <v>15</v>
      </c>
      <c r="O810" s="9" t="str">
        <f>IF(Table1_1[[#This Row],[Purchased Bike]]="yes","1","0")</f>
        <v>1</v>
      </c>
      <c r="P810" s="4" t="str">
        <f>IF(Table1_1[[#This Row],[Income]]&lt;=30000,"Low ",IF(Table1_1[[#This Row],[Income]]&lt;=70000,"Middle","High"))</f>
        <v xml:space="preserve">Low </v>
      </c>
      <c r="Q810" s="6" t="str">
        <f>IF(Table1_1[[#This Row],[Age]]&lt;30,"Young",IF(Table1_1[[#This Row],[Age]]&lt;50,"Middle aged","Senior citizen"))</f>
        <v>Senior citizen</v>
      </c>
      <c r="R810" s="7">
        <f>IF(Table1_1[[#This Row],[Marriedarital SingletatuSingle]]="M",Table1_1[[#This Row],[Children]]+2,Table1_1[[#This Row],[Children]]+1)</f>
        <v>3</v>
      </c>
      <c r="S810" s="4" t="str">
        <f>IF(Table1_1[[#This Row],[Cars]]=0,"No","Yes")</f>
        <v>Yes</v>
      </c>
      <c r="T810" s="6" t="str">
        <f>IF(AND(Table1_1[[#This Row],[Income]]&gt;50000,Table1_1[[#This Row],[Home Owner]]="Yes"),"High stability","Low stability")</f>
        <v>Low stability</v>
      </c>
      <c r="U810" s="3">
        <f>Table1_1[[#This Row],[Income]]/Table1_1[[#This Row],[Family size]]</f>
        <v>10000</v>
      </c>
      <c r="V810" s="6" t="str">
        <f>IF(Table1_1[[#This Row],[Occupation]]="Skilled manual","Blue collar",IF(Table1_1[[#This Row],[Occupation]]="Manual","Blue collar","White collar"))</f>
        <v>Blue collar</v>
      </c>
    </row>
    <row r="811" spans="1:22" x14ac:dyDescent="0.3">
      <c r="A811" t="s">
        <v>845</v>
      </c>
      <c r="B811" s="6" t="s">
        <v>1042</v>
      </c>
      <c r="C811" s="6" t="s">
        <v>1045</v>
      </c>
      <c r="D811" s="3">
        <v>40000</v>
      </c>
      <c r="E811">
        <v>4</v>
      </c>
      <c r="F811" s="6" t="s">
        <v>27</v>
      </c>
      <c r="G811" s="6" t="s">
        <v>21</v>
      </c>
      <c r="H811" s="6" t="s">
        <v>15</v>
      </c>
      <c r="I811">
        <v>2</v>
      </c>
      <c r="J811" t="s">
        <v>23</v>
      </c>
      <c r="K8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11" s="6" t="s">
        <v>32</v>
      </c>
      <c r="M811" s="7">
        <v>69</v>
      </c>
      <c r="N811" t="s">
        <v>18</v>
      </c>
      <c r="O811" s="9" t="str">
        <f>IF(Table1_1[[#This Row],[Purchased Bike]]="yes","1","0")</f>
        <v>0</v>
      </c>
      <c r="P811" s="4" t="str">
        <f>IF(Table1_1[[#This Row],[Income]]&lt;=30000,"Low ",IF(Table1_1[[#This Row],[Income]]&lt;=70000,"Middle","High"))</f>
        <v>Middle</v>
      </c>
      <c r="Q811" s="6" t="str">
        <f>IF(Table1_1[[#This Row],[Age]]&lt;30,"Young",IF(Table1_1[[#This Row],[Age]]&lt;50,"Middle aged","Senior citizen"))</f>
        <v>Senior citizen</v>
      </c>
      <c r="R811" s="7">
        <f>IF(Table1_1[[#This Row],[Marriedarital SingletatuSingle]]="M",Table1_1[[#This Row],[Children]]+2,Table1_1[[#This Row],[Children]]+1)</f>
        <v>5</v>
      </c>
      <c r="S811" s="4" t="str">
        <f>IF(Table1_1[[#This Row],[Cars]]=0,"No","Yes")</f>
        <v>Yes</v>
      </c>
      <c r="T811" s="6" t="str">
        <f>IF(AND(Table1_1[[#This Row],[Income]]&gt;50000,Table1_1[[#This Row],[Home Owner]]="Yes"),"High stability","Low stability")</f>
        <v>Low stability</v>
      </c>
      <c r="U811" s="3">
        <f>Table1_1[[#This Row],[Income]]/Table1_1[[#This Row],[Family size]]</f>
        <v>8000</v>
      </c>
      <c r="V811" s="6" t="str">
        <f>IF(Table1_1[[#This Row],[Occupation]]="Skilled manual","Blue collar",IF(Table1_1[[#This Row],[Occupation]]="Manual","Blue collar","White collar"))</f>
        <v>White collar</v>
      </c>
    </row>
    <row r="812" spans="1:22" x14ac:dyDescent="0.3">
      <c r="A812" t="s">
        <v>846</v>
      </c>
      <c r="B812" s="6" t="s">
        <v>1044</v>
      </c>
      <c r="C812" s="6" t="s">
        <v>1045</v>
      </c>
      <c r="D812" s="3">
        <v>70000</v>
      </c>
      <c r="E812">
        <v>3</v>
      </c>
      <c r="F812" s="6" t="s">
        <v>31</v>
      </c>
      <c r="G812" s="6" t="s">
        <v>28</v>
      </c>
      <c r="H812" s="6" t="s">
        <v>15</v>
      </c>
      <c r="I812">
        <v>2</v>
      </c>
      <c r="J812" t="s">
        <v>23</v>
      </c>
      <c r="K8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12" s="6" t="s">
        <v>32</v>
      </c>
      <c r="M812" s="7">
        <v>52</v>
      </c>
      <c r="N812" t="s">
        <v>15</v>
      </c>
      <c r="O812" s="9" t="str">
        <f>IF(Table1_1[[#This Row],[Purchased Bike]]="yes","1","0")</f>
        <v>1</v>
      </c>
      <c r="P812" s="4" t="str">
        <f>IF(Table1_1[[#This Row],[Income]]&lt;=30000,"Low ",IF(Table1_1[[#This Row],[Income]]&lt;=70000,"Middle","High"))</f>
        <v>Middle</v>
      </c>
      <c r="Q812" s="6" t="str">
        <f>IF(Table1_1[[#This Row],[Age]]&lt;30,"Young",IF(Table1_1[[#This Row],[Age]]&lt;50,"Middle aged","Senior citizen"))</f>
        <v>Senior citizen</v>
      </c>
      <c r="R812" s="7">
        <f>IF(Table1_1[[#This Row],[Marriedarital SingletatuSingle]]="M",Table1_1[[#This Row],[Children]]+2,Table1_1[[#This Row],[Children]]+1)</f>
        <v>4</v>
      </c>
      <c r="S812" s="4" t="str">
        <f>IF(Table1_1[[#This Row],[Cars]]=0,"No","Yes")</f>
        <v>Yes</v>
      </c>
      <c r="T812" s="6" t="str">
        <f>IF(AND(Table1_1[[#This Row],[Income]]&gt;50000,Table1_1[[#This Row],[Home Owner]]="Yes"),"High stability","Low stability")</f>
        <v>High stability</v>
      </c>
      <c r="U812" s="3">
        <f>Table1_1[[#This Row],[Income]]/Table1_1[[#This Row],[Family size]]</f>
        <v>17500</v>
      </c>
      <c r="V812" s="6" t="str">
        <f>IF(Table1_1[[#This Row],[Occupation]]="Skilled manual","Blue collar",IF(Table1_1[[#This Row],[Occupation]]="Manual","Blue collar","White collar"))</f>
        <v>White collar</v>
      </c>
    </row>
    <row r="813" spans="1:22" x14ac:dyDescent="0.3">
      <c r="A813" t="s">
        <v>847</v>
      </c>
      <c r="B813" s="6" t="s">
        <v>1042</v>
      </c>
      <c r="C813" s="6" t="s">
        <v>1046</v>
      </c>
      <c r="D813" s="3">
        <v>60000</v>
      </c>
      <c r="E813">
        <v>0</v>
      </c>
      <c r="F813" s="6" t="s">
        <v>19</v>
      </c>
      <c r="G813" s="6" t="s">
        <v>14</v>
      </c>
      <c r="H813" s="6" t="s">
        <v>18</v>
      </c>
      <c r="I813">
        <v>2</v>
      </c>
      <c r="J813" t="s">
        <v>26</v>
      </c>
      <c r="K8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13" s="6" t="s">
        <v>32</v>
      </c>
      <c r="M813" s="7">
        <v>31</v>
      </c>
      <c r="N813" t="s">
        <v>18</v>
      </c>
      <c r="O813" s="9" t="str">
        <f>IF(Table1_1[[#This Row],[Purchased Bike]]="yes","1","0")</f>
        <v>0</v>
      </c>
      <c r="P813" s="4" t="str">
        <f>IF(Table1_1[[#This Row],[Income]]&lt;=30000,"Low ",IF(Table1_1[[#This Row],[Income]]&lt;=70000,"Middle","High"))</f>
        <v>Middle</v>
      </c>
      <c r="Q813" s="6" t="str">
        <f>IF(Table1_1[[#This Row],[Age]]&lt;30,"Young",IF(Table1_1[[#This Row],[Age]]&lt;50,"Middle aged","Senior citizen"))</f>
        <v>Middle aged</v>
      </c>
      <c r="R813" s="7">
        <f>IF(Table1_1[[#This Row],[Marriedarital SingletatuSingle]]="M",Table1_1[[#This Row],[Children]]+2,Table1_1[[#This Row],[Children]]+1)</f>
        <v>1</v>
      </c>
      <c r="S813" s="4" t="str">
        <f>IF(Table1_1[[#This Row],[Cars]]=0,"No","Yes")</f>
        <v>Yes</v>
      </c>
      <c r="T813" s="6" t="str">
        <f>IF(AND(Table1_1[[#This Row],[Income]]&gt;50000,Table1_1[[#This Row],[Home Owner]]="Yes"),"High stability","Low stability")</f>
        <v>Low stability</v>
      </c>
      <c r="U813" s="3">
        <f>Table1_1[[#This Row],[Income]]/Table1_1[[#This Row],[Family size]]</f>
        <v>60000</v>
      </c>
      <c r="V813" s="6" t="str">
        <f>IF(Table1_1[[#This Row],[Occupation]]="Skilled manual","Blue collar",IF(Table1_1[[#This Row],[Occupation]]="Manual","Blue collar","White collar"))</f>
        <v>Blue collar</v>
      </c>
    </row>
    <row r="814" spans="1:22" x14ac:dyDescent="0.3">
      <c r="A814" t="s">
        <v>848</v>
      </c>
      <c r="B814" s="6" t="s">
        <v>1044</v>
      </c>
      <c r="C814" s="6" t="s">
        <v>1045</v>
      </c>
      <c r="D814" s="3">
        <v>70000</v>
      </c>
      <c r="E814">
        <v>4</v>
      </c>
      <c r="F814" s="6" t="s">
        <v>13</v>
      </c>
      <c r="G814" s="6" t="s">
        <v>28</v>
      </c>
      <c r="H814" s="6" t="s">
        <v>15</v>
      </c>
      <c r="I814">
        <v>2</v>
      </c>
      <c r="J814" t="s">
        <v>30</v>
      </c>
      <c r="K8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814" s="6" t="s">
        <v>32</v>
      </c>
      <c r="M814" s="7">
        <v>61</v>
      </c>
      <c r="N814" t="s">
        <v>18</v>
      </c>
      <c r="O814" s="9" t="str">
        <f>IF(Table1_1[[#This Row],[Purchased Bike]]="yes","1","0")</f>
        <v>0</v>
      </c>
      <c r="P814" s="4" t="str">
        <f>IF(Table1_1[[#This Row],[Income]]&lt;=30000,"Low ",IF(Table1_1[[#This Row],[Income]]&lt;=70000,"Middle","High"))</f>
        <v>Middle</v>
      </c>
      <c r="Q814" s="6" t="str">
        <f>IF(Table1_1[[#This Row],[Age]]&lt;30,"Young",IF(Table1_1[[#This Row],[Age]]&lt;50,"Middle aged","Senior citizen"))</f>
        <v>Senior citizen</v>
      </c>
      <c r="R814" s="7">
        <f>IF(Table1_1[[#This Row],[Marriedarital SingletatuSingle]]="M",Table1_1[[#This Row],[Children]]+2,Table1_1[[#This Row],[Children]]+1)</f>
        <v>5</v>
      </c>
      <c r="S814" s="4" t="str">
        <f>IF(Table1_1[[#This Row],[Cars]]=0,"No","Yes")</f>
        <v>Yes</v>
      </c>
      <c r="T814" s="6" t="str">
        <f>IF(AND(Table1_1[[#This Row],[Income]]&gt;50000,Table1_1[[#This Row],[Home Owner]]="Yes"),"High stability","Low stability")</f>
        <v>High stability</v>
      </c>
      <c r="U814" s="3">
        <f>Table1_1[[#This Row],[Income]]/Table1_1[[#This Row],[Family size]]</f>
        <v>14000</v>
      </c>
      <c r="V814" s="6" t="str">
        <f>IF(Table1_1[[#This Row],[Occupation]]="Skilled manual","Blue collar",IF(Table1_1[[#This Row],[Occupation]]="Manual","Blue collar","White collar"))</f>
        <v>White collar</v>
      </c>
    </row>
    <row r="815" spans="1:22" x14ac:dyDescent="0.3">
      <c r="A815" t="s">
        <v>849</v>
      </c>
      <c r="B815" s="6" t="s">
        <v>1042</v>
      </c>
      <c r="C815" s="6" t="s">
        <v>1045</v>
      </c>
      <c r="D815" s="3">
        <v>70000</v>
      </c>
      <c r="E815">
        <v>2</v>
      </c>
      <c r="F815" s="6" t="s">
        <v>27</v>
      </c>
      <c r="G815" s="6" t="s">
        <v>21</v>
      </c>
      <c r="H815" s="6" t="s">
        <v>15</v>
      </c>
      <c r="I815">
        <v>2</v>
      </c>
      <c r="J815" t="s">
        <v>30</v>
      </c>
      <c r="K8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815" s="6" t="s">
        <v>32</v>
      </c>
      <c r="M815" s="7">
        <v>53</v>
      </c>
      <c r="N815" t="s">
        <v>18</v>
      </c>
      <c r="O815" s="9" t="str">
        <f>IF(Table1_1[[#This Row],[Purchased Bike]]="yes","1","0")</f>
        <v>0</v>
      </c>
      <c r="P815" s="4" t="str">
        <f>IF(Table1_1[[#This Row],[Income]]&lt;=30000,"Low ",IF(Table1_1[[#This Row],[Income]]&lt;=70000,"Middle","High"))</f>
        <v>Middle</v>
      </c>
      <c r="Q815" s="6" t="str">
        <f>IF(Table1_1[[#This Row],[Age]]&lt;30,"Young",IF(Table1_1[[#This Row],[Age]]&lt;50,"Middle aged","Senior citizen"))</f>
        <v>Senior citizen</v>
      </c>
      <c r="R815" s="7">
        <f>IF(Table1_1[[#This Row],[Marriedarital SingletatuSingle]]="M",Table1_1[[#This Row],[Children]]+2,Table1_1[[#This Row],[Children]]+1)</f>
        <v>3</v>
      </c>
      <c r="S815" s="4" t="str">
        <f>IF(Table1_1[[#This Row],[Cars]]=0,"No","Yes")</f>
        <v>Yes</v>
      </c>
      <c r="T815" s="6" t="str">
        <f>IF(AND(Table1_1[[#This Row],[Income]]&gt;50000,Table1_1[[#This Row],[Home Owner]]="Yes"),"High stability","Low stability")</f>
        <v>High stability</v>
      </c>
      <c r="U815" s="3">
        <f>Table1_1[[#This Row],[Income]]/Table1_1[[#This Row],[Family size]]</f>
        <v>23333.333333333332</v>
      </c>
      <c r="V815" s="6" t="str">
        <f>IF(Table1_1[[#This Row],[Occupation]]="Skilled manual","Blue collar",IF(Table1_1[[#This Row],[Occupation]]="Manual","Blue collar","White collar"))</f>
        <v>White collar</v>
      </c>
    </row>
    <row r="816" spans="1:22" x14ac:dyDescent="0.3">
      <c r="A816" t="s">
        <v>850</v>
      </c>
      <c r="B816" s="6" t="s">
        <v>1044</v>
      </c>
      <c r="C816" s="6" t="s">
        <v>1045</v>
      </c>
      <c r="D816" s="3">
        <v>70000</v>
      </c>
      <c r="E816">
        <v>4</v>
      </c>
      <c r="F816" s="6" t="s">
        <v>13</v>
      </c>
      <c r="G816" s="6" t="s">
        <v>28</v>
      </c>
      <c r="H816" s="6" t="s">
        <v>15</v>
      </c>
      <c r="I816">
        <v>2</v>
      </c>
      <c r="J816" t="s">
        <v>26</v>
      </c>
      <c r="K8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16" s="6" t="s">
        <v>32</v>
      </c>
      <c r="M816" s="7">
        <v>62</v>
      </c>
      <c r="N816" t="s">
        <v>15</v>
      </c>
      <c r="O816" s="9" t="str">
        <f>IF(Table1_1[[#This Row],[Purchased Bike]]="yes","1","0")</f>
        <v>1</v>
      </c>
      <c r="P816" s="4" t="str">
        <f>IF(Table1_1[[#This Row],[Income]]&lt;=30000,"Low ",IF(Table1_1[[#This Row],[Income]]&lt;=70000,"Middle","High"))</f>
        <v>Middle</v>
      </c>
      <c r="Q816" s="6" t="str">
        <f>IF(Table1_1[[#This Row],[Age]]&lt;30,"Young",IF(Table1_1[[#This Row],[Age]]&lt;50,"Middle aged","Senior citizen"))</f>
        <v>Senior citizen</v>
      </c>
      <c r="R816" s="7">
        <f>IF(Table1_1[[#This Row],[Marriedarital SingletatuSingle]]="M",Table1_1[[#This Row],[Children]]+2,Table1_1[[#This Row],[Children]]+1)</f>
        <v>5</v>
      </c>
      <c r="S816" s="4" t="str">
        <f>IF(Table1_1[[#This Row],[Cars]]=0,"No","Yes")</f>
        <v>Yes</v>
      </c>
      <c r="T816" s="6" t="str">
        <f>IF(AND(Table1_1[[#This Row],[Income]]&gt;50000,Table1_1[[#This Row],[Home Owner]]="Yes"),"High stability","Low stability")</f>
        <v>High stability</v>
      </c>
      <c r="U816" s="3">
        <f>Table1_1[[#This Row],[Income]]/Table1_1[[#This Row],[Family size]]</f>
        <v>14000</v>
      </c>
      <c r="V816" s="6" t="str">
        <f>IF(Table1_1[[#This Row],[Occupation]]="Skilled manual","Blue collar",IF(Table1_1[[#This Row],[Occupation]]="Manual","Blue collar","White collar"))</f>
        <v>White collar</v>
      </c>
    </row>
    <row r="817" spans="1:22" x14ac:dyDescent="0.3">
      <c r="A817" t="s">
        <v>851</v>
      </c>
      <c r="B817" s="6" t="s">
        <v>1042</v>
      </c>
      <c r="C817" s="6" t="s">
        <v>1046</v>
      </c>
      <c r="D817" s="3">
        <v>40000</v>
      </c>
      <c r="E817">
        <v>0</v>
      </c>
      <c r="F817" s="6" t="s">
        <v>19</v>
      </c>
      <c r="G817" s="6" t="s">
        <v>14</v>
      </c>
      <c r="H817" s="6" t="s">
        <v>18</v>
      </c>
      <c r="I817">
        <v>2</v>
      </c>
      <c r="J817" t="s">
        <v>26</v>
      </c>
      <c r="K8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17" s="6" t="s">
        <v>32</v>
      </c>
      <c r="M817" s="7">
        <v>30</v>
      </c>
      <c r="N817" t="s">
        <v>18</v>
      </c>
      <c r="O817" s="9" t="str">
        <f>IF(Table1_1[[#This Row],[Purchased Bike]]="yes","1","0")</f>
        <v>0</v>
      </c>
      <c r="P817" s="4" t="str">
        <f>IF(Table1_1[[#This Row],[Income]]&lt;=30000,"Low ",IF(Table1_1[[#This Row],[Income]]&lt;=70000,"Middle","High"))</f>
        <v>Middle</v>
      </c>
      <c r="Q817" s="6" t="str">
        <f>IF(Table1_1[[#This Row],[Age]]&lt;30,"Young",IF(Table1_1[[#This Row],[Age]]&lt;50,"Middle aged","Senior citizen"))</f>
        <v>Middle aged</v>
      </c>
      <c r="R817" s="7">
        <f>IF(Table1_1[[#This Row],[Marriedarital SingletatuSingle]]="M",Table1_1[[#This Row],[Children]]+2,Table1_1[[#This Row],[Children]]+1)</f>
        <v>1</v>
      </c>
      <c r="S817" s="4" t="str">
        <f>IF(Table1_1[[#This Row],[Cars]]=0,"No","Yes")</f>
        <v>Yes</v>
      </c>
      <c r="T817" s="6" t="str">
        <f>IF(AND(Table1_1[[#This Row],[Income]]&gt;50000,Table1_1[[#This Row],[Home Owner]]="Yes"),"High stability","Low stability")</f>
        <v>Low stability</v>
      </c>
      <c r="U817" s="3">
        <f>Table1_1[[#This Row],[Income]]/Table1_1[[#This Row],[Family size]]</f>
        <v>40000</v>
      </c>
      <c r="V817" s="6" t="str">
        <f>IF(Table1_1[[#This Row],[Occupation]]="Skilled manual","Blue collar",IF(Table1_1[[#This Row],[Occupation]]="Manual","Blue collar","White collar"))</f>
        <v>Blue collar</v>
      </c>
    </row>
    <row r="818" spans="1:22" x14ac:dyDescent="0.3">
      <c r="A818" t="s">
        <v>852</v>
      </c>
      <c r="B818" s="6" t="s">
        <v>1042</v>
      </c>
      <c r="C818" s="6" t="s">
        <v>1045</v>
      </c>
      <c r="D818" s="3">
        <v>60000</v>
      </c>
      <c r="E818">
        <v>3</v>
      </c>
      <c r="F818" s="6" t="s">
        <v>31</v>
      </c>
      <c r="G818" s="6" t="s">
        <v>21</v>
      </c>
      <c r="H818" s="6" t="s">
        <v>15</v>
      </c>
      <c r="I818">
        <v>0</v>
      </c>
      <c r="J818" t="s">
        <v>22</v>
      </c>
      <c r="K8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18" s="6" t="s">
        <v>32</v>
      </c>
      <c r="M818" s="7">
        <v>43</v>
      </c>
      <c r="N818" t="s">
        <v>15</v>
      </c>
      <c r="O818" s="9" t="str">
        <f>IF(Table1_1[[#This Row],[Purchased Bike]]="yes","1","0")</f>
        <v>1</v>
      </c>
      <c r="P818" s="4" t="str">
        <f>IF(Table1_1[[#This Row],[Income]]&lt;=30000,"Low ",IF(Table1_1[[#This Row],[Income]]&lt;=70000,"Middle","High"))</f>
        <v>Middle</v>
      </c>
      <c r="Q818" s="6" t="str">
        <f>IF(Table1_1[[#This Row],[Age]]&lt;30,"Young",IF(Table1_1[[#This Row],[Age]]&lt;50,"Middle aged","Senior citizen"))</f>
        <v>Middle aged</v>
      </c>
      <c r="R818" s="7">
        <f>IF(Table1_1[[#This Row],[Marriedarital SingletatuSingle]]="M",Table1_1[[#This Row],[Children]]+2,Table1_1[[#This Row],[Children]]+1)</f>
        <v>4</v>
      </c>
      <c r="S818" s="4" t="str">
        <f>IF(Table1_1[[#This Row],[Cars]]=0,"No","Yes")</f>
        <v>No</v>
      </c>
      <c r="T818" s="6" t="str">
        <f>IF(AND(Table1_1[[#This Row],[Income]]&gt;50000,Table1_1[[#This Row],[Home Owner]]="Yes"),"High stability","Low stability")</f>
        <v>High stability</v>
      </c>
      <c r="U818" s="3">
        <f>Table1_1[[#This Row],[Income]]/Table1_1[[#This Row],[Family size]]</f>
        <v>15000</v>
      </c>
      <c r="V818" s="6" t="str">
        <f>IF(Table1_1[[#This Row],[Occupation]]="Skilled manual","Blue collar",IF(Table1_1[[#This Row],[Occupation]]="Manual","Blue collar","White collar"))</f>
        <v>White collar</v>
      </c>
    </row>
    <row r="819" spans="1:22" x14ac:dyDescent="0.3">
      <c r="A819" t="s">
        <v>853</v>
      </c>
      <c r="B819" s="6" t="s">
        <v>1042</v>
      </c>
      <c r="C819" s="6" t="s">
        <v>1045</v>
      </c>
      <c r="D819" s="3">
        <v>60000</v>
      </c>
      <c r="E819">
        <v>3</v>
      </c>
      <c r="F819" s="6" t="s">
        <v>31</v>
      </c>
      <c r="G819" s="6" t="s">
        <v>21</v>
      </c>
      <c r="H819" s="6" t="s">
        <v>15</v>
      </c>
      <c r="I819">
        <v>0</v>
      </c>
      <c r="J819" t="s">
        <v>22</v>
      </c>
      <c r="K8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19" s="6" t="s">
        <v>32</v>
      </c>
      <c r="M819" s="7">
        <v>42</v>
      </c>
      <c r="N819" t="s">
        <v>15</v>
      </c>
      <c r="O819" s="9" t="str">
        <f>IF(Table1_1[[#This Row],[Purchased Bike]]="yes","1","0")</f>
        <v>1</v>
      </c>
      <c r="P819" s="4" t="str">
        <f>IF(Table1_1[[#This Row],[Income]]&lt;=30000,"Low ",IF(Table1_1[[#This Row],[Income]]&lt;=70000,"Middle","High"))</f>
        <v>Middle</v>
      </c>
      <c r="Q819" s="6" t="str">
        <f>IF(Table1_1[[#This Row],[Age]]&lt;30,"Young",IF(Table1_1[[#This Row],[Age]]&lt;50,"Middle aged","Senior citizen"))</f>
        <v>Middle aged</v>
      </c>
      <c r="R819" s="7">
        <f>IF(Table1_1[[#This Row],[Marriedarital SingletatuSingle]]="M",Table1_1[[#This Row],[Children]]+2,Table1_1[[#This Row],[Children]]+1)</f>
        <v>4</v>
      </c>
      <c r="S819" s="4" t="str">
        <f>IF(Table1_1[[#This Row],[Cars]]=0,"No","Yes")</f>
        <v>No</v>
      </c>
      <c r="T819" s="6" t="str">
        <f>IF(AND(Table1_1[[#This Row],[Income]]&gt;50000,Table1_1[[#This Row],[Home Owner]]="Yes"),"High stability","Low stability")</f>
        <v>High stability</v>
      </c>
      <c r="U819" s="3">
        <f>Table1_1[[#This Row],[Income]]/Table1_1[[#This Row],[Family size]]</f>
        <v>15000</v>
      </c>
      <c r="V819" s="6" t="str">
        <f>IF(Table1_1[[#This Row],[Occupation]]="Skilled manual","Blue collar",IF(Table1_1[[#This Row],[Occupation]]="Manual","Blue collar","White collar"))</f>
        <v>White collar</v>
      </c>
    </row>
    <row r="820" spans="1:22" x14ac:dyDescent="0.3">
      <c r="A820" t="s">
        <v>854</v>
      </c>
      <c r="B820" s="6" t="s">
        <v>1042</v>
      </c>
      <c r="C820" s="6" t="s">
        <v>1046</v>
      </c>
      <c r="D820" s="3">
        <v>40000</v>
      </c>
      <c r="E820">
        <v>0</v>
      </c>
      <c r="F820" s="6" t="s">
        <v>19</v>
      </c>
      <c r="G820" s="6" t="s">
        <v>14</v>
      </c>
      <c r="H820" s="6" t="s">
        <v>15</v>
      </c>
      <c r="I820">
        <v>1</v>
      </c>
      <c r="J820" t="s">
        <v>23</v>
      </c>
      <c r="K8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20" s="6" t="s">
        <v>32</v>
      </c>
      <c r="M820" s="7">
        <v>30</v>
      </c>
      <c r="N820" t="s">
        <v>18</v>
      </c>
      <c r="O820" s="9" t="str">
        <f>IF(Table1_1[[#This Row],[Purchased Bike]]="yes","1","0")</f>
        <v>0</v>
      </c>
      <c r="P820" s="4" t="str">
        <f>IF(Table1_1[[#This Row],[Income]]&lt;=30000,"Low ",IF(Table1_1[[#This Row],[Income]]&lt;=70000,"Middle","High"))</f>
        <v>Middle</v>
      </c>
      <c r="Q820" s="6" t="str">
        <f>IF(Table1_1[[#This Row],[Age]]&lt;30,"Young",IF(Table1_1[[#This Row],[Age]]&lt;50,"Middle aged","Senior citizen"))</f>
        <v>Middle aged</v>
      </c>
      <c r="R820" s="7">
        <f>IF(Table1_1[[#This Row],[Marriedarital SingletatuSingle]]="M",Table1_1[[#This Row],[Children]]+2,Table1_1[[#This Row],[Children]]+1)</f>
        <v>1</v>
      </c>
      <c r="S820" s="4" t="str">
        <f>IF(Table1_1[[#This Row],[Cars]]=0,"No","Yes")</f>
        <v>Yes</v>
      </c>
      <c r="T820" s="6" t="str">
        <f>IF(AND(Table1_1[[#This Row],[Income]]&gt;50000,Table1_1[[#This Row],[Home Owner]]="Yes"),"High stability","Low stability")</f>
        <v>Low stability</v>
      </c>
      <c r="U820" s="3">
        <f>Table1_1[[#This Row],[Income]]/Table1_1[[#This Row],[Family size]]</f>
        <v>40000</v>
      </c>
      <c r="V820" s="6" t="str">
        <f>IF(Table1_1[[#This Row],[Occupation]]="Skilled manual","Blue collar",IF(Table1_1[[#This Row],[Occupation]]="Manual","Blue collar","White collar"))</f>
        <v>Blue collar</v>
      </c>
    </row>
    <row r="821" spans="1:22" x14ac:dyDescent="0.3">
      <c r="A821" t="s">
        <v>855</v>
      </c>
      <c r="B821" s="6" t="s">
        <v>1044</v>
      </c>
      <c r="C821" s="6" t="s">
        <v>1045</v>
      </c>
      <c r="D821" s="3">
        <v>40000</v>
      </c>
      <c r="E821">
        <v>0</v>
      </c>
      <c r="F821" s="6" t="s">
        <v>27</v>
      </c>
      <c r="G821" s="6" t="s">
        <v>14</v>
      </c>
      <c r="H821" s="6" t="s">
        <v>15</v>
      </c>
      <c r="I821">
        <v>2</v>
      </c>
      <c r="J821" t="s">
        <v>23</v>
      </c>
      <c r="K8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21" s="6" t="s">
        <v>32</v>
      </c>
      <c r="M821" s="7">
        <v>30</v>
      </c>
      <c r="N821" t="s">
        <v>18</v>
      </c>
      <c r="O821" s="9" t="str">
        <f>IF(Table1_1[[#This Row],[Purchased Bike]]="yes","1","0")</f>
        <v>0</v>
      </c>
      <c r="P821" s="4" t="str">
        <f>IF(Table1_1[[#This Row],[Income]]&lt;=30000,"Low ",IF(Table1_1[[#This Row],[Income]]&lt;=70000,"Middle","High"))</f>
        <v>Middle</v>
      </c>
      <c r="Q821" s="6" t="str">
        <f>IF(Table1_1[[#This Row],[Age]]&lt;30,"Young",IF(Table1_1[[#This Row],[Age]]&lt;50,"Middle aged","Senior citizen"))</f>
        <v>Middle aged</v>
      </c>
      <c r="R821" s="7">
        <f>IF(Table1_1[[#This Row],[Marriedarital SingletatuSingle]]="M",Table1_1[[#This Row],[Children]]+2,Table1_1[[#This Row],[Children]]+1)</f>
        <v>1</v>
      </c>
      <c r="S821" s="4" t="str">
        <f>IF(Table1_1[[#This Row],[Cars]]=0,"No","Yes")</f>
        <v>Yes</v>
      </c>
      <c r="T821" s="6" t="str">
        <f>IF(AND(Table1_1[[#This Row],[Income]]&gt;50000,Table1_1[[#This Row],[Home Owner]]="Yes"),"High stability","Low stability")</f>
        <v>Low stability</v>
      </c>
      <c r="U821" s="3">
        <f>Table1_1[[#This Row],[Income]]/Table1_1[[#This Row],[Family size]]</f>
        <v>40000</v>
      </c>
      <c r="V821" s="6" t="str">
        <f>IF(Table1_1[[#This Row],[Occupation]]="Skilled manual","Blue collar",IF(Table1_1[[#This Row],[Occupation]]="Manual","Blue collar","White collar"))</f>
        <v>Blue collar</v>
      </c>
    </row>
    <row r="822" spans="1:22" x14ac:dyDescent="0.3">
      <c r="A822" t="s">
        <v>856</v>
      </c>
      <c r="B822" s="6" t="s">
        <v>1044</v>
      </c>
      <c r="C822" s="6" t="s">
        <v>1046</v>
      </c>
      <c r="D822" s="3">
        <v>110000</v>
      </c>
      <c r="E822">
        <v>1</v>
      </c>
      <c r="F822" s="6" t="s">
        <v>13</v>
      </c>
      <c r="G822" s="6" t="s">
        <v>28</v>
      </c>
      <c r="H822" s="6" t="s">
        <v>15</v>
      </c>
      <c r="I822">
        <v>1</v>
      </c>
      <c r="J822" t="s">
        <v>23</v>
      </c>
      <c r="K8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22" s="6" t="s">
        <v>32</v>
      </c>
      <c r="M822" s="7">
        <v>43</v>
      </c>
      <c r="N822" t="s">
        <v>18</v>
      </c>
      <c r="O822" s="9" t="str">
        <f>IF(Table1_1[[#This Row],[Purchased Bike]]="yes","1","0")</f>
        <v>0</v>
      </c>
      <c r="P822" s="4" t="str">
        <f>IF(Table1_1[[#This Row],[Income]]&lt;=30000,"Low ",IF(Table1_1[[#This Row],[Income]]&lt;=70000,"Middle","High"))</f>
        <v>High</v>
      </c>
      <c r="Q822" s="6" t="str">
        <f>IF(Table1_1[[#This Row],[Age]]&lt;30,"Young",IF(Table1_1[[#This Row],[Age]]&lt;50,"Middle aged","Senior citizen"))</f>
        <v>Middle aged</v>
      </c>
      <c r="R822" s="7">
        <f>IF(Table1_1[[#This Row],[Marriedarital SingletatuSingle]]="M",Table1_1[[#This Row],[Children]]+2,Table1_1[[#This Row],[Children]]+1)</f>
        <v>2</v>
      </c>
      <c r="S822" s="4" t="str">
        <f>IF(Table1_1[[#This Row],[Cars]]=0,"No","Yes")</f>
        <v>Yes</v>
      </c>
      <c r="T822" s="6" t="str">
        <f>IF(AND(Table1_1[[#This Row],[Income]]&gt;50000,Table1_1[[#This Row],[Home Owner]]="Yes"),"High stability","Low stability")</f>
        <v>High stability</v>
      </c>
      <c r="U822" s="3">
        <f>Table1_1[[#This Row],[Income]]/Table1_1[[#This Row],[Family size]]</f>
        <v>55000</v>
      </c>
      <c r="V822" s="6" t="str">
        <f>IF(Table1_1[[#This Row],[Occupation]]="Skilled manual","Blue collar",IF(Table1_1[[#This Row],[Occupation]]="Manual","Blue collar","White collar"))</f>
        <v>White collar</v>
      </c>
    </row>
    <row r="823" spans="1:22" x14ac:dyDescent="0.3">
      <c r="A823" t="s">
        <v>857</v>
      </c>
      <c r="B823" s="6" t="s">
        <v>1042</v>
      </c>
      <c r="C823" s="6" t="s">
        <v>1046</v>
      </c>
      <c r="D823" s="3">
        <v>60000</v>
      </c>
      <c r="E823">
        <v>0</v>
      </c>
      <c r="F823" s="6" t="s">
        <v>19</v>
      </c>
      <c r="G823" s="6" t="s">
        <v>14</v>
      </c>
      <c r="H823" s="6" t="s">
        <v>15</v>
      </c>
      <c r="I823">
        <v>2</v>
      </c>
      <c r="J823" t="s">
        <v>23</v>
      </c>
      <c r="K8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23" s="6" t="s">
        <v>32</v>
      </c>
      <c r="M823" s="7">
        <v>33</v>
      </c>
      <c r="N823" t="s">
        <v>15</v>
      </c>
      <c r="O823" s="9" t="str">
        <f>IF(Table1_1[[#This Row],[Purchased Bike]]="yes","1","0")</f>
        <v>1</v>
      </c>
      <c r="P823" s="4" t="str">
        <f>IF(Table1_1[[#This Row],[Income]]&lt;=30000,"Low ",IF(Table1_1[[#This Row],[Income]]&lt;=70000,"Middle","High"))</f>
        <v>Middle</v>
      </c>
      <c r="Q823" s="6" t="str">
        <f>IF(Table1_1[[#This Row],[Age]]&lt;30,"Young",IF(Table1_1[[#This Row],[Age]]&lt;50,"Middle aged","Senior citizen"))</f>
        <v>Middle aged</v>
      </c>
      <c r="R823" s="7">
        <f>IF(Table1_1[[#This Row],[Marriedarital SingletatuSingle]]="M",Table1_1[[#This Row],[Children]]+2,Table1_1[[#This Row],[Children]]+1)</f>
        <v>1</v>
      </c>
      <c r="S823" s="4" t="str">
        <f>IF(Table1_1[[#This Row],[Cars]]=0,"No","Yes")</f>
        <v>Yes</v>
      </c>
      <c r="T823" s="6" t="str">
        <f>IF(AND(Table1_1[[#This Row],[Income]]&gt;50000,Table1_1[[#This Row],[Home Owner]]="Yes"),"High stability","Low stability")</f>
        <v>High stability</v>
      </c>
      <c r="U823" s="3">
        <f>Table1_1[[#This Row],[Income]]/Table1_1[[#This Row],[Family size]]</f>
        <v>60000</v>
      </c>
      <c r="V823" s="6" t="str">
        <f>IF(Table1_1[[#This Row],[Occupation]]="Skilled manual","Blue collar",IF(Table1_1[[#This Row],[Occupation]]="Manual","Blue collar","White collar"))</f>
        <v>Blue collar</v>
      </c>
    </row>
    <row r="824" spans="1:22" x14ac:dyDescent="0.3">
      <c r="A824" t="s">
        <v>858</v>
      </c>
      <c r="B824" s="6" t="s">
        <v>1042</v>
      </c>
      <c r="C824" s="6" t="s">
        <v>1046</v>
      </c>
      <c r="D824" s="3">
        <v>30000</v>
      </c>
      <c r="E824">
        <v>0</v>
      </c>
      <c r="F824" s="6" t="s">
        <v>27</v>
      </c>
      <c r="G824" s="6" t="s">
        <v>14</v>
      </c>
      <c r="H824" s="6" t="s">
        <v>15</v>
      </c>
      <c r="I824">
        <v>2</v>
      </c>
      <c r="J824" t="s">
        <v>23</v>
      </c>
      <c r="K8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24" s="6" t="s">
        <v>32</v>
      </c>
      <c r="M824" s="7">
        <v>32</v>
      </c>
      <c r="N824" t="s">
        <v>18</v>
      </c>
      <c r="O824" s="9" t="str">
        <f>IF(Table1_1[[#This Row],[Purchased Bike]]="yes","1","0")</f>
        <v>0</v>
      </c>
      <c r="P824" s="4" t="str">
        <f>IF(Table1_1[[#This Row],[Income]]&lt;=30000,"Low ",IF(Table1_1[[#This Row],[Income]]&lt;=70000,"Middle","High"))</f>
        <v xml:space="preserve">Low </v>
      </c>
      <c r="Q824" s="6" t="str">
        <f>IF(Table1_1[[#This Row],[Age]]&lt;30,"Young",IF(Table1_1[[#This Row],[Age]]&lt;50,"Middle aged","Senior citizen"))</f>
        <v>Middle aged</v>
      </c>
      <c r="R824" s="7">
        <f>IF(Table1_1[[#This Row],[Marriedarital SingletatuSingle]]="M",Table1_1[[#This Row],[Children]]+2,Table1_1[[#This Row],[Children]]+1)</f>
        <v>1</v>
      </c>
      <c r="S824" s="4" t="str">
        <f>IF(Table1_1[[#This Row],[Cars]]=0,"No","Yes")</f>
        <v>Yes</v>
      </c>
      <c r="T824" s="6" t="str">
        <f>IF(AND(Table1_1[[#This Row],[Income]]&gt;50000,Table1_1[[#This Row],[Home Owner]]="Yes"),"High stability","Low stability")</f>
        <v>Low stability</v>
      </c>
      <c r="U824" s="3">
        <f>Table1_1[[#This Row],[Income]]/Table1_1[[#This Row],[Family size]]</f>
        <v>30000</v>
      </c>
      <c r="V824" s="6" t="str">
        <f>IF(Table1_1[[#This Row],[Occupation]]="Skilled manual","Blue collar",IF(Table1_1[[#This Row],[Occupation]]="Manual","Blue collar","White collar"))</f>
        <v>Blue collar</v>
      </c>
    </row>
    <row r="825" spans="1:22" x14ac:dyDescent="0.3">
      <c r="A825" t="s">
        <v>859</v>
      </c>
      <c r="B825" s="6" t="s">
        <v>1044</v>
      </c>
      <c r="C825" s="6" t="s">
        <v>1045</v>
      </c>
      <c r="D825" s="3">
        <v>70000</v>
      </c>
      <c r="E825">
        <v>4</v>
      </c>
      <c r="F825" s="6" t="s">
        <v>27</v>
      </c>
      <c r="G825" s="6" t="s">
        <v>21</v>
      </c>
      <c r="H825" s="6" t="s">
        <v>15</v>
      </c>
      <c r="I825">
        <v>0</v>
      </c>
      <c r="J825" t="s">
        <v>23</v>
      </c>
      <c r="K8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25" s="6" t="s">
        <v>32</v>
      </c>
      <c r="M825" s="7">
        <v>50</v>
      </c>
      <c r="N825" t="s">
        <v>15</v>
      </c>
      <c r="O825" s="9" t="str">
        <f>IF(Table1_1[[#This Row],[Purchased Bike]]="yes","1","0")</f>
        <v>1</v>
      </c>
      <c r="P825" s="4" t="str">
        <f>IF(Table1_1[[#This Row],[Income]]&lt;=30000,"Low ",IF(Table1_1[[#This Row],[Income]]&lt;=70000,"Middle","High"))</f>
        <v>Middle</v>
      </c>
      <c r="Q825" s="6" t="str">
        <f>IF(Table1_1[[#This Row],[Age]]&lt;30,"Young",IF(Table1_1[[#This Row],[Age]]&lt;50,"Middle aged","Senior citizen"))</f>
        <v>Senior citizen</v>
      </c>
      <c r="R825" s="7">
        <f>IF(Table1_1[[#This Row],[Marriedarital SingletatuSingle]]="M",Table1_1[[#This Row],[Children]]+2,Table1_1[[#This Row],[Children]]+1)</f>
        <v>5</v>
      </c>
      <c r="S825" s="4" t="str">
        <f>IF(Table1_1[[#This Row],[Cars]]=0,"No","Yes")</f>
        <v>No</v>
      </c>
      <c r="T825" s="6" t="str">
        <f>IF(AND(Table1_1[[#This Row],[Income]]&gt;50000,Table1_1[[#This Row],[Home Owner]]="Yes"),"High stability","Low stability")</f>
        <v>High stability</v>
      </c>
      <c r="U825" s="3">
        <f>Table1_1[[#This Row],[Income]]/Table1_1[[#This Row],[Family size]]</f>
        <v>14000</v>
      </c>
      <c r="V825" s="6" t="str">
        <f>IF(Table1_1[[#This Row],[Occupation]]="Skilled manual","Blue collar",IF(Table1_1[[#This Row],[Occupation]]="Manual","Blue collar","White collar"))</f>
        <v>White collar</v>
      </c>
    </row>
    <row r="826" spans="1:22" x14ac:dyDescent="0.3">
      <c r="A826" t="s">
        <v>860</v>
      </c>
      <c r="B826" s="6" t="s">
        <v>1044</v>
      </c>
      <c r="C826" s="6" t="s">
        <v>1046</v>
      </c>
      <c r="D826" s="3">
        <v>110000</v>
      </c>
      <c r="E826">
        <v>2</v>
      </c>
      <c r="F826" s="6" t="s">
        <v>13</v>
      </c>
      <c r="G826" s="6" t="s">
        <v>28</v>
      </c>
      <c r="H826" s="6" t="s">
        <v>18</v>
      </c>
      <c r="I826">
        <v>3</v>
      </c>
      <c r="J826" t="s">
        <v>16</v>
      </c>
      <c r="K8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26" s="6" t="s">
        <v>32</v>
      </c>
      <c r="M826" s="7">
        <v>37</v>
      </c>
      <c r="N826" t="s">
        <v>15</v>
      </c>
      <c r="O826" s="9" t="str">
        <f>IF(Table1_1[[#This Row],[Purchased Bike]]="yes","1","0")</f>
        <v>1</v>
      </c>
      <c r="P826" s="4" t="str">
        <f>IF(Table1_1[[#This Row],[Income]]&lt;=30000,"Low ",IF(Table1_1[[#This Row],[Income]]&lt;=70000,"Middle","High"))</f>
        <v>High</v>
      </c>
      <c r="Q826" s="6" t="str">
        <f>IF(Table1_1[[#This Row],[Age]]&lt;30,"Young",IF(Table1_1[[#This Row],[Age]]&lt;50,"Middle aged","Senior citizen"))</f>
        <v>Middle aged</v>
      </c>
      <c r="R826" s="7">
        <f>IF(Table1_1[[#This Row],[Marriedarital SingletatuSingle]]="M",Table1_1[[#This Row],[Children]]+2,Table1_1[[#This Row],[Children]]+1)</f>
        <v>3</v>
      </c>
      <c r="S826" s="4" t="str">
        <f>IF(Table1_1[[#This Row],[Cars]]=0,"No","Yes")</f>
        <v>Yes</v>
      </c>
      <c r="T826" s="6" t="str">
        <f>IF(AND(Table1_1[[#This Row],[Income]]&gt;50000,Table1_1[[#This Row],[Home Owner]]="Yes"),"High stability","Low stability")</f>
        <v>Low stability</v>
      </c>
      <c r="U826" s="3">
        <f>Table1_1[[#This Row],[Income]]/Table1_1[[#This Row],[Family size]]</f>
        <v>36666.666666666664</v>
      </c>
      <c r="V826" s="6" t="str">
        <f>IF(Table1_1[[#This Row],[Occupation]]="Skilled manual","Blue collar",IF(Table1_1[[#This Row],[Occupation]]="Manual","Blue collar","White collar"))</f>
        <v>White collar</v>
      </c>
    </row>
    <row r="827" spans="1:22" x14ac:dyDescent="0.3">
      <c r="A827" t="s">
        <v>861</v>
      </c>
      <c r="B827" s="6" t="s">
        <v>1042</v>
      </c>
      <c r="C827" s="6" t="s">
        <v>1046</v>
      </c>
      <c r="D827" s="3">
        <v>70000</v>
      </c>
      <c r="E827">
        <v>3</v>
      </c>
      <c r="F827" s="6" t="s">
        <v>27</v>
      </c>
      <c r="G827" s="6" t="s">
        <v>21</v>
      </c>
      <c r="H827" s="6" t="s">
        <v>18</v>
      </c>
      <c r="I827">
        <v>1</v>
      </c>
      <c r="J827" t="s">
        <v>26</v>
      </c>
      <c r="K8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27" s="6" t="s">
        <v>32</v>
      </c>
      <c r="M827" s="7">
        <v>52</v>
      </c>
      <c r="N827" t="s">
        <v>15</v>
      </c>
      <c r="O827" s="9" t="str">
        <f>IF(Table1_1[[#This Row],[Purchased Bike]]="yes","1","0")</f>
        <v>1</v>
      </c>
      <c r="P827" s="4" t="str">
        <f>IF(Table1_1[[#This Row],[Income]]&lt;=30000,"Low ",IF(Table1_1[[#This Row],[Income]]&lt;=70000,"Middle","High"))</f>
        <v>Middle</v>
      </c>
      <c r="Q827" s="6" t="str">
        <f>IF(Table1_1[[#This Row],[Age]]&lt;30,"Young",IF(Table1_1[[#This Row],[Age]]&lt;50,"Middle aged","Senior citizen"))</f>
        <v>Senior citizen</v>
      </c>
      <c r="R827" s="7">
        <f>IF(Table1_1[[#This Row],[Marriedarital SingletatuSingle]]="M",Table1_1[[#This Row],[Children]]+2,Table1_1[[#This Row],[Children]]+1)</f>
        <v>4</v>
      </c>
      <c r="S827" s="4" t="str">
        <f>IF(Table1_1[[#This Row],[Cars]]=0,"No","Yes")</f>
        <v>Yes</v>
      </c>
      <c r="T827" s="6" t="str">
        <f>IF(AND(Table1_1[[#This Row],[Income]]&gt;50000,Table1_1[[#This Row],[Home Owner]]="Yes"),"High stability","Low stability")</f>
        <v>Low stability</v>
      </c>
      <c r="U827" s="3">
        <f>Table1_1[[#This Row],[Income]]/Table1_1[[#This Row],[Family size]]</f>
        <v>17500</v>
      </c>
      <c r="V827" s="6" t="str">
        <f>IF(Table1_1[[#This Row],[Occupation]]="Skilled manual","Blue collar",IF(Table1_1[[#This Row],[Occupation]]="Manual","Blue collar","White collar"))</f>
        <v>White collar</v>
      </c>
    </row>
    <row r="828" spans="1:22" x14ac:dyDescent="0.3">
      <c r="A828" t="s">
        <v>862</v>
      </c>
      <c r="B828" s="6" t="s">
        <v>1042</v>
      </c>
      <c r="C828" s="6" t="s">
        <v>1046</v>
      </c>
      <c r="D828" s="3">
        <v>70000</v>
      </c>
      <c r="E828">
        <v>4</v>
      </c>
      <c r="F828" s="6" t="s">
        <v>31</v>
      </c>
      <c r="G828" s="6" t="s">
        <v>21</v>
      </c>
      <c r="H828" s="6" t="s">
        <v>15</v>
      </c>
      <c r="I828">
        <v>0</v>
      </c>
      <c r="J828" t="s">
        <v>22</v>
      </c>
      <c r="K8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28" s="6" t="s">
        <v>32</v>
      </c>
      <c r="M828" s="7">
        <v>36</v>
      </c>
      <c r="N828" t="s">
        <v>15</v>
      </c>
      <c r="O828" s="9" t="str">
        <f>IF(Table1_1[[#This Row],[Purchased Bike]]="yes","1","0")</f>
        <v>1</v>
      </c>
      <c r="P828" s="4" t="str">
        <f>IF(Table1_1[[#This Row],[Income]]&lt;=30000,"Low ",IF(Table1_1[[#This Row],[Income]]&lt;=70000,"Middle","High"))</f>
        <v>Middle</v>
      </c>
      <c r="Q828" s="6" t="str">
        <f>IF(Table1_1[[#This Row],[Age]]&lt;30,"Young",IF(Table1_1[[#This Row],[Age]]&lt;50,"Middle aged","Senior citizen"))</f>
        <v>Middle aged</v>
      </c>
      <c r="R828" s="7">
        <f>IF(Table1_1[[#This Row],[Marriedarital SingletatuSingle]]="M",Table1_1[[#This Row],[Children]]+2,Table1_1[[#This Row],[Children]]+1)</f>
        <v>5</v>
      </c>
      <c r="S828" s="4" t="str">
        <f>IF(Table1_1[[#This Row],[Cars]]=0,"No","Yes")</f>
        <v>No</v>
      </c>
      <c r="T828" s="6" t="str">
        <f>IF(AND(Table1_1[[#This Row],[Income]]&gt;50000,Table1_1[[#This Row],[Home Owner]]="Yes"),"High stability","Low stability")</f>
        <v>High stability</v>
      </c>
      <c r="U828" s="3">
        <f>Table1_1[[#This Row],[Income]]/Table1_1[[#This Row],[Family size]]</f>
        <v>14000</v>
      </c>
      <c r="V828" s="6" t="str">
        <f>IF(Table1_1[[#This Row],[Occupation]]="Skilled manual","Blue collar",IF(Table1_1[[#This Row],[Occupation]]="Manual","Blue collar","White collar"))</f>
        <v>White collar</v>
      </c>
    </row>
    <row r="829" spans="1:22" x14ac:dyDescent="0.3">
      <c r="A829" t="s">
        <v>863</v>
      </c>
      <c r="B829" s="6" t="s">
        <v>1044</v>
      </c>
      <c r="C829" s="6" t="s">
        <v>1045</v>
      </c>
      <c r="D829" s="3">
        <v>80000</v>
      </c>
      <c r="E829">
        <v>3</v>
      </c>
      <c r="F829" s="6" t="s">
        <v>13</v>
      </c>
      <c r="G829" s="6" t="s">
        <v>14</v>
      </c>
      <c r="H829" s="6" t="s">
        <v>15</v>
      </c>
      <c r="I829">
        <v>2</v>
      </c>
      <c r="J829" t="s">
        <v>22</v>
      </c>
      <c r="K8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29" s="6" t="s">
        <v>32</v>
      </c>
      <c r="M829" s="7">
        <v>41</v>
      </c>
      <c r="N829" t="s">
        <v>15</v>
      </c>
      <c r="O829" s="9" t="str">
        <f>IF(Table1_1[[#This Row],[Purchased Bike]]="yes","1","0")</f>
        <v>1</v>
      </c>
      <c r="P829" s="4" t="str">
        <f>IF(Table1_1[[#This Row],[Income]]&lt;=30000,"Low ",IF(Table1_1[[#This Row],[Income]]&lt;=70000,"Middle","High"))</f>
        <v>High</v>
      </c>
      <c r="Q829" s="6" t="str">
        <f>IF(Table1_1[[#This Row],[Age]]&lt;30,"Young",IF(Table1_1[[#This Row],[Age]]&lt;50,"Middle aged","Senior citizen"))</f>
        <v>Middle aged</v>
      </c>
      <c r="R829" s="7">
        <f>IF(Table1_1[[#This Row],[Marriedarital SingletatuSingle]]="M",Table1_1[[#This Row],[Children]]+2,Table1_1[[#This Row],[Children]]+1)</f>
        <v>4</v>
      </c>
      <c r="S829" s="4" t="str">
        <f>IF(Table1_1[[#This Row],[Cars]]=0,"No","Yes")</f>
        <v>Yes</v>
      </c>
      <c r="T829" s="6" t="str">
        <f>IF(AND(Table1_1[[#This Row],[Income]]&gt;50000,Table1_1[[#This Row],[Home Owner]]="Yes"),"High stability","Low stability")</f>
        <v>High stability</v>
      </c>
      <c r="U829" s="3">
        <f>Table1_1[[#This Row],[Income]]/Table1_1[[#This Row],[Family size]]</f>
        <v>20000</v>
      </c>
      <c r="V829" s="6" t="str">
        <f>IF(Table1_1[[#This Row],[Occupation]]="Skilled manual","Blue collar",IF(Table1_1[[#This Row],[Occupation]]="Manual","Blue collar","White collar"))</f>
        <v>Blue collar</v>
      </c>
    </row>
    <row r="830" spans="1:22" x14ac:dyDescent="0.3">
      <c r="A830" t="s">
        <v>864</v>
      </c>
      <c r="B830" s="6" t="s">
        <v>1044</v>
      </c>
      <c r="C830" s="6" t="s">
        <v>1045</v>
      </c>
      <c r="D830" s="3">
        <v>40000</v>
      </c>
      <c r="E830">
        <v>0</v>
      </c>
      <c r="F830" s="6" t="s">
        <v>29</v>
      </c>
      <c r="G830" s="6" t="s">
        <v>20</v>
      </c>
      <c r="H830" s="6" t="s">
        <v>15</v>
      </c>
      <c r="I830">
        <v>2</v>
      </c>
      <c r="J830" t="s">
        <v>23</v>
      </c>
      <c r="K8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30" s="6" t="s">
        <v>32</v>
      </c>
      <c r="M830" s="7">
        <v>26</v>
      </c>
      <c r="N830" t="s">
        <v>18</v>
      </c>
      <c r="O830" s="9" t="str">
        <f>IF(Table1_1[[#This Row],[Purchased Bike]]="yes","1","0")</f>
        <v>0</v>
      </c>
      <c r="P830" s="4" t="str">
        <f>IF(Table1_1[[#This Row],[Income]]&lt;=30000,"Low ",IF(Table1_1[[#This Row],[Income]]&lt;=70000,"Middle","High"))</f>
        <v>Middle</v>
      </c>
      <c r="Q830" s="6" t="str">
        <f>IF(Table1_1[[#This Row],[Age]]&lt;30,"Young",IF(Table1_1[[#This Row],[Age]]&lt;50,"Middle aged","Senior citizen"))</f>
        <v>Young</v>
      </c>
      <c r="R830" s="7">
        <f>IF(Table1_1[[#This Row],[Marriedarital SingletatuSingle]]="M",Table1_1[[#This Row],[Children]]+2,Table1_1[[#This Row],[Children]]+1)</f>
        <v>1</v>
      </c>
      <c r="S830" s="4" t="str">
        <f>IF(Table1_1[[#This Row],[Cars]]=0,"No","Yes")</f>
        <v>Yes</v>
      </c>
      <c r="T830" s="6" t="str">
        <f>IF(AND(Table1_1[[#This Row],[Income]]&gt;50000,Table1_1[[#This Row],[Home Owner]]="Yes"),"High stability","Low stability")</f>
        <v>Low stability</v>
      </c>
      <c r="U830" s="3">
        <f>Table1_1[[#This Row],[Income]]/Table1_1[[#This Row],[Family size]]</f>
        <v>40000</v>
      </c>
      <c r="V830" s="6" t="str">
        <f>IF(Table1_1[[#This Row],[Occupation]]="Skilled manual","Blue collar",IF(Table1_1[[#This Row],[Occupation]]="Manual","Blue collar","White collar"))</f>
        <v>White collar</v>
      </c>
    </row>
    <row r="831" spans="1:22" x14ac:dyDescent="0.3">
      <c r="A831" t="s">
        <v>865</v>
      </c>
      <c r="B831" s="6" t="s">
        <v>1044</v>
      </c>
      <c r="C831" s="6" t="s">
        <v>1046</v>
      </c>
      <c r="D831" s="3">
        <v>170000</v>
      </c>
      <c r="E831">
        <v>1</v>
      </c>
      <c r="F831" s="6" t="s">
        <v>31</v>
      </c>
      <c r="G831" s="6" t="s">
        <v>28</v>
      </c>
      <c r="H831" s="6" t="s">
        <v>18</v>
      </c>
      <c r="I831">
        <v>4</v>
      </c>
      <c r="J831" t="s">
        <v>16</v>
      </c>
      <c r="K8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31" s="6" t="s">
        <v>32</v>
      </c>
      <c r="M831" s="7">
        <v>66</v>
      </c>
      <c r="N831" t="s">
        <v>18</v>
      </c>
      <c r="O831" s="9" t="str">
        <f>IF(Table1_1[[#This Row],[Purchased Bike]]="yes","1","0")</f>
        <v>0</v>
      </c>
      <c r="P831" s="4" t="str">
        <f>IF(Table1_1[[#This Row],[Income]]&lt;=30000,"Low ",IF(Table1_1[[#This Row],[Income]]&lt;=70000,"Middle","High"))</f>
        <v>High</v>
      </c>
      <c r="Q831" s="6" t="str">
        <f>IF(Table1_1[[#This Row],[Age]]&lt;30,"Young",IF(Table1_1[[#This Row],[Age]]&lt;50,"Middle aged","Senior citizen"))</f>
        <v>Senior citizen</v>
      </c>
      <c r="R831" s="7">
        <f>IF(Table1_1[[#This Row],[Marriedarital SingletatuSingle]]="M",Table1_1[[#This Row],[Children]]+2,Table1_1[[#This Row],[Children]]+1)</f>
        <v>2</v>
      </c>
      <c r="S831" s="4" t="str">
        <f>IF(Table1_1[[#This Row],[Cars]]=0,"No","Yes")</f>
        <v>Yes</v>
      </c>
      <c r="T831" s="6" t="str">
        <f>IF(AND(Table1_1[[#This Row],[Income]]&gt;50000,Table1_1[[#This Row],[Home Owner]]="Yes"),"High stability","Low stability")</f>
        <v>Low stability</v>
      </c>
      <c r="U831" s="3">
        <f>Table1_1[[#This Row],[Income]]/Table1_1[[#This Row],[Family size]]</f>
        <v>85000</v>
      </c>
      <c r="V831" s="6" t="str">
        <f>IF(Table1_1[[#This Row],[Occupation]]="Skilled manual","Blue collar",IF(Table1_1[[#This Row],[Occupation]]="Manual","Blue collar","White collar"))</f>
        <v>White collar</v>
      </c>
    </row>
    <row r="832" spans="1:22" x14ac:dyDescent="0.3">
      <c r="A832" t="s">
        <v>866</v>
      </c>
      <c r="B832" s="6" t="s">
        <v>1042</v>
      </c>
      <c r="C832" s="6" t="s">
        <v>1046</v>
      </c>
      <c r="D832" s="3">
        <v>60000</v>
      </c>
      <c r="E832">
        <v>2</v>
      </c>
      <c r="F832" s="6" t="s">
        <v>27</v>
      </c>
      <c r="G832" s="6" t="s">
        <v>21</v>
      </c>
      <c r="H832" s="6" t="s">
        <v>18</v>
      </c>
      <c r="I832">
        <v>2</v>
      </c>
      <c r="J832" t="s">
        <v>23</v>
      </c>
      <c r="K8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32" s="6" t="s">
        <v>32</v>
      </c>
      <c r="M832" s="7">
        <v>51</v>
      </c>
      <c r="N832" t="s">
        <v>18</v>
      </c>
      <c r="O832" s="9" t="str">
        <f>IF(Table1_1[[#This Row],[Purchased Bike]]="yes","1","0")</f>
        <v>0</v>
      </c>
      <c r="P832" s="4" t="str">
        <f>IF(Table1_1[[#This Row],[Income]]&lt;=30000,"Low ",IF(Table1_1[[#This Row],[Income]]&lt;=70000,"Middle","High"))</f>
        <v>Middle</v>
      </c>
      <c r="Q832" s="6" t="str">
        <f>IF(Table1_1[[#This Row],[Age]]&lt;30,"Young",IF(Table1_1[[#This Row],[Age]]&lt;50,"Middle aged","Senior citizen"))</f>
        <v>Senior citizen</v>
      </c>
      <c r="R832" s="7">
        <f>IF(Table1_1[[#This Row],[Marriedarital SingletatuSingle]]="M",Table1_1[[#This Row],[Children]]+2,Table1_1[[#This Row],[Children]]+1)</f>
        <v>3</v>
      </c>
      <c r="S832" s="4" t="str">
        <f>IF(Table1_1[[#This Row],[Cars]]=0,"No","Yes")</f>
        <v>Yes</v>
      </c>
      <c r="T832" s="6" t="str">
        <f>IF(AND(Table1_1[[#This Row],[Income]]&gt;50000,Table1_1[[#This Row],[Home Owner]]="Yes"),"High stability","Low stability")</f>
        <v>Low stability</v>
      </c>
      <c r="U832" s="3">
        <f>Table1_1[[#This Row],[Income]]/Table1_1[[#This Row],[Family size]]</f>
        <v>20000</v>
      </c>
      <c r="V832" s="6" t="str">
        <f>IF(Table1_1[[#This Row],[Occupation]]="Skilled manual","Blue collar",IF(Table1_1[[#This Row],[Occupation]]="Manual","Blue collar","White collar"))</f>
        <v>White collar</v>
      </c>
    </row>
    <row r="833" spans="1:22" x14ac:dyDescent="0.3">
      <c r="A833" t="s">
        <v>867</v>
      </c>
      <c r="B833" s="6" t="s">
        <v>1042</v>
      </c>
      <c r="C833" s="6" t="s">
        <v>1045</v>
      </c>
      <c r="D833" s="3">
        <v>70000</v>
      </c>
      <c r="E833">
        <v>4</v>
      </c>
      <c r="F833" s="6" t="s">
        <v>13</v>
      </c>
      <c r="G833" s="6" t="s">
        <v>21</v>
      </c>
      <c r="H833" s="6" t="s">
        <v>15</v>
      </c>
      <c r="I833">
        <v>2</v>
      </c>
      <c r="J833" t="s">
        <v>16</v>
      </c>
      <c r="K8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33" s="6" t="s">
        <v>32</v>
      </c>
      <c r="M833" s="7">
        <v>43</v>
      </c>
      <c r="N833" t="s">
        <v>15</v>
      </c>
      <c r="O833" s="9" t="str">
        <f>IF(Table1_1[[#This Row],[Purchased Bike]]="yes","1","0")</f>
        <v>1</v>
      </c>
      <c r="P833" s="4" t="str">
        <f>IF(Table1_1[[#This Row],[Income]]&lt;=30000,"Low ",IF(Table1_1[[#This Row],[Income]]&lt;=70000,"Middle","High"))</f>
        <v>Middle</v>
      </c>
      <c r="Q833" s="6" t="str">
        <f>IF(Table1_1[[#This Row],[Age]]&lt;30,"Young",IF(Table1_1[[#This Row],[Age]]&lt;50,"Middle aged","Senior citizen"))</f>
        <v>Middle aged</v>
      </c>
      <c r="R833" s="7">
        <f>IF(Table1_1[[#This Row],[Marriedarital SingletatuSingle]]="M",Table1_1[[#This Row],[Children]]+2,Table1_1[[#This Row],[Children]]+1)</f>
        <v>5</v>
      </c>
      <c r="S833" s="4" t="str">
        <f>IF(Table1_1[[#This Row],[Cars]]=0,"No","Yes")</f>
        <v>Yes</v>
      </c>
      <c r="T833" s="6" t="str">
        <f>IF(AND(Table1_1[[#This Row],[Income]]&gt;50000,Table1_1[[#This Row],[Home Owner]]="Yes"),"High stability","Low stability")</f>
        <v>High stability</v>
      </c>
      <c r="U833" s="3">
        <f>Table1_1[[#This Row],[Income]]/Table1_1[[#This Row],[Family size]]</f>
        <v>14000</v>
      </c>
      <c r="V833" s="6" t="str">
        <f>IF(Table1_1[[#This Row],[Occupation]]="Skilled manual","Blue collar",IF(Table1_1[[#This Row],[Occupation]]="Manual","Blue collar","White collar"))</f>
        <v>White collar</v>
      </c>
    </row>
    <row r="834" spans="1:22" x14ac:dyDescent="0.3">
      <c r="A834" t="s">
        <v>868</v>
      </c>
      <c r="B834" s="6" t="s">
        <v>1042</v>
      </c>
      <c r="C834" s="6" t="s">
        <v>1045</v>
      </c>
      <c r="D834" s="3">
        <v>60000</v>
      </c>
      <c r="E834">
        <v>0</v>
      </c>
      <c r="F834" s="6" t="s">
        <v>31</v>
      </c>
      <c r="G834" s="6" t="s">
        <v>21</v>
      </c>
      <c r="H834" s="6" t="s">
        <v>15</v>
      </c>
      <c r="I834">
        <v>0</v>
      </c>
      <c r="J834" t="s">
        <v>16</v>
      </c>
      <c r="K8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34" s="6" t="s">
        <v>32</v>
      </c>
      <c r="M834" s="7">
        <v>39</v>
      </c>
      <c r="N834" t="s">
        <v>18</v>
      </c>
      <c r="O834" s="9" t="str">
        <f>IF(Table1_1[[#This Row],[Purchased Bike]]="yes","1","0")</f>
        <v>0</v>
      </c>
      <c r="P834" s="4" t="str">
        <f>IF(Table1_1[[#This Row],[Income]]&lt;=30000,"Low ",IF(Table1_1[[#This Row],[Income]]&lt;=70000,"Middle","High"))</f>
        <v>Middle</v>
      </c>
      <c r="Q834" s="6" t="str">
        <f>IF(Table1_1[[#This Row],[Age]]&lt;30,"Young",IF(Table1_1[[#This Row],[Age]]&lt;50,"Middle aged","Senior citizen"))</f>
        <v>Middle aged</v>
      </c>
      <c r="R834" s="7">
        <f>IF(Table1_1[[#This Row],[Marriedarital SingletatuSingle]]="M",Table1_1[[#This Row],[Children]]+2,Table1_1[[#This Row],[Children]]+1)</f>
        <v>1</v>
      </c>
      <c r="S834" s="4" t="str">
        <f>IF(Table1_1[[#This Row],[Cars]]=0,"No","Yes")</f>
        <v>No</v>
      </c>
      <c r="T834" s="6" t="str">
        <f>IF(AND(Table1_1[[#This Row],[Income]]&gt;50000,Table1_1[[#This Row],[Home Owner]]="Yes"),"High stability","Low stability")</f>
        <v>High stability</v>
      </c>
      <c r="U834" s="3">
        <f>Table1_1[[#This Row],[Income]]/Table1_1[[#This Row],[Family size]]</f>
        <v>60000</v>
      </c>
      <c r="V834" s="6" t="str">
        <f>IF(Table1_1[[#This Row],[Occupation]]="Skilled manual","Blue collar",IF(Table1_1[[#This Row],[Occupation]]="Manual","Blue collar","White collar"))</f>
        <v>White collar</v>
      </c>
    </row>
    <row r="835" spans="1:22" x14ac:dyDescent="0.3">
      <c r="A835" t="s">
        <v>869</v>
      </c>
      <c r="B835" s="6" t="s">
        <v>1044</v>
      </c>
      <c r="C835" s="6" t="s">
        <v>1045</v>
      </c>
      <c r="D835" s="3">
        <v>70000</v>
      </c>
      <c r="E835">
        <v>0</v>
      </c>
      <c r="F835" s="6" t="s">
        <v>13</v>
      </c>
      <c r="G835" s="6" t="s">
        <v>21</v>
      </c>
      <c r="H835" s="6" t="s">
        <v>18</v>
      </c>
      <c r="I835">
        <v>1</v>
      </c>
      <c r="J835" t="s">
        <v>16</v>
      </c>
      <c r="K8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35" s="6" t="s">
        <v>32</v>
      </c>
      <c r="M835" s="7">
        <v>37</v>
      </c>
      <c r="N835" t="s">
        <v>15</v>
      </c>
      <c r="O835" s="9" t="str">
        <f>IF(Table1_1[[#This Row],[Purchased Bike]]="yes","1","0")</f>
        <v>1</v>
      </c>
      <c r="P835" s="4" t="str">
        <f>IF(Table1_1[[#This Row],[Income]]&lt;=30000,"Low ",IF(Table1_1[[#This Row],[Income]]&lt;=70000,"Middle","High"))</f>
        <v>Middle</v>
      </c>
      <c r="Q835" s="6" t="str">
        <f>IF(Table1_1[[#This Row],[Age]]&lt;30,"Young",IF(Table1_1[[#This Row],[Age]]&lt;50,"Middle aged","Senior citizen"))</f>
        <v>Middle aged</v>
      </c>
      <c r="R835" s="7">
        <f>IF(Table1_1[[#This Row],[Marriedarital SingletatuSingle]]="M",Table1_1[[#This Row],[Children]]+2,Table1_1[[#This Row],[Children]]+1)</f>
        <v>1</v>
      </c>
      <c r="S835" s="4" t="str">
        <f>IF(Table1_1[[#This Row],[Cars]]=0,"No","Yes")</f>
        <v>Yes</v>
      </c>
      <c r="T835" s="6" t="str">
        <f>IF(AND(Table1_1[[#This Row],[Income]]&gt;50000,Table1_1[[#This Row],[Home Owner]]="Yes"),"High stability","Low stability")</f>
        <v>Low stability</v>
      </c>
      <c r="U835" s="3">
        <f>Table1_1[[#This Row],[Income]]/Table1_1[[#This Row],[Family size]]</f>
        <v>70000</v>
      </c>
      <c r="V835" s="6" t="str">
        <f>IF(Table1_1[[#This Row],[Occupation]]="Skilled manual","Blue collar",IF(Table1_1[[#This Row],[Occupation]]="Manual","Blue collar","White collar"))</f>
        <v>White collar</v>
      </c>
    </row>
    <row r="836" spans="1:22" x14ac:dyDescent="0.3">
      <c r="A836" t="s">
        <v>870</v>
      </c>
      <c r="B836" s="6" t="s">
        <v>1044</v>
      </c>
      <c r="C836" s="6" t="s">
        <v>1045</v>
      </c>
      <c r="D836" s="3">
        <v>70000</v>
      </c>
      <c r="E836">
        <v>2</v>
      </c>
      <c r="F836" s="6" t="s">
        <v>29</v>
      </c>
      <c r="G836" s="6" t="s">
        <v>14</v>
      </c>
      <c r="H836" s="6" t="s">
        <v>18</v>
      </c>
      <c r="I836">
        <v>2</v>
      </c>
      <c r="J836" t="s">
        <v>22</v>
      </c>
      <c r="K8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36" s="6" t="s">
        <v>32</v>
      </c>
      <c r="M836" s="7">
        <v>54</v>
      </c>
      <c r="N836" t="s">
        <v>15</v>
      </c>
      <c r="O836" s="9" t="str">
        <f>IF(Table1_1[[#This Row],[Purchased Bike]]="yes","1","0")</f>
        <v>1</v>
      </c>
      <c r="P836" s="4" t="str">
        <f>IF(Table1_1[[#This Row],[Income]]&lt;=30000,"Low ",IF(Table1_1[[#This Row],[Income]]&lt;=70000,"Middle","High"))</f>
        <v>Middle</v>
      </c>
      <c r="Q836" s="6" t="str">
        <f>IF(Table1_1[[#This Row],[Age]]&lt;30,"Young",IF(Table1_1[[#This Row],[Age]]&lt;50,"Middle aged","Senior citizen"))</f>
        <v>Senior citizen</v>
      </c>
      <c r="R836" s="7">
        <f>IF(Table1_1[[#This Row],[Marriedarital SingletatuSingle]]="M",Table1_1[[#This Row],[Children]]+2,Table1_1[[#This Row],[Children]]+1)</f>
        <v>3</v>
      </c>
      <c r="S836" s="4" t="str">
        <f>IF(Table1_1[[#This Row],[Cars]]=0,"No","Yes")</f>
        <v>Yes</v>
      </c>
      <c r="T836" s="6" t="str">
        <f>IF(AND(Table1_1[[#This Row],[Income]]&gt;50000,Table1_1[[#This Row],[Home Owner]]="Yes"),"High stability","Low stability")</f>
        <v>Low stability</v>
      </c>
      <c r="U836" s="3">
        <f>Table1_1[[#This Row],[Income]]/Table1_1[[#This Row],[Family size]]</f>
        <v>23333.333333333332</v>
      </c>
      <c r="V836" s="6" t="str">
        <f>IF(Table1_1[[#This Row],[Occupation]]="Skilled manual","Blue collar",IF(Table1_1[[#This Row],[Occupation]]="Manual","Blue collar","White collar"))</f>
        <v>Blue collar</v>
      </c>
    </row>
    <row r="837" spans="1:22" x14ac:dyDescent="0.3">
      <c r="A837" t="s">
        <v>871</v>
      </c>
      <c r="B837" s="6" t="s">
        <v>1044</v>
      </c>
      <c r="C837" s="6" t="s">
        <v>1045</v>
      </c>
      <c r="D837" s="3">
        <v>60000</v>
      </c>
      <c r="E837">
        <v>3</v>
      </c>
      <c r="F837" s="6" t="s">
        <v>13</v>
      </c>
      <c r="G837" s="6" t="s">
        <v>14</v>
      </c>
      <c r="H837" s="6" t="s">
        <v>15</v>
      </c>
      <c r="I837">
        <v>0</v>
      </c>
      <c r="J837" t="s">
        <v>22</v>
      </c>
      <c r="K8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37" s="6" t="s">
        <v>32</v>
      </c>
      <c r="M837" s="7">
        <v>40</v>
      </c>
      <c r="N837" t="s">
        <v>15</v>
      </c>
      <c r="O837" s="9" t="str">
        <f>IF(Table1_1[[#This Row],[Purchased Bike]]="yes","1","0")</f>
        <v>1</v>
      </c>
      <c r="P837" s="4" t="str">
        <f>IF(Table1_1[[#This Row],[Income]]&lt;=30000,"Low ",IF(Table1_1[[#This Row],[Income]]&lt;=70000,"Middle","High"))</f>
        <v>Middle</v>
      </c>
      <c r="Q837" s="6" t="str">
        <f>IF(Table1_1[[#This Row],[Age]]&lt;30,"Young",IF(Table1_1[[#This Row],[Age]]&lt;50,"Middle aged","Senior citizen"))</f>
        <v>Middle aged</v>
      </c>
      <c r="R837" s="7">
        <f>IF(Table1_1[[#This Row],[Marriedarital SingletatuSingle]]="M",Table1_1[[#This Row],[Children]]+2,Table1_1[[#This Row],[Children]]+1)</f>
        <v>4</v>
      </c>
      <c r="S837" s="4" t="str">
        <f>IF(Table1_1[[#This Row],[Cars]]=0,"No","Yes")</f>
        <v>No</v>
      </c>
      <c r="T837" s="6" t="str">
        <f>IF(AND(Table1_1[[#This Row],[Income]]&gt;50000,Table1_1[[#This Row],[Home Owner]]="Yes"),"High stability","Low stability")</f>
        <v>High stability</v>
      </c>
      <c r="U837" s="3">
        <f>Table1_1[[#This Row],[Income]]/Table1_1[[#This Row],[Family size]]</f>
        <v>15000</v>
      </c>
      <c r="V837" s="6" t="str">
        <f>IF(Table1_1[[#This Row],[Occupation]]="Skilled manual","Blue collar",IF(Table1_1[[#This Row],[Occupation]]="Manual","Blue collar","White collar"))</f>
        <v>Blue collar</v>
      </c>
    </row>
    <row r="838" spans="1:22" x14ac:dyDescent="0.3">
      <c r="A838" t="s">
        <v>872</v>
      </c>
      <c r="B838" s="6" t="s">
        <v>1042</v>
      </c>
      <c r="C838" s="6" t="s">
        <v>1045</v>
      </c>
      <c r="D838" s="3">
        <v>40000</v>
      </c>
      <c r="E838">
        <v>0</v>
      </c>
      <c r="F838" s="6" t="s">
        <v>19</v>
      </c>
      <c r="G838" s="6" t="s">
        <v>14</v>
      </c>
      <c r="H838" s="6" t="s">
        <v>15</v>
      </c>
      <c r="I838">
        <v>2</v>
      </c>
      <c r="J838" t="s">
        <v>23</v>
      </c>
      <c r="K8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38" s="6" t="s">
        <v>32</v>
      </c>
      <c r="M838" s="7">
        <v>28</v>
      </c>
      <c r="N838" t="s">
        <v>18</v>
      </c>
      <c r="O838" s="9" t="str">
        <f>IF(Table1_1[[#This Row],[Purchased Bike]]="yes","1","0")</f>
        <v>0</v>
      </c>
      <c r="P838" s="4" t="str">
        <f>IF(Table1_1[[#This Row],[Income]]&lt;=30000,"Low ",IF(Table1_1[[#This Row],[Income]]&lt;=70000,"Middle","High"))</f>
        <v>Middle</v>
      </c>
      <c r="Q838" s="6" t="str">
        <f>IF(Table1_1[[#This Row],[Age]]&lt;30,"Young",IF(Table1_1[[#This Row],[Age]]&lt;50,"Middle aged","Senior citizen"))</f>
        <v>Young</v>
      </c>
      <c r="R838" s="7">
        <f>IF(Table1_1[[#This Row],[Marriedarital SingletatuSingle]]="M",Table1_1[[#This Row],[Children]]+2,Table1_1[[#This Row],[Children]]+1)</f>
        <v>1</v>
      </c>
      <c r="S838" s="4" t="str">
        <f>IF(Table1_1[[#This Row],[Cars]]=0,"No","Yes")</f>
        <v>Yes</v>
      </c>
      <c r="T838" s="6" t="str">
        <f>IF(AND(Table1_1[[#This Row],[Income]]&gt;50000,Table1_1[[#This Row],[Home Owner]]="Yes"),"High stability","Low stability")</f>
        <v>Low stability</v>
      </c>
      <c r="U838" s="3">
        <f>Table1_1[[#This Row],[Income]]/Table1_1[[#This Row],[Family size]]</f>
        <v>40000</v>
      </c>
      <c r="V838" s="6" t="str">
        <f>IF(Table1_1[[#This Row],[Occupation]]="Skilled manual","Blue collar",IF(Table1_1[[#This Row],[Occupation]]="Manual","Blue collar","White collar"))</f>
        <v>Blue collar</v>
      </c>
    </row>
    <row r="839" spans="1:22" x14ac:dyDescent="0.3">
      <c r="A839" t="s">
        <v>873</v>
      </c>
      <c r="B839" s="6" t="s">
        <v>1042</v>
      </c>
      <c r="C839" s="6" t="s">
        <v>1046</v>
      </c>
      <c r="D839" s="3">
        <v>60000</v>
      </c>
      <c r="E839">
        <v>1</v>
      </c>
      <c r="F839" s="6" t="s">
        <v>31</v>
      </c>
      <c r="G839" s="6" t="s">
        <v>14</v>
      </c>
      <c r="H839" s="6" t="s">
        <v>15</v>
      </c>
      <c r="I839">
        <v>0</v>
      </c>
      <c r="J839" t="s">
        <v>16</v>
      </c>
      <c r="K8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39" s="6" t="s">
        <v>32</v>
      </c>
      <c r="M839" s="7">
        <v>33</v>
      </c>
      <c r="N839" t="s">
        <v>18</v>
      </c>
      <c r="O839" s="9" t="str">
        <f>IF(Table1_1[[#This Row],[Purchased Bike]]="yes","1","0")</f>
        <v>0</v>
      </c>
      <c r="P839" s="4" t="str">
        <f>IF(Table1_1[[#This Row],[Income]]&lt;=30000,"Low ",IF(Table1_1[[#This Row],[Income]]&lt;=70000,"Middle","High"))</f>
        <v>Middle</v>
      </c>
      <c r="Q839" s="6" t="str">
        <f>IF(Table1_1[[#This Row],[Age]]&lt;30,"Young",IF(Table1_1[[#This Row],[Age]]&lt;50,"Middle aged","Senior citizen"))</f>
        <v>Middle aged</v>
      </c>
      <c r="R839" s="7">
        <f>IF(Table1_1[[#This Row],[Marriedarital SingletatuSingle]]="M",Table1_1[[#This Row],[Children]]+2,Table1_1[[#This Row],[Children]]+1)</f>
        <v>2</v>
      </c>
      <c r="S839" s="4" t="str">
        <f>IF(Table1_1[[#This Row],[Cars]]=0,"No","Yes")</f>
        <v>No</v>
      </c>
      <c r="T839" s="6" t="str">
        <f>IF(AND(Table1_1[[#This Row],[Income]]&gt;50000,Table1_1[[#This Row],[Home Owner]]="Yes"),"High stability","Low stability")</f>
        <v>High stability</v>
      </c>
      <c r="U839" s="3">
        <f>Table1_1[[#This Row],[Income]]/Table1_1[[#This Row],[Family size]]</f>
        <v>30000</v>
      </c>
      <c r="V839" s="6" t="str">
        <f>IF(Table1_1[[#This Row],[Occupation]]="Skilled manual","Blue collar",IF(Table1_1[[#This Row],[Occupation]]="Manual","Blue collar","White collar"))</f>
        <v>Blue collar</v>
      </c>
    </row>
    <row r="840" spans="1:22" x14ac:dyDescent="0.3">
      <c r="A840" t="s">
        <v>874</v>
      </c>
      <c r="B840" s="6" t="s">
        <v>1044</v>
      </c>
      <c r="C840" s="6" t="s">
        <v>1045</v>
      </c>
      <c r="D840" s="3">
        <v>80000</v>
      </c>
      <c r="E840">
        <v>3</v>
      </c>
      <c r="F840" s="6" t="s">
        <v>13</v>
      </c>
      <c r="G840" s="6" t="s">
        <v>14</v>
      </c>
      <c r="H840" s="6" t="s">
        <v>15</v>
      </c>
      <c r="I840">
        <v>2</v>
      </c>
      <c r="J840" t="s">
        <v>22</v>
      </c>
      <c r="K8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40" s="6" t="s">
        <v>32</v>
      </c>
      <c r="M840" s="7">
        <v>41</v>
      </c>
      <c r="N840" t="s">
        <v>15</v>
      </c>
      <c r="O840" s="9" t="str">
        <f>IF(Table1_1[[#This Row],[Purchased Bike]]="yes","1","0")</f>
        <v>1</v>
      </c>
      <c r="P840" s="4" t="str">
        <f>IF(Table1_1[[#This Row],[Income]]&lt;=30000,"Low ",IF(Table1_1[[#This Row],[Income]]&lt;=70000,"Middle","High"))</f>
        <v>High</v>
      </c>
      <c r="Q840" s="6" t="str">
        <f>IF(Table1_1[[#This Row],[Age]]&lt;30,"Young",IF(Table1_1[[#This Row],[Age]]&lt;50,"Middle aged","Senior citizen"))</f>
        <v>Middle aged</v>
      </c>
      <c r="R840" s="7">
        <f>IF(Table1_1[[#This Row],[Marriedarital SingletatuSingle]]="M",Table1_1[[#This Row],[Children]]+2,Table1_1[[#This Row],[Children]]+1)</f>
        <v>4</v>
      </c>
      <c r="S840" s="4" t="str">
        <f>IF(Table1_1[[#This Row],[Cars]]=0,"No","Yes")</f>
        <v>Yes</v>
      </c>
      <c r="T840" s="6" t="str">
        <f>IF(AND(Table1_1[[#This Row],[Income]]&gt;50000,Table1_1[[#This Row],[Home Owner]]="Yes"),"High stability","Low stability")</f>
        <v>High stability</v>
      </c>
      <c r="U840" s="3">
        <f>Table1_1[[#This Row],[Income]]/Table1_1[[#This Row],[Family size]]</f>
        <v>20000</v>
      </c>
      <c r="V840" s="6" t="str">
        <f>IF(Table1_1[[#This Row],[Occupation]]="Skilled manual","Blue collar",IF(Table1_1[[#This Row],[Occupation]]="Manual","Blue collar","White collar"))</f>
        <v>Blue collar</v>
      </c>
    </row>
    <row r="841" spans="1:22" x14ac:dyDescent="0.3">
      <c r="A841" t="s">
        <v>875</v>
      </c>
      <c r="B841" s="6" t="s">
        <v>1044</v>
      </c>
      <c r="C841" s="6" t="s">
        <v>1045</v>
      </c>
      <c r="D841" s="3">
        <v>80000</v>
      </c>
      <c r="E841">
        <v>3</v>
      </c>
      <c r="F841" s="6" t="s">
        <v>31</v>
      </c>
      <c r="G841" s="6" t="s">
        <v>21</v>
      </c>
      <c r="H841" s="6" t="s">
        <v>15</v>
      </c>
      <c r="I841">
        <v>0</v>
      </c>
      <c r="J841" t="s">
        <v>16</v>
      </c>
      <c r="K8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41" s="6" t="s">
        <v>32</v>
      </c>
      <c r="M841" s="7">
        <v>37</v>
      </c>
      <c r="N841" t="s">
        <v>15</v>
      </c>
      <c r="O841" s="9" t="str">
        <f>IF(Table1_1[[#This Row],[Purchased Bike]]="yes","1","0")</f>
        <v>1</v>
      </c>
      <c r="P841" s="4" t="str">
        <f>IF(Table1_1[[#This Row],[Income]]&lt;=30000,"Low ",IF(Table1_1[[#This Row],[Income]]&lt;=70000,"Middle","High"))</f>
        <v>High</v>
      </c>
      <c r="Q841" s="6" t="str">
        <f>IF(Table1_1[[#This Row],[Age]]&lt;30,"Young",IF(Table1_1[[#This Row],[Age]]&lt;50,"Middle aged","Senior citizen"))</f>
        <v>Middle aged</v>
      </c>
      <c r="R841" s="7">
        <f>IF(Table1_1[[#This Row],[Marriedarital SingletatuSingle]]="M",Table1_1[[#This Row],[Children]]+2,Table1_1[[#This Row],[Children]]+1)</f>
        <v>4</v>
      </c>
      <c r="S841" s="4" t="str">
        <f>IF(Table1_1[[#This Row],[Cars]]=0,"No","Yes")</f>
        <v>No</v>
      </c>
      <c r="T841" s="6" t="str">
        <f>IF(AND(Table1_1[[#This Row],[Income]]&gt;50000,Table1_1[[#This Row],[Home Owner]]="Yes"),"High stability","Low stability")</f>
        <v>High stability</v>
      </c>
      <c r="U841" s="3">
        <f>Table1_1[[#This Row],[Income]]/Table1_1[[#This Row],[Family size]]</f>
        <v>20000</v>
      </c>
      <c r="V841" s="6" t="str">
        <f>IF(Table1_1[[#This Row],[Occupation]]="Skilled manual","Blue collar",IF(Table1_1[[#This Row],[Occupation]]="Manual","Blue collar","White collar"))</f>
        <v>White collar</v>
      </c>
    </row>
    <row r="842" spans="1:22" x14ac:dyDescent="0.3">
      <c r="A842" t="s">
        <v>876</v>
      </c>
      <c r="B842" s="6" t="s">
        <v>1042</v>
      </c>
      <c r="C842" s="6" t="s">
        <v>1046</v>
      </c>
      <c r="D842" s="3">
        <v>70000</v>
      </c>
      <c r="E842">
        <v>4</v>
      </c>
      <c r="F842" s="6" t="s">
        <v>19</v>
      </c>
      <c r="G842" s="6" t="s">
        <v>21</v>
      </c>
      <c r="H842" s="6" t="s">
        <v>15</v>
      </c>
      <c r="I842">
        <v>2</v>
      </c>
      <c r="J842" t="s">
        <v>30</v>
      </c>
      <c r="K8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842" s="6" t="s">
        <v>32</v>
      </c>
      <c r="M842" s="7">
        <v>53</v>
      </c>
      <c r="N842" t="s">
        <v>18</v>
      </c>
      <c r="O842" s="9" t="str">
        <f>IF(Table1_1[[#This Row],[Purchased Bike]]="yes","1","0")</f>
        <v>0</v>
      </c>
      <c r="P842" s="4" t="str">
        <f>IF(Table1_1[[#This Row],[Income]]&lt;=30000,"Low ",IF(Table1_1[[#This Row],[Income]]&lt;=70000,"Middle","High"))</f>
        <v>Middle</v>
      </c>
      <c r="Q842" s="6" t="str">
        <f>IF(Table1_1[[#This Row],[Age]]&lt;30,"Young",IF(Table1_1[[#This Row],[Age]]&lt;50,"Middle aged","Senior citizen"))</f>
        <v>Senior citizen</v>
      </c>
      <c r="R842" s="7">
        <f>IF(Table1_1[[#This Row],[Marriedarital SingletatuSingle]]="M",Table1_1[[#This Row],[Children]]+2,Table1_1[[#This Row],[Children]]+1)</f>
        <v>5</v>
      </c>
      <c r="S842" s="4" t="str">
        <f>IF(Table1_1[[#This Row],[Cars]]=0,"No","Yes")</f>
        <v>Yes</v>
      </c>
      <c r="T842" s="6" t="str">
        <f>IF(AND(Table1_1[[#This Row],[Income]]&gt;50000,Table1_1[[#This Row],[Home Owner]]="Yes"),"High stability","Low stability")</f>
        <v>High stability</v>
      </c>
      <c r="U842" s="3">
        <f>Table1_1[[#This Row],[Income]]/Table1_1[[#This Row],[Family size]]</f>
        <v>14000</v>
      </c>
      <c r="V842" s="6" t="str">
        <f>IF(Table1_1[[#This Row],[Occupation]]="Skilled manual","Blue collar",IF(Table1_1[[#This Row],[Occupation]]="Manual","Blue collar","White collar"))</f>
        <v>White collar</v>
      </c>
    </row>
    <row r="843" spans="1:22" x14ac:dyDescent="0.3">
      <c r="A843" t="s">
        <v>877</v>
      </c>
      <c r="B843" s="6" t="s">
        <v>1042</v>
      </c>
      <c r="C843" s="6" t="s">
        <v>1046</v>
      </c>
      <c r="D843" s="3">
        <v>120000</v>
      </c>
      <c r="E843">
        <v>2</v>
      </c>
      <c r="F843" s="6" t="s">
        <v>31</v>
      </c>
      <c r="G843" s="6" t="s">
        <v>28</v>
      </c>
      <c r="H843" s="6" t="s">
        <v>15</v>
      </c>
      <c r="I843">
        <v>3</v>
      </c>
      <c r="J843" t="s">
        <v>23</v>
      </c>
      <c r="K8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43" s="6" t="s">
        <v>32</v>
      </c>
      <c r="M843" s="7">
        <v>64</v>
      </c>
      <c r="N843" t="s">
        <v>18</v>
      </c>
      <c r="O843" s="9" t="str">
        <f>IF(Table1_1[[#This Row],[Purchased Bike]]="yes","1","0")</f>
        <v>0</v>
      </c>
      <c r="P843" s="4" t="str">
        <f>IF(Table1_1[[#This Row],[Income]]&lt;=30000,"Low ",IF(Table1_1[[#This Row],[Income]]&lt;=70000,"Middle","High"))</f>
        <v>High</v>
      </c>
      <c r="Q843" s="6" t="str">
        <f>IF(Table1_1[[#This Row],[Age]]&lt;30,"Young",IF(Table1_1[[#This Row],[Age]]&lt;50,"Middle aged","Senior citizen"))</f>
        <v>Senior citizen</v>
      </c>
      <c r="R843" s="7">
        <f>IF(Table1_1[[#This Row],[Marriedarital SingletatuSingle]]="M",Table1_1[[#This Row],[Children]]+2,Table1_1[[#This Row],[Children]]+1)</f>
        <v>3</v>
      </c>
      <c r="S843" s="4" t="str">
        <f>IF(Table1_1[[#This Row],[Cars]]=0,"No","Yes")</f>
        <v>Yes</v>
      </c>
      <c r="T843" s="6" t="str">
        <f>IF(AND(Table1_1[[#This Row],[Income]]&gt;50000,Table1_1[[#This Row],[Home Owner]]="Yes"),"High stability","Low stability")</f>
        <v>High stability</v>
      </c>
      <c r="U843" s="3">
        <f>Table1_1[[#This Row],[Income]]/Table1_1[[#This Row],[Family size]]</f>
        <v>40000</v>
      </c>
      <c r="V843" s="6" t="str">
        <f>IF(Table1_1[[#This Row],[Occupation]]="Skilled manual","Blue collar",IF(Table1_1[[#This Row],[Occupation]]="Manual","Blue collar","White collar"))</f>
        <v>White collar</v>
      </c>
    </row>
    <row r="844" spans="1:22" x14ac:dyDescent="0.3">
      <c r="A844" t="s">
        <v>878</v>
      </c>
      <c r="B844" s="6" t="s">
        <v>1042</v>
      </c>
      <c r="C844" s="6" t="s">
        <v>1045</v>
      </c>
      <c r="D844" s="3">
        <v>60000</v>
      </c>
      <c r="E844">
        <v>1</v>
      </c>
      <c r="F844" s="6" t="s">
        <v>19</v>
      </c>
      <c r="G844" s="6" t="s">
        <v>14</v>
      </c>
      <c r="H844" s="6" t="s">
        <v>15</v>
      </c>
      <c r="I844">
        <v>1</v>
      </c>
      <c r="J844" t="s">
        <v>22</v>
      </c>
      <c r="K8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44" s="6" t="s">
        <v>32</v>
      </c>
      <c r="M844" s="7">
        <v>45</v>
      </c>
      <c r="N844" t="s">
        <v>15</v>
      </c>
      <c r="O844" s="9" t="str">
        <f>IF(Table1_1[[#This Row],[Purchased Bike]]="yes","1","0")</f>
        <v>1</v>
      </c>
      <c r="P844" s="4" t="str">
        <f>IF(Table1_1[[#This Row],[Income]]&lt;=30000,"Low ",IF(Table1_1[[#This Row],[Income]]&lt;=70000,"Middle","High"))</f>
        <v>Middle</v>
      </c>
      <c r="Q844" s="6" t="str">
        <f>IF(Table1_1[[#This Row],[Age]]&lt;30,"Young",IF(Table1_1[[#This Row],[Age]]&lt;50,"Middle aged","Senior citizen"))</f>
        <v>Middle aged</v>
      </c>
      <c r="R844" s="7">
        <f>IF(Table1_1[[#This Row],[Marriedarital SingletatuSingle]]="M",Table1_1[[#This Row],[Children]]+2,Table1_1[[#This Row],[Children]]+1)</f>
        <v>2</v>
      </c>
      <c r="S844" s="4" t="str">
        <f>IF(Table1_1[[#This Row],[Cars]]=0,"No","Yes")</f>
        <v>Yes</v>
      </c>
      <c r="T844" s="6" t="str">
        <f>IF(AND(Table1_1[[#This Row],[Income]]&gt;50000,Table1_1[[#This Row],[Home Owner]]="Yes"),"High stability","Low stability")</f>
        <v>High stability</v>
      </c>
      <c r="U844" s="3">
        <f>Table1_1[[#This Row],[Income]]/Table1_1[[#This Row],[Family size]]</f>
        <v>30000</v>
      </c>
      <c r="V844" s="6" t="str">
        <f>IF(Table1_1[[#This Row],[Occupation]]="Skilled manual","Blue collar",IF(Table1_1[[#This Row],[Occupation]]="Manual","Blue collar","White collar"))</f>
        <v>Blue collar</v>
      </c>
    </row>
    <row r="845" spans="1:22" x14ac:dyDescent="0.3">
      <c r="A845" t="s">
        <v>879</v>
      </c>
      <c r="B845" s="6" t="s">
        <v>1044</v>
      </c>
      <c r="C845" s="6" t="s">
        <v>1046</v>
      </c>
      <c r="D845" s="3">
        <v>80000</v>
      </c>
      <c r="E845">
        <v>2</v>
      </c>
      <c r="F845" s="6" t="s">
        <v>29</v>
      </c>
      <c r="G845" s="6" t="s">
        <v>14</v>
      </c>
      <c r="H845" s="6" t="s">
        <v>18</v>
      </c>
      <c r="I845">
        <v>2</v>
      </c>
      <c r="J845" t="s">
        <v>26</v>
      </c>
      <c r="K8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45" s="6" t="s">
        <v>32</v>
      </c>
      <c r="M845" s="7">
        <v>52</v>
      </c>
      <c r="N845" t="s">
        <v>18</v>
      </c>
      <c r="O845" s="9" t="str">
        <f>IF(Table1_1[[#This Row],[Purchased Bike]]="yes","1","0")</f>
        <v>0</v>
      </c>
      <c r="P845" s="4" t="str">
        <f>IF(Table1_1[[#This Row],[Income]]&lt;=30000,"Low ",IF(Table1_1[[#This Row],[Income]]&lt;=70000,"Middle","High"))</f>
        <v>High</v>
      </c>
      <c r="Q845" s="6" t="str">
        <f>IF(Table1_1[[#This Row],[Age]]&lt;30,"Young",IF(Table1_1[[#This Row],[Age]]&lt;50,"Middle aged","Senior citizen"))</f>
        <v>Senior citizen</v>
      </c>
      <c r="R845" s="7">
        <f>IF(Table1_1[[#This Row],[Marriedarital SingletatuSingle]]="M",Table1_1[[#This Row],[Children]]+2,Table1_1[[#This Row],[Children]]+1)</f>
        <v>3</v>
      </c>
      <c r="S845" s="4" t="str">
        <f>IF(Table1_1[[#This Row],[Cars]]=0,"No","Yes")</f>
        <v>Yes</v>
      </c>
      <c r="T845" s="6" t="str">
        <f>IF(AND(Table1_1[[#This Row],[Income]]&gt;50000,Table1_1[[#This Row],[Home Owner]]="Yes"),"High stability","Low stability")</f>
        <v>Low stability</v>
      </c>
      <c r="U845" s="3">
        <f>Table1_1[[#This Row],[Income]]/Table1_1[[#This Row],[Family size]]</f>
        <v>26666.666666666668</v>
      </c>
      <c r="V845" s="6" t="str">
        <f>IF(Table1_1[[#This Row],[Occupation]]="Skilled manual","Blue collar",IF(Table1_1[[#This Row],[Occupation]]="Manual","Blue collar","White collar"))</f>
        <v>Blue collar</v>
      </c>
    </row>
    <row r="846" spans="1:22" x14ac:dyDescent="0.3">
      <c r="A846" t="s">
        <v>880</v>
      </c>
      <c r="B846" s="6" t="s">
        <v>1042</v>
      </c>
      <c r="C846" s="6" t="s">
        <v>1045</v>
      </c>
      <c r="D846" s="3">
        <v>40000</v>
      </c>
      <c r="E846">
        <v>5</v>
      </c>
      <c r="F846" s="6" t="s">
        <v>27</v>
      </c>
      <c r="G846" s="6" t="s">
        <v>21</v>
      </c>
      <c r="H846" s="6" t="s">
        <v>15</v>
      </c>
      <c r="I846">
        <v>2</v>
      </c>
      <c r="J846" t="s">
        <v>30</v>
      </c>
      <c r="K8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846" s="6" t="s">
        <v>32</v>
      </c>
      <c r="M846" s="7">
        <v>60</v>
      </c>
      <c r="N846" t="s">
        <v>18</v>
      </c>
      <c r="O846" s="9" t="str">
        <f>IF(Table1_1[[#This Row],[Purchased Bike]]="yes","1","0")</f>
        <v>0</v>
      </c>
      <c r="P846" s="4" t="str">
        <f>IF(Table1_1[[#This Row],[Income]]&lt;=30000,"Low ",IF(Table1_1[[#This Row],[Income]]&lt;=70000,"Middle","High"))</f>
        <v>Middle</v>
      </c>
      <c r="Q846" s="6" t="str">
        <f>IF(Table1_1[[#This Row],[Age]]&lt;30,"Young",IF(Table1_1[[#This Row],[Age]]&lt;50,"Middle aged","Senior citizen"))</f>
        <v>Senior citizen</v>
      </c>
      <c r="R846" s="7">
        <f>IF(Table1_1[[#This Row],[Marriedarital SingletatuSingle]]="M",Table1_1[[#This Row],[Children]]+2,Table1_1[[#This Row],[Children]]+1)</f>
        <v>6</v>
      </c>
      <c r="S846" s="4" t="str">
        <f>IF(Table1_1[[#This Row],[Cars]]=0,"No","Yes")</f>
        <v>Yes</v>
      </c>
      <c r="T846" s="6" t="str">
        <f>IF(AND(Table1_1[[#This Row],[Income]]&gt;50000,Table1_1[[#This Row],[Home Owner]]="Yes"),"High stability","Low stability")</f>
        <v>Low stability</v>
      </c>
      <c r="U846" s="3">
        <f>Table1_1[[#This Row],[Income]]/Table1_1[[#This Row],[Family size]]</f>
        <v>6666.666666666667</v>
      </c>
      <c r="V846" s="6" t="str">
        <f>IF(Table1_1[[#This Row],[Occupation]]="Skilled manual","Blue collar",IF(Table1_1[[#This Row],[Occupation]]="Manual","Blue collar","White collar"))</f>
        <v>White collar</v>
      </c>
    </row>
    <row r="847" spans="1:22" x14ac:dyDescent="0.3">
      <c r="A847" t="s">
        <v>881</v>
      </c>
      <c r="B847" s="6" t="s">
        <v>1044</v>
      </c>
      <c r="C847" s="6" t="s">
        <v>1045</v>
      </c>
      <c r="D847" s="3">
        <v>20000</v>
      </c>
      <c r="E847">
        <v>3</v>
      </c>
      <c r="F847" s="6" t="s">
        <v>29</v>
      </c>
      <c r="G847" s="6" t="s">
        <v>20</v>
      </c>
      <c r="H847" s="6" t="s">
        <v>15</v>
      </c>
      <c r="I847">
        <v>2</v>
      </c>
      <c r="J847" t="s">
        <v>26</v>
      </c>
      <c r="K8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47" s="6" t="s">
        <v>32</v>
      </c>
      <c r="M847" s="7">
        <v>50</v>
      </c>
      <c r="N847" t="s">
        <v>18</v>
      </c>
      <c r="O847" s="9" t="str">
        <f>IF(Table1_1[[#This Row],[Purchased Bike]]="yes","1","0")</f>
        <v>0</v>
      </c>
      <c r="P847" s="4" t="str">
        <f>IF(Table1_1[[#This Row],[Income]]&lt;=30000,"Low ",IF(Table1_1[[#This Row],[Income]]&lt;=70000,"Middle","High"))</f>
        <v xml:space="preserve">Low </v>
      </c>
      <c r="Q847" s="6" t="str">
        <f>IF(Table1_1[[#This Row],[Age]]&lt;30,"Young",IF(Table1_1[[#This Row],[Age]]&lt;50,"Middle aged","Senior citizen"))</f>
        <v>Senior citizen</v>
      </c>
      <c r="R847" s="7">
        <f>IF(Table1_1[[#This Row],[Marriedarital SingletatuSingle]]="M",Table1_1[[#This Row],[Children]]+2,Table1_1[[#This Row],[Children]]+1)</f>
        <v>4</v>
      </c>
      <c r="S847" s="4" t="str">
        <f>IF(Table1_1[[#This Row],[Cars]]=0,"No","Yes")</f>
        <v>Yes</v>
      </c>
      <c r="T847" s="6" t="str">
        <f>IF(AND(Table1_1[[#This Row],[Income]]&gt;50000,Table1_1[[#This Row],[Home Owner]]="Yes"),"High stability","Low stability")</f>
        <v>Low stability</v>
      </c>
      <c r="U847" s="3">
        <f>Table1_1[[#This Row],[Income]]/Table1_1[[#This Row],[Family size]]</f>
        <v>5000</v>
      </c>
      <c r="V847" s="6" t="str">
        <f>IF(Table1_1[[#This Row],[Occupation]]="Skilled manual","Blue collar",IF(Table1_1[[#This Row],[Occupation]]="Manual","Blue collar","White collar"))</f>
        <v>White collar</v>
      </c>
    </row>
    <row r="848" spans="1:22" x14ac:dyDescent="0.3">
      <c r="A848" t="s">
        <v>882</v>
      </c>
      <c r="B848" s="6" t="s">
        <v>1042</v>
      </c>
      <c r="C848" s="6" t="s">
        <v>1045</v>
      </c>
      <c r="D848" s="3">
        <v>70000</v>
      </c>
      <c r="E848">
        <v>4</v>
      </c>
      <c r="F848" s="6" t="s">
        <v>19</v>
      </c>
      <c r="G848" s="6" t="s">
        <v>21</v>
      </c>
      <c r="H848" s="6" t="s">
        <v>18</v>
      </c>
      <c r="I848">
        <v>1</v>
      </c>
      <c r="J848" t="s">
        <v>26</v>
      </c>
      <c r="K8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48" s="6" t="s">
        <v>32</v>
      </c>
      <c r="M848" s="7">
        <v>56</v>
      </c>
      <c r="N848" t="s">
        <v>18</v>
      </c>
      <c r="O848" s="9" t="str">
        <f>IF(Table1_1[[#This Row],[Purchased Bike]]="yes","1","0")</f>
        <v>0</v>
      </c>
      <c r="P848" s="4" t="str">
        <f>IF(Table1_1[[#This Row],[Income]]&lt;=30000,"Low ",IF(Table1_1[[#This Row],[Income]]&lt;=70000,"Middle","High"))</f>
        <v>Middle</v>
      </c>
      <c r="Q848" s="6" t="str">
        <f>IF(Table1_1[[#This Row],[Age]]&lt;30,"Young",IF(Table1_1[[#This Row],[Age]]&lt;50,"Middle aged","Senior citizen"))</f>
        <v>Senior citizen</v>
      </c>
      <c r="R848" s="7">
        <f>IF(Table1_1[[#This Row],[Marriedarital SingletatuSingle]]="M",Table1_1[[#This Row],[Children]]+2,Table1_1[[#This Row],[Children]]+1)</f>
        <v>5</v>
      </c>
      <c r="S848" s="4" t="str">
        <f>IF(Table1_1[[#This Row],[Cars]]=0,"No","Yes")</f>
        <v>Yes</v>
      </c>
      <c r="T848" s="6" t="str">
        <f>IF(AND(Table1_1[[#This Row],[Income]]&gt;50000,Table1_1[[#This Row],[Home Owner]]="Yes"),"High stability","Low stability")</f>
        <v>Low stability</v>
      </c>
      <c r="U848" s="3">
        <f>Table1_1[[#This Row],[Income]]/Table1_1[[#This Row],[Family size]]</f>
        <v>14000</v>
      </c>
      <c r="V848" s="6" t="str">
        <f>IF(Table1_1[[#This Row],[Occupation]]="Skilled manual","Blue collar",IF(Table1_1[[#This Row],[Occupation]]="Manual","Blue collar","White collar"))</f>
        <v>White collar</v>
      </c>
    </row>
    <row r="849" spans="1:22" x14ac:dyDescent="0.3">
      <c r="A849" t="s">
        <v>883</v>
      </c>
      <c r="B849" s="6" t="s">
        <v>1044</v>
      </c>
      <c r="C849" s="6" t="s">
        <v>1045</v>
      </c>
      <c r="D849" s="3">
        <v>40000</v>
      </c>
      <c r="E849">
        <v>0</v>
      </c>
      <c r="F849" s="6" t="s">
        <v>29</v>
      </c>
      <c r="G849" s="6" t="s">
        <v>20</v>
      </c>
      <c r="H849" s="6" t="s">
        <v>15</v>
      </c>
      <c r="I849">
        <v>2</v>
      </c>
      <c r="J849" t="s">
        <v>23</v>
      </c>
      <c r="K8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49" s="6" t="s">
        <v>32</v>
      </c>
      <c r="M849" s="7">
        <v>29</v>
      </c>
      <c r="N849" t="s">
        <v>18</v>
      </c>
      <c r="O849" s="9" t="str">
        <f>IF(Table1_1[[#This Row],[Purchased Bike]]="yes","1","0")</f>
        <v>0</v>
      </c>
      <c r="P849" s="4" t="str">
        <f>IF(Table1_1[[#This Row],[Income]]&lt;=30000,"Low ",IF(Table1_1[[#This Row],[Income]]&lt;=70000,"Middle","High"))</f>
        <v>Middle</v>
      </c>
      <c r="Q849" s="6" t="str">
        <f>IF(Table1_1[[#This Row],[Age]]&lt;30,"Young",IF(Table1_1[[#This Row],[Age]]&lt;50,"Middle aged","Senior citizen"))</f>
        <v>Young</v>
      </c>
      <c r="R849" s="7">
        <f>IF(Table1_1[[#This Row],[Marriedarital SingletatuSingle]]="M",Table1_1[[#This Row],[Children]]+2,Table1_1[[#This Row],[Children]]+1)</f>
        <v>1</v>
      </c>
      <c r="S849" s="4" t="str">
        <f>IF(Table1_1[[#This Row],[Cars]]=0,"No","Yes")</f>
        <v>Yes</v>
      </c>
      <c r="T849" s="6" t="str">
        <f>IF(AND(Table1_1[[#This Row],[Income]]&gt;50000,Table1_1[[#This Row],[Home Owner]]="Yes"),"High stability","Low stability")</f>
        <v>Low stability</v>
      </c>
      <c r="U849" s="3">
        <f>Table1_1[[#This Row],[Income]]/Table1_1[[#This Row],[Family size]]</f>
        <v>40000</v>
      </c>
      <c r="V849" s="6" t="str">
        <f>IF(Table1_1[[#This Row],[Occupation]]="Skilled manual","Blue collar",IF(Table1_1[[#This Row],[Occupation]]="Manual","Blue collar","White collar"))</f>
        <v>White collar</v>
      </c>
    </row>
    <row r="850" spans="1:22" x14ac:dyDescent="0.3">
      <c r="A850" t="s">
        <v>884</v>
      </c>
      <c r="B850" s="6" t="s">
        <v>1044</v>
      </c>
      <c r="C850" s="6" t="s">
        <v>1046</v>
      </c>
      <c r="D850" s="3">
        <v>130000</v>
      </c>
      <c r="E850">
        <v>0</v>
      </c>
      <c r="F850" s="6" t="s">
        <v>31</v>
      </c>
      <c r="G850" s="6" t="s">
        <v>28</v>
      </c>
      <c r="H850" s="6" t="s">
        <v>18</v>
      </c>
      <c r="I850">
        <v>2</v>
      </c>
      <c r="J850" t="s">
        <v>16</v>
      </c>
      <c r="K8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50" s="6" t="s">
        <v>32</v>
      </c>
      <c r="M850" s="7">
        <v>38</v>
      </c>
      <c r="N850" t="s">
        <v>15</v>
      </c>
      <c r="O850" s="9" t="str">
        <f>IF(Table1_1[[#This Row],[Purchased Bike]]="yes","1","0")</f>
        <v>1</v>
      </c>
      <c r="P850" s="4" t="str">
        <f>IF(Table1_1[[#This Row],[Income]]&lt;=30000,"Low ",IF(Table1_1[[#This Row],[Income]]&lt;=70000,"Middle","High"))</f>
        <v>High</v>
      </c>
      <c r="Q850" s="6" t="str">
        <f>IF(Table1_1[[#This Row],[Age]]&lt;30,"Young",IF(Table1_1[[#This Row],[Age]]&lt;50,"Middle aged","Senior citizen"))</f>
        <v>Middle aged</v>
      </c>
      <c r="R850" s="7">
        <f>IF(Table1_1[[#This Row],[Marriedarital SingletatuSingle]]="M",Table1_1[[#This Row],[Children]]+2,Table1_1[[#This Row],[Children]]+1)</f>
        <v>1</v>
      </c>
      <c r="S850" s="4" t="str">
        <f>IF(Table1_1[[#This Row],[Cars]]=0,"No","Yes")</f>
        <v>Yes</v>
      </c>
      <c r="T850" s="6" t="str">
        <f>IF(AND(Table1_1[[#This Row],[Income]]&gt;50000,Table1_1[[#This Row],[Home Owner]]="Yes"),"High stability","Low stability")</f>
        <v>Low stability</v>
      </c>
      <c r="U850" s="3">
        <f>Table1_1[[#This Row],[Income]]/Table1_1[[#This Row],[Family size]]</f>
        <v>130000</v>
      </c>
      <c r="V850" s="6" t="str">
        <f>IF(Table1_1[[#This Row],[Occupation]]="Skilled manual","Blue collar",IF(Table1_1[[#This Row],[Occupation]]="Manual","Blue collar","White collar"))</f>
        <v>White collar</v>
      </c>
    </row>
    <row r="851" spans="1:22" x14ac:dyDescent="0.3">
      <c r="A851" t="s">
        <v>885</v>
      </c>
      <c r="B851" s="6" t="s">
        <v>1042</v>
      </c>
      <c r="C851" s="6" t="s">
        <v>1045</v>
      </c>
      <c r="D851" s="3">
        <v>40000</v>
      </c>
      <c r="E851">
        <v>5</v>
      </c>
      <c r="F851" s="6" t="s">
        <v>27</v>
      </c>
      <c r="G851" s="6" t="s">
        <v>21</v>
      </c>
      <c r="H851" s="6" t="s">
        <v>18</v>
      </c>
      <c r="I851">
        <v>2</v>
      </c>
      <c r="J851" t="s">
        <v>22</v>
      </c>
      <c r="K8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51" s="6" t="s">
        <v>32</v>
      </c>
      <c r="M851" s="7">
        <v>60</v>
      </c>
      <c r="N851" t="s">
        <v>18</v>
      </c>
      <c r="O851" s="9" t="str">
        <f>IF(Table1_1[[#This Row],[Purchased Bike]]="yes","1","0")</f>
        <v>0</v>
      </c>
      <c r="P851" s="4" t="str">
        <f>IF(Table1_1[[#This Row],[Income]]&lt;=30000,"Low ",IF(Table1_1[[#This Row],[Income]]&lt;=70000,"Middle","High"))</f>
        <v>Middle</v>
      </c>
      <c r="Q851" s="6" t="str">
        <f>IF(Table1_1[[#This Row],[Age]]&lt;30,"Young",IF(Table1_1[[#This Row],[Age]]&lt;50,"Middle aged","Senior citizen"))</f>
        <v>Senior citizen</v>
      </c>
      <c r="R851" s="7">
        <f>IF(Table1_1[[#This Row],[Marriedarital SingletatuSingle]]="M",Table1_1[[#This Row],[Children]]+2,Table1_1[[#This Row],[Children]]+1)</f>
        <v>6</v>
      </c>
      <c r="S851" s="4" t="str">
        <f>IF(Table1_1[[#This Row],[Cars]]=0,"No","Yes")</f>
        <v>Yes</v>
      </c>
      <c r="T851" s="6" t="str">
        <f>IF(AND(Table1_1[[#This Row],[Income]]&gt;50000,Table1_1[[#This Row],[Home Owner]]="Yes"),"High stability","Low stability")</f>
        <v>Low stability</v>
      </c>
      <c r="U851" s="3">
        <f>Table1_1[[#This Row],[Income]]/Table1_1[[#This Row],[Family size]]</f>
        <v>6666.666666666667</v>
      </c>
      <c r="V851" s="6" t="str">
        <f>IF(Table1_1[[#This Row],[Occupation]]="Skilled manual","Blue collar",IF(Table1_1[[#This Row],[Occupation]]="Manual","Blue collar","White collar"))</f>
        <v>White collar</v>
      </c>
    </row>
    <row r="852" spans="1:22" x14ac:dyDescent="0.3">
      <c r="A852" t="s">
        <v>886</v>
      </c>
      <c r="B852" s="6" t="s">
        <v>1044</v>
      </c>
      <c r="C852" s="6" t="s">
        <v>1045</v>
      </c>
      <c r="D852" s="3">
        <v>130000</v>
      </c>
      <c r="E852">
        <v>2</v>
      </c>
      <c r="F852" s="6" t="s">
        <v>13</v>
      </c>
      <c r="G852" s="6" t="s">
        <v>28</v>
      </c>
      <c r="H852" s="6" t="s">
        <v>18</v>
      </c>
      <c r="I852">
        <v>4</v>
      </c>
      <c r="J852" t="s">
        <v>16</v>
      </c>
      <c r="K8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52" s="6" t="s">
        <v>32</v>
      </c>
      <c r="M852" s="7">
        <v>67</v>
      </c>
      <c r="N852" t="s">
        <v>18</v>
      </c>
      <c r="O852" s="9" t="str">
        <f>IF(Table1_1[[#This Row],[Purchased Bike]]="yes","1","0")</f>
        <v>0</v>
      </c>
      <c r="P852" s="4" t="str">
        <f>IF(Table1_1[[#This Row],[Income]]&lt;=30000,"Low ",IF(Table1_1[[#This Row],[Income]]&lt;=70000,"Middle","High"))</f>
        <v>High</v>
      </c>
      <c r="Q852" s="6" t="str">
        <f>IF(Table1_1[[#This Row],[Age]]&lt;30,"Young",IF(Table1_1[[#This Row],[Age]]&lt;50,"Middle aged","Senior citizen"))</f>
        <v>Senior citizen</v>
      </c>
      <c r="R852" s="7">
        <f>IF(Table1_1[[#This Row],[Marriedarital SingletatuSingle]]="M",Table1_1[[#This Row],[Children]]+2,Table1_1[[#This Row],[Children]]+1)</f>
        <v>3</v>
      </c>
      <c r="S852" s="4" t="str">
        <f>IF(Table1_1[[#This Row],[Cars]]=0,"No","Yes")</f>
        <v>Yes</v>
      </c>
      <c r="T852" s="6" t="str">
        <f>IF(AND(Table1_1[[#This Row],[Income]]&gt;50000,Table1_1[[#This Row],[Home Owner]]="Yes"),"High stability","Low stability")</f>
        <v>Low stability</v>
      </c>
      <c r="U852" s="3">
        <f>Table1_1[[#This Row],[Income]]/Table1_1[[#This Row],[Family size]]</f>
        <v>43333.333333333336</v>
      </c>
      <c r="V852" s="6" t="str">
        <f>IF(Table1_1[[#This Row],[Occupation]]="Skilled manual","Blue collar",IF(Table1_1[[#This Row],[Occupation]]="Manual","Blue collar","White collar"))</f>
        <v>White collar</v>
      </c>
    </row>
    <row r="853" spans="1:22" x14ac:dyDescent="0.3">
      <c r="A853" t="s">
        <v>887</v>
      </c>
      <c r="B853" s="6" t="s">
        <v>1042</v>
      </c>
      <c r="C853" s="6" t="s">
        <v>1046</v>
      </c>
      <c r="D853" s="3">
        <v>60000</v>
      </c>
      <c r="E853">
        <v>0</v>
      </c>
      <c r="F853" s="6" t="s">
        <v>19</v>
      </c>
      <c r="G853" s="6" t="s">
        <v>14</v>
      </c>
      <c r="H853" s="6" t="s">
        <v>15</v>
      </c>
      <c r="I853">
        <v>1</v>
      </c>
      <c r="J853" t="s">
        <v>23</v>
      </c>
      <c r="K8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53" s="6" t="s">
        <v>32</v>
      </c>
      <c r="M853" s="7">
        <v>32</v>
      </c>
      <c r="N853" t="s">
        <v>15</v>
      </c>
      <c r="O853" s="9" t="str">
        <f>IF(Table1_1[[#This Row],[Purchased Bike]]="yes","1","0")</f>
        <v>1</v>
      </c>
      <c r="P853" s="4" t="str">
        <f>IF(Table1_1[[#This Row],[Income]]&lt;=30000,"Low ",IF(Table1_1[[#This Row],[Income]]&lt;=70000,"Middle","High"))</f>
        <v>Middle</v>
      </c>
      <c r="Q853" s="6" t="str">
        <f>IF(Table1_1[[#This Row],[Age]]&lt;30,"Young",IF(Table1_1[[#This Row],[Age]]&lt;50,"Middle aged","Senior citizen"))</f>
        <v>Middle aged</v>
      </c>
      <c r="R853" s="7">
        <f>IF(Table1_1[[#This Row],[Marriedarital SingletatuSingle]]="M",Table1_1[[#This Row],[Children]]+2,Table1_1[[#This Row],[Children]]+1)</f>
        <v>1</v>
      </c>
      <c r="S853" s="4" t="str">
        <f>IF(Table1_1[[#This Row],[Cars]]=0,"No","Yes")</f>
        <v>Yes</v>
      </c>
      <c r="T853" s="6" t="str">
        <f>IF(AND(Table1_1[[#This Row],[Income]]&gt;50000,Table1_1[[#This Row],[Home Owner]]="Yes"),"High stability","Low stability")</f>
        <v>High stability</v>
      </c>
      <c r="U853" s="3">
        <f>Table1_1[[#This Row],[Income]]/Table1_1[[#This Row],[Family size]]</f>
        <v>60000</v>
      </c>
      <c r="V853" s="6" t="str">
        <f>IF(Table1_1[[#This Row],[Occupation]]="Skilled manual","Blue collar",IF(Table1_1[[#This Row],[Occupation]]="Manual","Blue collar","White collar"))</f>
        <v>Blue collar</v>
      </c>
    </row>
    <row r="854" spans="1:22" x14ac:dyDescent="0.3">
      <c r="A854" t="s">
        <v>888</v>
      </c>
      <c r="B854" s="6" t="s">
        <v>1044</v>
      </c>
      <c r="C854" s="6" t="s">
        <v>1046</v>
      </c>
      <c r="D854" s="3">
        <v>50000</v>
      </c>
      <c r="E854">
        <v>2</v>
      </c>
      <c r="F854" s="6" t="s">
        <v>13</v>
      </c>
      <c r="G854" s="6" t="s">
        <v>14</v>
      </c>
      <c r="H854" s="6" t="s">
        <v>18</v>
      </c>
      <c r="I854">
        <v>1</v>
      </c>
      <c r="J854" t="s">
        <v>16</v>
      </c>
      <c r="K8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54" s="6" t="s">
        <v>32</v>
      </c>
      <c r="M854" s="7">
        <v>39</v>
      </c>
      <c r="N854" t="s">
        <v>15</v>
      </c>
      <c r="O854" s="9" t="str">
        <f>IF(Table1_1[[#This Row],[Purchased Bike]]="yes","1","0")</f>
        <v>1</v>
      </c>
      <c r="P854" s="4" t="str">
        <f>IF(Table1_1[[#This Row],[Income]]&lt;=30000,"Low ",IF(Table1_1[[#This Row],[Income]]&lt;=70000,"Middle","High"))</f>
        <v>Middle</v>
      </c>
      <c r="Q854" s="6" t="str">
        <f>IF(Table1_1[[#This Row],[Age]]&lt;30,"Young",IF(Table1_1[[#This Row],[Age]]&lt;50,"Middle aged","Senior citizen"))</f>
        <v>Middle aged</v>
      </c>
      <c r="R854" s="7">
        <f>IF(Table1_1[[#This Row],[Marriedarital SingletatuSingle]]="M",Table1_1[[#This Row],[Children]]+2,Table1_1[[#This Row],[Children]]+1)</f>
        <v>3</v>
      </c>
      <c r="S854" s="4" t="str">
        <f>IF(Table1_1[[#This Row],[Cars]]=0,"No","Yes")</f>
        <v>Yes</v>
      </c>
      <c r="T854" s="6" t="str">
        <f>IF(AND(Table1_1[[#This Row],[Income]]&gt;50000,Table1_1[[#This Row],[Home Owner]]="Yes"),"High stability","Low stability")</f>
        <v>Low stability</v>
      </c>
      <c r="U854" s="3">
        <f>Table1_1[[#This Row],[Income]]/Table1_1[[#This Row],[Family size]]</f>
        <v>16666.666666666668</v>
      </c>
      <c r="V854" s="6" t="str">
        <f>IF(Table1_1[[#This Row],[Occupation]]="Skilled manual","Blue collar",IF(Table1_1[[#This Row],[Occupation]]="Manual","Blue collar","White collar"))</f>
        <v>Blue collar</v>
      </c>
    </row>
    <row r="855" spans="1:22" x14ac:dyDescent="0.3">
      <c r="A855" t="s">
        <v>889</v>
      </c>
      <c r="B855" s="6" t="s">
        <v>1044</v>
      </c>
      <c r="C855" s="6" t="s">
        <v>1046</v>
      </c>
      <c r="D855" s="3">
        <v>60000</v>
      </c>
      <c r="E855">
        <v>1</v>
      </c>
      <c r="F855" s="6" t="s">
        <v>31</v>
      </c>
      <c r="G855" s="6" t="s">
        <v>21</v>
      </c>
      <c r="H855" s="6" t="s">
        <v>15</v>
      </c>
      <c r="I855">
        <v>0</v>
      </c>
      <c r="J855" t="s">
        <v>22</v>
      </c>
      <c r="K8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55" s="6" t="s">
        <v>32</v>
      </c>
      <c r="M855" s="7">
        <v>35</v>
      </c>
      <c r="N855" t="s">
        <v>15</v>
      </c>
      <c r="O855" s="9" t="str">
        <f>IF(Table1_1[[#This Row],[Purchased Bike]]="yes","1","0")</f>
        <v>1</v>
      </c>
      <c r="P855" s="4" t="str">
        <f>IF(Table1_1[[#This Row],[Income]]&lt;=30000,"Low ",IF(Table1_1[[#This Row],[Income]]&lt;=70000,"Middle","High"))</f>
        <v>Middle</v>
      </c>
      <c r="Q855" s="6" t="str">
        <f>IF(Table1_1[[#This Row],[Age]]&lt;30,"Young",IF(Table1_1[[#This Row],[Age]]&lt;50,"Middle aged","Senior citizen"))</f>
        <v>Middle aged</v>
      </c>
      <c r="R855" s="7">
        <f>IF(Table1_1[[#This Row],[Marriedarital SingletatuSingle]]="M",Table1_1[[#This Row],[Children]]+2,Table1_1[[#This Row],[Children]]+1)</f>
        <v>2</v>
      </c>
      <c r="S855" s="4" t="str">
        <f>IF(Table1_1[[#This Row],[Cars]]=0,"No","Yes")</f>
        <v>No</v>
      </c>
      <c r="T855" s="6" t="str">
        <f>IF(AND(Table1_1[[#This Row],[Income]]&gt;50000,Table1_1[[#This Row],[Home Owner]]="Yes"),"High stability","Low stability")</f>
        <v>High stability</v>
      </c>
      <c r="U855" s="3">
        <f>Table1_1[[#This Row],[Income]]/Table1_1[[#This Row],[Family size]]</f>
        <v>30000</v>
      </c>
      <c r="V855" s="6" t="str">
        <f>IF(Table1_1[[#This Row],[Occupation]]="Skilled manual","Blue collar",IF(Table1_1[[#This Row],[Occupation]]="Manual","Blue collar","White collar"))</f>
        <v>White collar</v>
      </c>
    </row>
    <row r="856" spans="1:22" x14ac:dyDescent="0.3">
      <c r="A856" t="s">
        <v>890</v>
      </c>
      <c r="B856" s="6" t="s">
        <v>1042</v>
      </c>
      <c r="C856" s="6" t="s">
        <v>1045</v>
      </c>
      <c r="D856" s="3">
        <v>60000</v>
      </c>
      <c r="E856">
        <v>0</v>
      </c>
      <c r="F856" s="6" t="s">
        <v>19</v>
      </c>
      <c r="G856" s="6" t="s">
        <v>21</v>
      </c>
      <c r="H856" s="6" t="s">
        <v>15</v>
      </c>
      <c r="I856">
        <v>2</v>
      </c>
      <c r="J856" t="s">
        <v>23</v>
      </c>
      <c r="K8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56" s="6" t="s">
        <v>32</v>
      </c>
      <c r="M856" s="7">
        <v>32</v>
      </c>
      <c r="N856" t="s">
        <v>18</v>
      </c>
      <c r="O856" s="9" t="str">
        <f>IF(Table1_1[[#This Row],[Purchased Bike]]="yes","1","0")</f>
        <v>0</v>
      </c>
      <c r="P856" s="4" t="str">
        <f>IF(Table1_1[[#This Row],[Income]]&lt;=30000,"Low ",IF(Table1_1[[#This Row],[Income]]&lt;=70000,"Middle","High"))</f>
        <v>Middle</v>
      </c>
      <c r="Q856" s="6" t="str">
        <f>IF(Table1_1[[#This Row],[Age]]&lt;30,"Young",IF(Table1_1[[#This Row],[Age]]&lt;50,"Middle aged","Senior citizen"))</f>
        <v>Middle aged</v>
      </c>
      <c r="R856" s="7">
        <f>IF(Table1_1[[#This Row],[Marriedarital SingletatuSingle]]="M",Table1_1[[#This Row],[Children]]+2,Table1_1[[#This Row],[Children]]+1)</f>
        <v>1</v>
      </c>
      <c r="S856" s="4" t="str">
        <f>IF(Table1_1[[#This Row],[Cars]]=0,"No","Yes")</f>
        <v>Yes</v>
      </c>
      <c r="T856" s="6" t="str">
        <f>IF(AND(Table1_1[[#This Row],[Income]]&gt;50000,Table1_1[[#This Row],[Home Owner]]="Yes"),"High stability","Low stability")</f>
        <v>High stability</v>
      </c>
      <c r="U856" s="3">
        <f>Table1_1[[#This Row],[Income]]/Table1_1[[#This Row],[Family size]]</f>
        <v>60000</v>
      </c>
      <c r="V856" s="6" t="str">
        <f>IF(Table1_1[[#This Row],[Occupation]]="Skilled manual","Blue collar",IF(Table1_1[[#This Row],[Occupation]]="Manual","Blue collar","White collar"))</f>
        <v>White collar</v>
      </c>
    </row>
    <row r="857" spans="1:22" x14ac:dyDescent="0.3">
      <c r="A857" t="s">
        <v>891</v>
      </c>
      <c r="B857" s="6" t="s">
        <v>1044</v>
      </c>
      <c r="C857" s="6" t="s">
        <v>1045</v>
      </c>
      <c r="D857" s="3">
        <v>30000</v>
      </c>
      <c r="E857">
        <v>0</v>
      </c>
      <c r="F857" s="6" t="s">
        <v>19</v>
      </c>
      <c r="G857" s="6" t="s">
        <v>14</v>
      </c>
      <c r="H857" s="6" t="s">
        <v>18</v>
      </c>
      <c r="I857">
        <v>1</v>
      </c>
      <c r="J857" t="s">
        <v>26</v>
      </c>
      <c r="K8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57" s="6" t="s">
        <v>32</v>
      </c>
      <c r="M857" s="7">
        <v>31</v>
      </c>
      <c r="N857" t="s">
        <v>18</v>
      </c>
      <c r="O857" s="9" t="str">
        <f>IF(Table1_1[[#This Row],[Purchased Bike]]="yes","1","0")</f>
        <v>0</v>
      </c>
      <c r="P857" s="4" t="str">
        <f>IF(Table1_1[[#This Row],[Income]]&lt;=30000,"Low ",IF(Table1_1[[#This Row],[Income]]&lt;=70000,"Middle","High"))</f>
        <v xml:space="preserve">Low </v>
      </c>
      <c r="Q857" s="6" t="str">
        <f>IF(Table1_1[[#This Row],[Age]]&lt;30,"Young",IF(Table1_1[[#This Row],[Age]]&lt;50,"Middle aged","Senior citizen"))</f>
        <v>Middle aged</v>
      </c>
      <c r="R857" s="7">
        <f>IF(Table1_1[[#This Row],[Marriedarital SingletatuSingle]]="M",Table1_1[[#This Row],[Children]]+2,Table1_1[[#This Row],[Children]]+1)</f>
        <v>1</v>
      </c>
      <c r="S857" s="4" t="str">
        <f>IF(Table1_1[[#This Row],[Cars]]=0,"No","Yes")</f>
        <v>Yes</v>
      </c>
      <c r="T857" s="6" t="str">
        <f>IF(AND(Table1_1[[#This Row],[Income]]&gt;50000,Table1_1[[#This Row],[Home Owner]]="Yes"),"High stability","Low stability")</f>
        <v>Low stability</v>
      </c>
      <c r="U857" s="3">
        <f>Table1_1[[#This Row],[Income]]/Table1_1[[#This Row],[Family size]]</f>
        <v>30000</v>
      </c>
      <c r="V857" s="6" t="str">
        <f>IF(Table1_1[[#This Row],[Occupation]]="Skilled manual","Blue collar",IF(Table1_1[[#This Row],[Occupation]]="Manual","Blue collar","White collar"))</f>
        <v>Blue collar</v>
      </c>
    </row>
    <row r="858" spans="1:22" x14ac:dyDescent="0.3">
      <c r="A858" t="s">
        <v>892</v>
      </c>
      <c r="B858" s="6" t="s">
        <v>1044</v>
      </c>
      <c r="C858" s="6" t="s">
        <v>1046</v>
      </c>
      <c r="D858" s="3">
        <v>40000</v>
      </c>
      <c r="E858">
        <v>0</v>
      </c>
      <c r="F858" s="6" t="s">
        <v>19</v>
      </c>
      <c r="G858" s="6" t="s">
        <v>14</v>
      </c>
      <c r="H858" s="6" t="s">
        <v>15</v>
      </c>
      <c r="I858">
        <v>1</v>
      </c>
      <c r="J858" t="s">
        <v>23</v>
      </c>
      <c r="K8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58" s="6" t="s">
        <v>32</v>
      </c>
      <c r="M858" s="7">
        <v>27</v>
      </c>
      <c r="N858" t="s">
        <v>18</v>
      </c>
      <c r="O858" s="9" t="str">
        <f>IF(Table1_1[[#This Row],[Purchased Bike]]="yes","1","0")</f>
        <v>0</v>
      </c>
      <c r="P858" s="4" t="str">
        <f>IF(Table1_1[[#This Row],[Income]]&lt;=30000,"Low ",IF(Table1_1[[#This Row],[Income]]&lt;=70000,"Middle","High"))</f>
        <v>Middle</v>
      </c>
      <c r="Q858" s="6" t="str">
        <f>IF(Table1_1[[#This Row],[Age]]&lt;30,"Young",IF(Table1_1[[#This Row],[Age]]&lt;50,"Middle aged","Senior citizen"))</f>
        <v>Young</v>
      </c>
      <c r="R858" s="7">
        <f>IF(Table1_1[[#This Row],[Marriedarital SingletatuSingle]]="M",Table1_1[[#This Row],[Children]]+2,Table1_1[[#This Row],[Children]]+1)</f>
        <v>1</v>
      </c>
      <c r="S858" s="4" t="str">
        <f>IF(Table1_1[[#This Row],[Cars]]=0,"No","Yes")</f>
        <v>Yes</v>
      </c>
      <c r="T858" s="6" t="str">
        <f>IF(AND(Table1_1[[#This Row],[Income]]&gt;50000,Table1_1[[#This Row],[Home Owner]]="Yes"),"High stability","Low stability")</f>
        <v>Low stability</v>
      </c>
      <c r="U858" s="3">
        <f>Table1_1[[#This Row],[Income]]/Table1_1[[#This Row],[Family size]]</f>
        <v>40000</v>
      </c>
      <c r="V858" s="6" t="str">
        <f>IF(Table1_1[[#This Row],[Occupation]]="Skilled manual","Blue collar",IF(Table1_1[[#This Row],[Occupation]]="Manual","Blue collar","White collar"))</f>
        <v>Blue collar</v>
      </c>
    </row>
    <row r="859" spans="1:22" x14ac:dyDescent="0.3">
      <c r="A859" t="s">
        <v>893</v>
      </c>
      <c r="B859" s="6" t="s">
        <v>1042</v>
      </c>
      <c r="C859" s="6" t="s">
        <v>1045</v>
      </c>
      <c r="D859" s="3">
        <v>60000</v>
      </c>
      <c r="E859">
        <v>1</v>
      </c>
      <c r="F859" s="6" t="s">
        <v>13</v>
      </c>
      <c r="G859" s="6" t="s">
        <v>21</v>
      </c>
      <c r="H859" s="6" t="s">
        <v>15</v>
      </c>
      <c r="I859">
        <v>1</v>
      </c>
      <c r="J859" t="s">
        <v>16</v>
      </c>
      <c r="K8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59" s="6" t="s">
        <v>32</v>
      </c>
      <c r="M859" s="7">
        <v>47</v>
      </c>
      <c r="N859" t="s">
        <v>15</v>
      </c>
      <c r="O859" s="9" t="str">
        <f>IF(Table1_1[[#This Row],[Purchased Bike]]="yes","1","0")</f>
        <v>1</v>
      </c>
      <c r="P859" s="4" t="str">
        <f>IF(Table1_1[[#This Row],[Income]]&lt;=30000,"Low ",IF(Table1_1[[#This Row],[Income]]&lt;=70000,"Middle","High"))</f>
        <v>Middle</v>
      </c>
      <c r="Q859" s="6" t="str">
        <f>IF(Table1_1[[#This Row],[Age]]&lt;30,"Young",IF(Table1_1[[#This Row],[Age]]&lt;50,"Middle aged","Senior citizen"))</f>
        <v>Middle aged</v>
      </c>
      <c r="R859" s="7">
        <f>IF(Table1_1[[#This Row],[Marriedarital SingletatuSingle]]="M",Table1_1[[#This Row],[Children]]+2,Table1_1[[#This Row],[Children]]+1)</f>
        <v>2</v>
      </c>
      <c r="S859" s="4" t="str">
        <f>IF(Table1_1[[#This Row],[Cars]]=0,"No","Yes")</f>
        <v>Yes</v>
      </c>
      <c r="T859" s="6" t="str">
        <f>IF(AND(Table1_1[[#This Row],[Income]]&gt;50000,Table1_1[[#This Row],[Home Owner]]="Yes"),"High stability","Low stability")</f>
        <v>High stability</v>
      </c>
      <c r="U859" s="3">
        <f>Table1_1[[#This Row],[Income]]/Table1_1[[#This Row],[Family size]]</f>
        <v>30000</v>
      </c>
      <c r="V859" s="6" t="str">
        <f>IF(Table1_1[[#This Row],[Occupation]]="Skilled manual","Blue collar",IF(Table1_1[[#This Row],[Occupation]]="Manual","Blue collar","White collar"))</f>
        <v>White collar</v>
      </c>
    </row>
    <row r="860" spans="1:22" x14ac:dyDescent="0.3">
      <c r="A860" t="s">
        <v>894</v>
      </c>
      <c r="B860" s="6" t="s">
        <v>1042</v>
      </c>
      <c r="C860" s="6" t="s">
        <v>1046</v>
      </c>
      <c r="D860" s="3">
        <v>40000</v>
      </c>
      <c r="E860">
        <v>0</v>
      </c>
      <c r="F860" s="6" t="s">
        <v>13</v>
      </c>
      <c r="G860" s="6" t="s">
        <v>21</v>
      </c>
      <c r="H860" s="6" t="s">
        <v>18</v>
      </c>
      <c r="I860">
        <v>1</v>
      </c>
      <c r="J860" t="s">
        <v>16</v>
      </c>
      <c r="K8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60" s="6" t="s">
        <v>32</v>
      </c>
      <c r="M860" s="7">
        <v>42</v>
      </c>
      <c r="N860" t="s">
        <v>18</v>
      </c>
      <c r="O860" s="9" t="str">
        <f>IF(Table1_1[[#This Row],[Purchased Bike]]="yes","1","0")</f>
        <v>0</v>
      </c>
      <c r="P860" s="4" t="str">
        <f>IF(Table1_1[[#This Row],[Income]]&lt;=30000,"Low ",IF(Table1_1[[#This Row],[Income]]&lt;=70000,"Middle","High"))</f>
        <v>Middle</v>
      </c>
      <c r="Q860" s="6" t="str">
        <f>IF(Table1_1[[#This Row],[Age]]&lt;30,"Young",IF(Table1_1[[#This Row],[Age]]&lt;50,"Middle aged","Senior citizen"))</f>
        <v>Middle aged</v>
      </c>
      <c r="R860" s="7">
        <f>IF(Table1_1[[#This Row],[Marriedarital SingletatuSingle]]="M",Table1_1[[#This Row],[Children]]+2,Table1_1[[#This Row],[Children]]+1)</f>
        <v>1</v>
      </c>
      <c r="S860" s="4" t="str">
        <f>IF(Table1_1[[#This Row],[Cars]]=0,"No","Yes")</f>
        <v>Yes</v>
      </c>
      <c r="T860" s="6" t="str">
        <f>IF(AND(Table1_1[[#This Row],[Income]]&gt;50000,Table1_1[[#This Row],[Home Owner]]="Yes"),"High stability","Low stability")</f>
        <v>Low stability</v>
      </c>
      <c r="U860" s="3">
        <f>Table1_1[[#This Row],[Income]]/Table1_1[[#This Row],[Family size]]</f>
        <v>40000</v>
      </c>
      <c r="V860" s="6" t="str">
        <f>IF(Table1_1[[#This Row],[Occupation]]="Skilled manual","Blue collar",IF(Table1_1[[#This Row],[Occupation]]="Manual","Blue collar","White collar"))</f>
        <v>White collar</v>
      </c>
    </row>
    <row r="861" spans="1:22" x14ac:dyDescent="0.3">
      <c r="A861" t="s">
        <v>895</v>
      </c>
      <c r="B861" s="6" t="s">
        <v>1042</v>
      </c>
      <c r="C861" s="6" t="s">
        <v>1046</v>
      </c>
      <c r="D861" s="3">
        <v>30000</v>
      </c>
      <c r="E861">
        <v>2</v>
      </c>
      <c r="F861" s="6" t="s">
        <v>27</v>
      </c>
      <c r="G861" s="6" t="s">
        <v>14</v>
      </c>
      <c r="H861" s="6" t="s">
        <v>15</v>
      </c>
      <c r="I861">
        <v>2</v>
      </c>
      <c r="J861" t="s">
        <v>26</v>
      </c>
      <c r="K8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61" s="6" t="s">
        <v>32</v>
      </c>
      <c r="M861" s="7">
        <v>49</v>
      </c>
      <c r="N861" t="s">
        <v>18</v>
      </c>
      <c r="O861" s="9" t="str">
        <f>IF(Table1_1[[#This Row],[Purchased Bike]]="yes","1","0")</f>
        <v>0</v>
      </c>
      <c r="P861" s="4" t="str">
        <f>IF(Table1_1[[#This Row],[Income]]&lt;=30000,"Low ",IF(Table1_1[[#This Row],[Income]]&lt;=70000,"Middle","High"))</f>
        <v xml:space="preserve">Low </v>
      </c>
      <c r="Q861" s="6" t="str">
        <f>IF(Table1_1[[#This Row],[Age]]&lt;30,"Young",IF(Table1_1[[#This Row],[Age]]&lt;50,"Middle aged","Senior citizen"))</f>
        <v>Middle aged</v>
      </c>
      <c r="R861" s="7">
        <f>IF(Table1_1[[#This Row],[Marriedarital SingletatuSingle]]="M",Table1_1[[#This Row],[Children]]+2,Table1_1[[#This Row],[Children]]+1)</f>
        <v>3</v>
      </c>
      <c r="S861" s="4" t="str">
        <f>IF(Table1_1[[#This Row],[Cars]]=0,"No","Yes")</f>
        <v>Yes</v>
      </c>
      <c r="T861" s="6" t="str">
        <f>IF(AND(Table1_1[[#This Row],[Income]]&gt;50000,Table1_1[[#This Row],[Home Owner]]="Yes"),"High stability","Low stability")</f>
        <v>Low stability</v>
      </c>
      <c r="U861" s="3">
        <f>Table1_1[[#This Row],[Income]]/Table1_1[[#This Row],[Family size]]</f>
        <v>10000</v>
      </c>
      <c r="V861" s="6" t="str">
        <f>IF(Table1_1[[#This Row],[Occupation]]="Skilled manual","Blue collar",IF(Table1_1[[#This Row],[Occupation]]="Manual","Blue collar","White collar"))</f>
        <v>Blue collar</v>
      </c>
    </row>
    <row r="862" spans="1:22" x14ac:dyDescent="0.3">
      <c r="A862" t="s">
        <v>896</v>
      </c>
      <c r="B862" s="6" t="s">
        <v>1044</v>
      </c>
      <c r="C862" s="6" t="s">
        <v>1046</v>
      </c>
      <c r="D862" s="3">
        <v>30000</v>
      </c>
      <c r="E862">
        <v>0</v>
      </c>
      <c r="F862" s="6" t="s">
        <v>19</v>
      </c>
      <c r="G862" s="6" t="s">
        <v>14</v>
      </c>
      <c r="H862" s="6" t="s">
        <v>15</v>
      </c>
      <c r="I862">
        <v>1</v>
      </c>
      <c r="J862" t="s">
        <v>23</v>
      </c>
      <c r="K8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62" s="6" t="s">
        <v>32</v>
      </c>
      <c r="M862" s="7">
        <v>32</v>
      </c>
      <c r="N862" t="s">
        <v>18</v>
      </c>
      <c r="O862" s="9" t="str">
        <f>IF(Table1_1[[#This Row],[Purchased Bike]]="yes","1","0")</f>
        <v>0</v>
      </c>
      <c r="P862" s="4" t="str">
        <f>IF(Table1_1[[#This Row],[Income]]&lt;=30000,"Low ",IF(Table1_1[[#This Row],[Income]]&lt;=70000,"Middle","High"))</f>
        <v xml:space="preserve">Low </v>
      </c>
      <c r="Q862" s="6" t="str">
        <f>IF(Table1_1[[#This Row],[Age]]&lt;30,"Young",IF(Table1_1[[#This Row],[Age]]&lt;50,"Middle aged","Senior citizen"))</f>
        <v>Middle aged</v>
      </c>
      <c r="R862" s="7">
        <f>IF(Table1_1[[#This Row],[Marriedarital SingletatuSingle]]="M",Table1_1[[#This Row],[Children]]+2,Table1_1[[#This Row],[Children]]+1)</f>
        <v>1</v>
      </c>
      <c r="S862" s="4" t="str">
        <f>IF(Table1_1[[#This Row],[Cars]]=0,"No","Yes")</f>
        <v>Yes</v>
      </c>
      <c r="T862" s="6" t="str">
        <f>IF(AND(Table1_1[[#This Row],[Income]]&gt;50000,Table1_1[[#This Row],[Home Owner]]="Yes"),"High stability","Low stability")</f>
        <v>Low stability</v>
      </c>
      <c r="U862" s="3">
        <f>Table1_1[[#This Row],[Income]]/Table1_1[[#This Row],[Family size]]</f>
        <v>30000</v>
      </c>
      <c r="V862" s="6" t="str">
        <f>IF(Table1_1[[#This Row],[Occupation]]="Skilled manual","Blue collar",IF(Table1_1[[#This Row],[Occupation]]="Manual","Blue collar","White collar"))</f>
        <v>Blue collar</v>
      </c>
    </row>
    <row r="863" spans="1:22" x14ac:dyDescent="0.3">
      <c r="A863" t="s">
        <v>897</v>
      </c>
      <c r="B863" s="6" t="s">
        <v>1042</v>
      </c>
      <c r="C863" s="6" t="s">
        <v>1045</v>
      </c>
      <c r="D863" s="3">
        <v>20000</v>
      </c>
      <c r="E863">
        <v>2</v>
      </c>
      <c r="F863" s="6" t="s">
        <v>27</v>
      </c>
      <c r="G863" s="6" t="s">
        <v>25</v>
      </c>
      <c r="H863" s="6" t="s">
        <v>18</v>
      </c>
      <c r="I863">
        <v>2</v>
      </c>
      <c r="J863" t="s">
        <v>26</v>
      </c>
      <c r="K8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63" s="6" t="s">
        <v>32</v>
      </c>
      <c r="M863" s="7">
        <v>53</v>
      </c>
      <c r="N863" t="s">
        <v>15</v>
      </c>
      <c r="O863" s="9" t="str">
        <f>IF(Table1_1[[#This Row],[Purchased Bike]]="yes","1","0")</f>
        <v>1</v>
      </c>
      <c r="P863" s="4" t="str">
        <f>IF(Table1_1[[#This Row],[Income]]&lt;=30000,"Low ",IF(Table1_1[[#This Row],[Income]]&lt;=70000,"Middle","High"))</f>
        <v xml:space="preserve">Low </v>
      </c>
      <c r="Q863" s="6" t="str">
        <f>IF(Table1_1[[#This Row],[Age]]&lt;30,"Young",IF(Table1_1[[#This Row],[Age]]&lt;50,"Middle aged","Senior citizen"))</f>
        <v>Senior citizen</v>
      </c>
      <c r="R863" s="7">
        <f>IF(Table1_1[[#This Row],[Marriedarital SingletatuSingle]]="M",Table1_1[[#This Row],[Children]]+2,Table1_1[[#This Row],[Children]]+1)</f>
        <v>3</v>
      </c>
      <c r="S863" s="4" t="str">
        <f>IF(Table1_1[[#This Row],[Cars]]=0,"No","Yes")</f>
        <v>Yes</v>
      </c>
      <c r="T863" s="6" t="str">
        <f>IF(AND(Table1_1[[#This Row],[Income]]&gt;50000,Table1_1[[#This Row],[Home Owner]]="Yes"),"High stability","Low stability")</f>
        <v>Low stability</v>
      </c>
      <c r="U863" s="3">
        <f>Table1_1[[#This Row],[Income]]/Table1_1[[#This Row],[Family size]]</f>
        <v>6666.666666666667</v>
      </c>
      <c r="V863" s="6" t="str">
        <f>IF(Table1_1[[#This Row],[Occupation]]="Skilled manual","Blue collar",IF(Table1_1[[#This Row],[Occupation]]="Manual","Blue collar","White collar"))</f>
        <v>Blue collar</v>
      </c>
    </row>
    <row r="864" spans="1:22" x14ac:dyDescent="0.3">
      <c r="A864" t="s">
        <v>898</v>
      </c>
      <c r="B864" s="6" t="s">
        <v>1042</v>
      </c>
      <c r="C864" s="6" t="s">
        <v>1046</v>
      </c>
      <c r="D864" s="3">
        <v>50000</v>
      </c>
      <c r="E864">
        <v>0</v>
      </c>
      <c r="F864" s="6" t="s">
        <v>31</v>
      </c>
      <c r="G864" s="6" t="s">
        <v>14</v>
      </c>
      <c r="H864" s="6" t="s">
        <v>15</v>
      </c>
      <c r="I864">
        <v>0</v>
      </c>
      <c r="J864" t="s">
        <v>26</v>
      </c>
      <c r="K8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64" s="6" t="s">
        <v>32</v>
      </c>
      <c r="M864" s="7">
        <v>32</v>
      </c>
      <c r="N864" t="s">
        <v>15</v>
      </c>
      <c r="O864" s="9" t="str">
        <f>IF(Table1_1[[#This Row],[Purchased Bike]]="yes","1","0")</f>
        <v>1</v>
      </c>
      <c r="P864" s="4" t="str">
        <f>IF(Table1_1[[#This Row],[Income]]&lt;=30000,"Low ",IF(Table1_1[[#This Row],[Income]]&lt;=70000,"Middle","High"))</f>
        <v>Middle</v>
      </c>
      <c r="Q864" s="6" t="str">
        <f>IF(Table1_1[[#This Row],[Age]]&lt;30,"Young",IF(Table1_1[[#This Row],[Age]]&lt;50,"Middle aged","Senior citizen"))</f>
        <v>Middle aged</v>
      </c>
      <c r="R864" s="7">
        <f>IF(Table1_1[[#This Row],[Marriedarital SingletatuSingle]]="M",Table1_1[[#This Row],[Children]]+2,Table1_1[[#This Row],[Children]]+1)</f>
        <v>1</v>
      </c>
      <c r="S864" s="4" t="str">
        <f>IF(Table1_1[[#This Row],[Cars]]=0,"No","Yes")</f>
        <v>No</v>
      </c>
      <c r="T864" s="6" t="str">
        <f>IF(AND(Table1_1[[#This Row],[Income]]&gt;50000,Table1_1[[#This Row],[Home Owner]]="Yes"),"High stability","Low stability")</f>
        <v>Low stability</v>
      </c>
      <c r="U864" s="3">
        <f>Table1_1[[#This Row],[Income]]/Table1_1[[#This Row],[Family size]]</f>
        <v>50000</v>
      </c>
      <c r="V864" s="6" t="str">
        <f>IF(Table1_1[[#This Row],[Occupation]]="Skilled manual","Blue collar",IF(Table1_1[[#This Row],[Occupation]]="Manual","Blue collar","White collar"))</f>
        <v>Blue collar</v>
      </c>
    </row>
    <row r="865" spans="1:22" x14ac:dyDescent="0.3">
      <c r="A865" t="s">
        <v>899</v>
      </c>
      <c r="B865" s="6" t="s">
        <v>1044</v>
      </c>
      <c r="C865" s="6" t="s">
        <v>1046</v>
      </c>
      <c r="D865" s="3">
        <v>80000</v>
      </c>
      <c r="E865">
        <v>0</v>
      </c>
      <c r="F865" s="6" t="s">
        <v>13</v>
      </c>
      <c r="G865" s="6" t="s">
        <v>28</v>
      </c>
      <c r="H865" s="6" t="s">
        <v>18</v>
      </c>
      <c r="I865">
        <v>1</v>
      </c>
      <c r="J865" t="s">
        <v>16</v>
      </c>
      <c r="K8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65" s="6" t="s">
        <v>32</v>
      </c>
      <c r="M865" s="7">
        <v>38</v>
      </c>
      <c r="N865" t="s">
        <v>15</v>
      </c>
      <c r="O865" s="9" t="str">
        <f>IF(Table1_1[[#This Row],[Purchased Bike]]="yes","1","0")</f>
        <v>1</v>
      </c>
      <c r="P865" s="4" t="str">
        <f>IF(Table1_1[[#This Row],[Income]]&lt;=30000,"Low ",IF(Table1_1[[#This Row],[Income]]&lt;=70000,"Middle","High"))</f>
        <v>High</v>
      </c>
      <c r="Q865" s="6" t="str">
        <f>IF(Table1_1[[#This Row],[Age]]&lt;30,"Young",IF(Table1_1[[#This Row],[Age]]&lt;50,"Middle aged","Senior citizen"))</f>
        <v>Middle aged</v>
      </c>
      <c r="R865" s="7">
        <f>IF(Table1_1[[#This Row],[Marriedarital SingletatuSingle]]="M",Table1_1[[#This Row],[Children]]+2,Table1_1[[#This Row],[Children]]+1)</f>
        <v>1</v>
      </c>
      <c r="S865" s="4" t="str">
        <f>IF(Table1_1[[#This Row],[Cars]]=0,"No","Yes")</f>
        <v>Yes</v>
      </c>
      <c r="T865" s="6" t="str">
        <f>IF(AND(Table1_1[[#This Row],[Income]]&gt;50000,Table1_1[[#This Row],[Home Owner]]="Yes"),"High stability","Low stability")</f>
        <v>Low stability</v>
      </c>
      <c r="U865" s="3">
        <f>Table1_1[[#This Row],[Income]]/Table1_1[[#This Row],[Family size]]</f>
        <v>80000</v>
      </c>
      <c r="V865" s="6" t="str">
        <f>IF(Table1_1[[#This Row],[Occupation]]="Skilled manual","Blue collar",IF(Table1_1[[#This Row],[Occupation]]="Manual","Blue collar","White collar"))</f>
        <v>White collar</v>
      </c>
    </row>
    <row r="866" spans="1:22" x14ac:dyDescent="0.3">
      <c r="A866" t="s">
        <v>900</v>
      </c>
      <c r="B866" s="6" t="s">
        <v>1044</v>
      </c>
      <c r="C866" s="6" t="s">
        <v>1046</v>
      </c>
      <c r="D866" s="3">
        <v>40000</v>
      </c>
      <c r="E866">
        <v>0</v>
      </c>
      <c r="F866" s="6" t="s">
        <v>27</v>
      </c>
      <c r="G866" s="6" t="s">
        <v>14</v>
      </c>
      <c r="H866" s="6" t="s">
        <v>15</v>
      </c>
      <c r="I866">
        <v>2</v>
      </c>
      <c r="J866" t="s">
        <v>23</v>
      </c>
      <c r="K8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66" s="6" t="s">
        <v>32</v>
      </c>
      <c r="M866" s="7">
        <v>31</v>
      </c>
      <c r="N866" t="s">
        <v>18</v>
      </c>
      <c r="O866" s="9" t="str">
        <f>IF(Table1_1[[#This Row],[Purchased Bike]]="yes","1","0")</f>
        <v>0</v>
      </c>
      <c r="P866" s="4" t="str">
        <f>IF(Table1_1[[#This Row],[Income]]&lt;=30000,"Low ",IF(Table1_1[[#This Row],[Income]]&lt;=70000,"Middle","High"))</f>
        <v>Middle</v>
      </c>
      <c r="Q866" s="6" t="str">
        <f>IF(Table1_1[[#This Row],[Age]]&lt;30,"Young",IF(Table1_1[[#This Row],[Age]]&lt;50,"Middle aged","Senior citizen"))</f>
        <v>Middle aged</v>
      </c>
      <c r="R866" s="7">
        <f>IF(Table1_1[[#This Row],[Marriedarital SingletatuSingle]]="M",Table1_1[[#This Row],[Children]]+2,Table1_1[[#This Row],[Children]]+1)</f>
        <v>1</v>
      </c>
      <c r="S866" s="4" t="str">
        <f>IF(Table1_1[[#This Row],[Cars]]=0,"No","Yes")</f>
        <v>Yes</v>
      </c>
      <c r="T866" s="6" t="str">
        <f>IF(AND(Table1_1[[#This Row],[Income]]&gt;50000,Table1_1[[#This Row],[Home Owner]]="Yes"),"High stability","Low stability")</f>
        <v>Low stability</v>
      </c>
      <c r="U866" s="3">
        <f>Table1_1[[#This Row],[Income]]/Table1_1[[#This Row],[Family size]]</f>
        <v>40000</v>
      </c>
      <c r="V866" s="6" t="str">
        <f>IF(Table1_1[[#This Row],[Occupation]]="Skilled manual","Blue collar",IF(Table1_1[[#This Row],[Occupation]]="Manual","Blue collar","White collar"))</f>
        <v>Blue collar</v>
      </c>
    </row>
    <row r="867" spans="1:22" x14ac:dyDescent="0.3">
      <c r="A867" t="s">
        <v>901</v>
      </c>
      <c r="B867" s="6" t="s">
        <v>1044</v>
      </c>
      <c r="C867" s="6" t="s">
        <v>1045</v>
      </c>
      <c r="D867" s="3">
        <v>80000</v>
      </c>
      <c r="E867">
        <v>0</v>
      </c>
      <c r="F867" s="6" t="s">
        <v>13</v>
      </c>
      <c r="G867" s="6" t="s">
        <v>28</v>
      </c>
      <c r="H867" s="6" t="s">
        <v>18</v>
      </c>
      <c r="I867">
        <v>1</v>
      </c>
      <c r="J867" t="s">
        <v>16</v>
      </c>
      <c r="K8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67" s="6" t="s">
        <v>32</v>
      </c>
      <c r="M867" s="7">
        <v>38</v>
      </c>
      <c r="N867" t="s">
        <v>15</v>
      </c>
      <c r="O867" s="9" t="str">
        <f>IF(Table1_1[[#This Row],[Purchased Bike]]="yes","1","0")</f>
        <v>1</v>
      </c>
      <c r="P867" s="4" t="str">
        <f>IF(Table1_1[[#This Row],[Income]]&lt;=30000,"Low ",IF(Table1_1[[#This Row],[Income]]&lt;=70000,"Middle","High"))</f>
        <v>High</v>
      </c>
      <c r="Q867" s="6" t="str">
        <f>IF(Table1_1[[#This Row],[Age]]&lt;30,"Young",IF(Table1_1[[#This Row],[Age]]&lt;50,"Middle aged","Senior citizen"))</f>
        <v>Middle aged</v>
      </c>
      <c r="R867" s="7">
        <f>IF(Table1_1[[#This Row],[Marriedarital SingletatuSingle]]="M",Table1_1[[#This Row],[Children]]+2,Table1_1[[#This Row],[Children]]+1)</f>
        <v>1</v>
      </c>
      <c r="S867" s="4" t="str">
        <f>IF(Table1_1[[#This Row],[Cars]]=0,"No","Yes")</f>
        <v>Yes</v>
      </c>
      <c r="T867" s="6" t="str">
        <f>IF(AND(Table1_1[[#This Row],[Income]]&gt;50000,Table1_1[[#This Row],[Home Owner]]="Yes"),"High stability","Low stability")</f>
        <v>Low stability</v>
      </c>
      <c r="U867" s="3">
        <f>Table1_1[[#This Row],[Income]]/Table1_1[[#This Row],[Family size]]</f>
        <v>80000</v>
      </c>
      <c r="V867" s="6" t="str">
        <f>IF(Table1_1[[#This Row],[Occupation]]="Skilled manual","Blue collar",IF(Table1_1[[#This Row],[Occupation]]="Manual","Blue collar","White collar"))</f>
        <v>White collar</v>
      </c>
    </row>
    <row r="868" spans="1:22" x14ac:dyDescent="0.3">
      <c r="A868" t="s">
        <v>902</v>
      </c>
      <c r="B868" s="6" t="s">
        <v>1042</v>
      </c>
      <c r="C868" s="6" t="s">
        <v>1046</v>
      </c>
      <c r="D868" s="3">
        <v>60000</v>
      </c>
      <c r="E868">
        <v>2</v>
      </c>
      <c r="F868" s="6" t="s">
        <v>27</v>
      </c>
      <c r="G868" s="6" t="s">
        <v>21</v>
      </c>
      <c r="H868" s="6" t="s">
        <v>15</v>
      </c>
      <c r="I868">
        <v>2</v>
      </c>
      <c r="J868" t="s">
        <v>30</v>
      </c>
      <c r="K8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868" s="6" t="s">
        <v>32</v>
      </c>
      <c r="M868" s="7">
        <v>55</v>
      </c>
      <c r="N868" t="s">
        <v>18</v>
      </c>
      <c r="O868" s="9" t="str">
        <f>IF(Table1_1[[#This Row],[Purchased Bike]]="yes","1","0")</f>
        <v>0</v>
      </c>
      <c r="P868" s="4" t="str">
        <f>IF(Table1_1[[#This Row],[Income]]&lt;=30000,"Low ",IF(Table1_1[[#This Row],[Income]]&lt;=70000,"Middle","High"))</f>
        <v>Middle</v>
      </c>
      <c r="Q868" s="6" t="str">
        <f>IF(Table1_1[[#This Row],[Age]]&lt;30,"Young",IF(Table1_1[[#This Row],[Age]]&lt;50,"Middle aged","Senior citizen"))</f>
        <v>Senior citizen</v>
      </c>
      <c r="R868" s="7">
        <f>IF(Table1_1[[#This Row],[Marriedarital SingletatuSingle]]="M",Table1_1[[#This Row],[Children]]+2,Table1_1[[#This Row],[Children]]+1)</f>
        <v>3</v>
      </c>
      <c r="S868" s="4" t="str">
        <f>IF(Table1_1[[#This Row],[Cars]]=0,"No","Yes")</f>
        <v>Yes</v>
      </c>
      <c r="T868" s="6" t="str">
        <f>IF(AND(Table1_1[[#This Row],[Income]]&gt;50000,Table1_1[[#This Row],[Home Owner]]="Yes"),"High stability","Low stability")</f>
        <v>High stability</v>
      </c>
      <c r="U868" s="3">
        <f>Table1_1[[#This Row],[Income]]/Table1_1[[#This Row],[Family size]]</f>
        <v>20000</v>
      </c>
      <c r="V868" s="6" t="str">
        <f>IF(Table1_1[[#This Row],[Occupation]]="Skilled manual","Blue collar",IF(Table1_1[[#This Row],[Occupation]]="Manual","Blue collar","White collar"))</f>
        <v>White collar</v>
      </c>
    </row>
    <row r="869" spans="1:22" x14ac:dyDescent="0.3">
      <c r="A869" t="s">
        <v>903</v>
      </c>
      <c r="B869" s="6" t="s">
        <v>1042</v>
      </c>
      <c r="C869" s="6" t="s">
        <v>1046</v>
      </c>
      <c r="D869" s="3">
        <v>70000</v>
      </c>
      <c r="E869">
        <v>3</v>
      </c>
      <c r="F869" s="6" t="s">
        <v>19</v>
      </c>
      <c r="G869" s="6" t="s">
        <v>21</v>
      </c>
      <c r="H869" s="6" t="s">
        <v>15</v>
      </c>
      <c r="I869">
        <v>1</v>
      </c>
      <c r="J869" t="s">
        <v>23</v>
      </c>
      <c r="K8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69" s="6" t="s">
        <v>32</v>
      </c>
      <c r="M869" s="7">
        <v>49</v>
      </c>
      <c r="N869" t="s">
        <v>18</v>
      </c>
      <c r="O869" s="9" t="str">
        <f>IF(Table1_1[[#This Row],[Purchased Bike]]="yes","1","0")</f>
        <v>0</v>
      </c>
      <c r="P869" s="4" t="str">
        <f>IF(Table1_1[[#This Row],[Income]]&lt;=30000,"Low ",IF(Table1_1[[#This Row],[Income]]&lt;=70000,"Middle","High"))</f>
        <v>Middle</v>
      </c>
      <c r="Q869" s="6" t="str">
        <f>IF(Table1_1[[#This Row],[Age]]&lt;30,"Young",IF(Table1_1[[#This Row],[Age]]&lt;50,"Middle aged","Senior citizen"))</f>
        <v>Middle aged</v>
      </c>
      <c r="R869" s="7">
        <f>IF(Table1_1[[#This Row],[Marriedarital SingletatuSingle]]="M",Table1_1[[#This Row],[Children]]+2,Table1_1[[#This Row],[Children]]+1)</f>
        <v>4</v>
      </c>
      <c r="S869" s="4" t="str">
        <f>IF(Table1_1[[#This Row],[Cars]]=0,"No","Yes")</f>
        <v>Yes</v>
      </c>
      <c r="T869" s="6" t="str">
        <f>IF(AND(Table1_1[[#This Row],[Income]]&gt;50000,Table1_1[[#This Row],[Home Owner]]="Yes"),"High stability","Low stability")</f>
        <v>High stability</v>
      </c>
      <c r="U869" s="3">
        <f>Table1_1[[#This Row],[Income]]/Table1_1[[#This Row],[Family size]]</f>
        <v>17500</v>
      </c>
      <c r="V869" s="6" t="str">
        <f>IF(Table1_1[[#This Row],[Occupation]]="Skilled manual","Blue collar",IF(Table1_1[[#This Row],[Occupation]]="Manual","Blue collar","White collar"))</f>
        <v>White collar</v>
      </c>
    </row>
    <row r="870" spans="1:22" x14ac:dyDescent="0.3">
      <c r="A870" t="s">
        <v>904</v>
      </c>
      <c r="B870" s="6" t="s">
        <v>1044</v>
      </c>
      <c r="C870" s="6" t="s">
        <v>1046</v>
      </c>
      <c r="D870" s="3">
        <v>30000</v>
      </c>
      <c r="E870">
        <v>5</v>
      </c>
      <c r="F870" s="6" t="s">
        <v>29</v>
      </c>
      <c r="G870" s="6" t="s">
        <v>14</v>
      </c>
      <c r="H870" s="6" t="s">
        <v>15</v>
      </c>
      <c r="I870">
        <v>3</v>
      </c>
      <c r="J870" t="s">
        <v>30</v>
      </c>
      <c r="K8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870" s="6" t="s">
        <v>32</v>
      </c>
      <c r="M870" s="7">
        <v>60</v>
      </c>
      <c r="N870" t="s">
        <v>15</v>
      </c>
      <c r="O870" s="9" t="str">
        <f>IF(Table1_1[[#This Row],[Purchased Bike]]="yes","1","0")</f>
        <v>1</v>
      </c>
      <c r="P870" s="4" t="str">
        <f>IF(Table1_1[[#This Row],[Income]]&lt;=30000,"Low ",IF(Table1_1[[#This Row],[Income]]&lt;=70000,"Middle","High"))</f>
        <v xml:space="preserve">Low </v>
      </c>
      <c r="Q870" s="6" t="str">
        <f>IF(Table1_1[[#This Row],[Age]]&lt;30,"Young",IF(Table1_1[[#This Row],[Age]]&lt;50,"Middle aged","Senior citizen"))</f>
        <v>Senior citizen</v>
      </c>
      <c r="R870" s="7">
        <f>IF(Table1_1[[#This Row],[Marriedarital SingletatuSingle]]="M",Table1_1[[#This Row],[Children]]+2,Table1_1[[#This Row],[Children]]+1)</f>
        <v>6</v>
      </c>
      <c r="S870" s="4" t="str">
        <f>IF(Table1_1[[#This Row],[Cars]]=0,"No","Yes")</f>
        <v>Yes</v>
      </c>
      <c r="T870" s="6" t="str">
        <f>IF(AND(Table1_1[[#This Row],[Income]]&gt;50000,Table1_1[[#This Row],[Home Owner]]="Yes"),"High stability","Low stability")</f>
        <v>Low stability</v>
      </c>
      <c r="U870" s="3">
        <f>Table1_1[[#This Row],[Income]]/Table1_1[[#This Row],[Family size]]</f>
        <v>5000</v>
      </c>
      <c r="V870" s="6" t="str">
        <f>IF(Table1_1[[#This Row],[Occupation]]="Skilled manual","Blue collar",IF(Table1_1[[#This Row],[Occupation]]="Manual","Blue collar","White collar"))</f>
        <v>Blue collar</v>
      </c>
    </row>
    <row r="871" spans="1:22" x14ac:dyDescent="0.3">
      <c r="A871" t="s">
        <v>905</v>
      </c>
      <c r="B871" s="6" t="s">
        <v>1044</v>
      </c>
      <c r="C871" s="6" t="s">
        <v>1045</v>
      </c>
      <c r="D871" s="3">
        <v>110000</v>
      </c>
      <c r="E871">
        <v>3</v>
      </c>
      <c r="F871" s="6" t="s">
        <v>13</v>
      </c>
      <c r="G871" s="6" t="s">
        <v>28</v>
      </c>
      <c r="H871" s="6" t="s">
        <v>18</v>
      </c>
      <c r="I871">
        <v>4</v>
      </c>
      <c r="J871" t="s">
        <v>26</v>
      </c>
      <c r="K8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71" s="6" t="s">
        <v>32</v>
      </c>
      <c r="M871" s="7">
        <v>42</v>
      </c>
      <c r="N871" t="s">
        <v>18</v>
      </c>
      <c r="O871" s="9" t="str">
        <f>IF(Table1_1[[#This Row],[Purchased Bike]]="yes","1","0")</f>
        <v>0</v>
      </c>
      <c r="P871" s="4" t="str">
        <f>IF(Table1_1[[#This Row],[Income]]&lt;=30000,"Low ",IF(Table1_1[[#This Row],[Income]]&lt;=70000,"Middle","High"))</f>
        <v>High</v>
      </c>
      <c r="Q871" s="6" t="str">
        <f>IF(Table1_1[[#This Row],[Age]]&lt;30,"Young",IF(Table1_1[[#This Row],[Age]]&lt;50,"Middle aged","Senior citizen"))</f>
        <v>Middle aged</v>
      </c>
      <c r="R871" s="7">
        <f>IF(Table1_1[[#This Row],[Marriedarital SingletatuSingle]]="M",Table1_1[[#This Row],[Children]]+2,Table1_1[[#This Row],[Children]]+1)</f>
        <v>4</v>
      </c>
      <c r="S871" s="4" t="str">
        <f>IF(Table1_1[[#This Row],[Cars]]=0,"No","Yes")</f>
        <v>Yes</v>
      </c>
      <c r="T871" s="6" t="str">
        <f>IF(AND(Table1_1[[#This Row],[Income]]&gt;50000,Table1_1[[#This Row],[Home Owner]]="Yes"),"High stability","Low stability")</f>
        <v>Low stability</v>
      </c>
      <c r="U871" s="3">
        <f>Table1_1[[#This Row],[Income]]/Table1_1[[#This Row],[Family size]]</f>
        <v>27500</v>
      </c>
      <c r="V871" s="6" t="str">
        <f>IF(Table1_1[[#This Row],[Occupation]]="Skilled manual","Blue collar",IF(Table1_1[[#This Row],[Occupation]]="Manual","Blue collar","White collar"))</f>
        <v>White collar</v>
      </c>
    </row>
    <row r="872" spans="1:22" x14ac:dyDescent="0.3">
      <c r="A872" t="s">
        <v>906</v>
      </c>
      <c r="B872" s="6" t="s">
        <v>1042</v>
      </c>
      <c r="C872" s="6" t="s">
        <v>1046</v>
      </c>
      <c r="D872" s="3">
        <v>60000</v>
      </c>
      <c r="E872">
        <v>1</v>
      </c>
      <c r="F872" s="6" t="s">
        <v>19</v>
      </c>
      <c r="G872" s="6" t="s">
        <v>14</v>
      </c>
      <c r="H872" s="6" t="s">
        <v>15</v>
      </c>
      <c r="I872">
        <v>1</v>
      </c>
      <c r="J872" t="s">
        <v>16</v>
      </c>
      <c r="K8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72" s="6" t="s">
        <v>32</v>
      </c>
      <c r="M872" s="7">
        <v>46</v>
      </c>
      <c r="N872" t="s">
        <v>18</v>
      </c>
      <c r="O872" s="9" t="str">
        <f>IF(Table1_1[[#This Row],[Purchased Bike]]="yes","1","0")</f>
        <v>0</v>
      </c>
      <c r="P872" s="4" t="str">
        <f>IF(Table1_1[[#This Row],[Income]]&lt;=30000,"Low ",IF(Table1_1[[#This Row],[Income]]&lt;=70000,"Middle","High"))</f>
        <v>Middle</v>
      </c>
      <c r="Q872" s="6" t="str">
        <f>IF(Table1_1[[#This Row],[Age]]&lt;30,"Young",IF(Table1_1[[#This Row],[Age]]&lt;50,"Middle aged","Senior citizen"))</f>
        <v>Middle aged</v>
      </c>
      <c r="R872" s="7">
        <f>IF(Table1_1[[#This Row],[Marriedarital SingletatuSingle]]="M",Table1_1[[#This Row],[Children]]+2,Table1_1[[#This Row],[Children]]+1)</f>
        <v>2</v>
      </c>
      <c r="S872" s="4" t="str">
        <f>IF(Table1_1[[#This Row],[Cars]]=0,"No","Yes")</f>
        <v>Yes</v>
      </c>
      <c r="T872" s="6" t="str">
        <f>IF(AND(Table1_1[[#This Row],[Income]]&gt;50000,Table1_1[[#This Row],[Home Owner]]="Yes"),"High stability","Low stability")</f>
        <v>High stability</v>
      </c>
      <c r="U872" s="3">
        <f>Table1_1[[#This Row],[Income]]/Table1_1[[#This Row],[Family size]]</f>
        <v>30000</v>
      </c>
      <c r="V872" s="6" t="str">
        <f>IF(Table1_1[[#This Row],[Occupation]]="Skilled manual","Blue collar",IF(Table1_1[[#This Row],[Occupation]]="Manual","Blue collar","White collar"))</f>
        <v>Blue collar</v>
      </c>
    </row>
    <row r="873" spans="1:22" x14ac:dyDescent="0.3">
      <c r="A873" t="s">
        <v>907</v>
      </c>
      <c r="B873" s="6" t="s">
        <v>1042</v>
      </c>
      <c r="C873" s="6" t="s">
        <v>1046</v>
      </c>
      <c r="D873" s="3">
        <v>60000</v>
      </c>
      <c r="E873">
        <v>2</v>
      </c>
      <c r="F873" s="6" t="s">
        <v>27</v>
      </c>
      <c r="G873" s="6" t="s">
        <v>21</v>
      </c>
      <c r="H873" s="6" t="s">
        <v>15</v>
      </c>
      <c r="I873">
        <v>2</v>
      </c>
      <c r="J873" t="s">
        <v>30</v>
      </c>
      <c r="K8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873" s="6" t="s">
        <v>32</v>
      </c>
      <c r="M873" s="7">
        <v>55</v>
      </c>
      <c r="N873" t="s">
        <v>18</v>
      </c>
      <c r="O873" s="9" t="str">
        <f>IF(Table1_1[[#This Row],[Purchased Bike]]="yes","1","0")</f>
        <v>0</v>
      </c>
      <c r="P873" s="4" t="str">
        <f>IF(Table1_1[[#This Row],[Income]]&lt;=30000,"Low ",IF(Table1_1[[#This Row],[Income]]&lt;=70000,"Middle","High"))</f>
        <v>Middle</v>
      </c>
      <c r="Q873" s="6" t="str">
        <f>IF(Table1_1[[#This Row],[Age]]&lt;30,"Young",IF(Table1_1[[#This Row],[Age]]&lt;50,"Middle aged","Senior citizen"))</f>
        <v>Senior citizen</v>
      </c>
      <c r="R873" s="7">
        <f>IF(Table1_1[[#This Row],[Marriedarital SingletatuSingle]]="M",Table1_1[[#This Row],[Children]]+2,Table1_1[[#This Row],[Children]]+1)</f>
        <v>3</v>
      </c>
      <c r="S873" s="4" t="str">
        <f>IF(Table1_1[[#This Row],[Cars]]=0,"No","Yes")</f>
        <v>Yes</v>
      </c>
      <c r="T873" s="6" t="str">
        <f>IF(AND(Table1_1[[#This Row],[Income]]&gt;50000,Table1_1[[#This Row],[Home Owner]]="Yes"),"High stability","Low stability")</f>
        <v>High stability</v>
      </c>
      <c r="U873" s="3">
        <f>Table1_1[[#This Row],[Income]]/Table1_1[[#This Row],[Family size]]</f>
        <v>20000</v>
      </c>
      <c r="V873" s="6" t="str">
        <f>IF(Table1_1[[#This Row],[Occupation]]="Skilled manual","Blue collar",IF(Table1_1[[#This Row],[Occupation]]="Manual","Blue collar","White collar"))</f>
        <v>White collar</v>
      </c>
    </row>
    <row r="874" spans="1:22" x14ac:dyDescent="0.3">
      <c r="A874" t="s">
        <v>908</v>
      </c>
      <c r="B874" s="6" t="s">
        <v>1044</v>
      </c>
      <c r="C874" s="6" t="s">
        <v>1045</v>
      </c>
      <c r="D874" s="3">
        <v>70000</v>
      </c>
      <c r="E874">
        <v>3</v>
      </c>
      <c r="F874" s="6" t="s">
        <v>31</v>
      </c>
      <c r="G874" s="6" t="s">
        <v>28</v>
      </c>
      <c r="H874" s="6" t="s">
        <v>15</v>
      </c>
      <c r="I874">
        <v>2</v>
      </c>
      <c r="J874" t="s">
        <v>23</v>
      </c>
      <c r="K8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74" s="6" t="s">
        <v>32</v>
      </c>
      <c r="M874" s="7">
        <v>53</v>
      </c>
      <c r="N874" t="s">
        <v>15</v>
      </c>
      <c r="O874" s="9" t="str">
        <f>IF(Table1_1[[#This Row],[Purchased Bike]]="yes","1","0")</f>
        <v>1</v>
      </c>
      <c r="P874" s="4" t="str">
        <f>IF(Table1_1[[#This Row],[Income]]&lt;=30000,"Low ",IF(Table1_1[[#This Row],[Income]]&lt;=70000,"Middle","High"))</f>
        <v>Middle</v>
      </c>
      <c r="Q874" s="6" t="str">
        <f>IF(Table1_1[[#This Row],[Age]]&lt;30,"Young",IF(Table1_1[[#This Row],[Age]]&lt;50,"Middle aged","Senior citizen"))</f>
        <v>Senior citizen</v>
      </c>
      <c r="R874" s="7">
        <f>IF(Table1_1[[#This Row],[Marriedarital SingletatuSingle]]="M",Table1_1[[#This Row],[Children]]+2,Table1_1[[#This Row],[Children]]+1)</f>
        <v>4</v>
      </c>
      <c r="S874" s="4" t="str">
        <f>IF(Table1_1[[#This Row],[Cars]]=0,"No","Yes")</f>
        <v>Yes</v>
      </c>
      <c r="T874" s="6" t="str">
        <f>IF(AND(Table1_1[[#This Row],[Income]]&gt;50000,Table1_1[[#This Row],[Home Owner]]="Yes"),"High stability","Low stability")</f>
        <v>High stability</v>
      </c>
      <c r="U874" s="3">
        <f>Table1_1[[#This Row],[Income]]/Table1_1[[#This Row],[Family size]]</f>
        <v>17500</v>
      </c>
      <c r="V874" s="6" t="str">
        <f>IF(Table1_1[[#This Row],[Occupation]]="Skilled manual","Blue collar",IF(Table1_1[[#This Row],[Occupation]]="Manual","Blue collar","White collar"))</f>
        <v>White collar</v>
      </c>
    </row>
    <row r="875" spans="1:22" x14ac:dyDescent="0.3">
      <c r="A875" t="s">
        <v>909</v>
      </c>
      <c r="B875" s="6" t="s">
        <v>1042</v>
      </c>
      <c r="C875" s="6" t="s">
        <v>1046</v>
      </c>
      <c r="D875" s="3">
        <v>50000</v>
      </c>
      <c r="E875">
        <v>3</v>
      </c>
      <c r="F875" s="6" t="s">
        <v>13</v>
      </c>
      <c r="G875" s="6" t="s">
        <v>14</v>
      </c>
      <c r="H875" s="6" t="s">
        <v>15</v>
      </c>
      <c r="I875">
        <v>2</v>
      </c>
      <c r="J875" t="s">
        <v>22</v>
      </c>
      <c r="K8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75" s="6" t="s">
        <v>32</v>
      </c>
      <c r="M875" s="7">
        <v>40</v>
      </c>
      <c r="N875" t="s">
        <v>18</v>
      </c>
      <c r="O875" s="9" t="str">
        <f>IF(Table1_1[[#This Row],[Purchased Bike]]="yes","1","0")</f>
        <v>0</v>
      </c>
      <c r="P875" s="4" t="str">
        <f>IF(Table1_1[[#This Row],[Income]]&lt;=30000,"Low ",IF(Table1_1[[#This Row],[Income]]&lt;=70000,"Middle","High"))</f>
        <v>Middle</v>
      </c>
      <c r="Q875" s="6" t="str">
        <f>IF(Table1_1[[#This Row],[Age]]&lt;30,"Young",IF(Table1_1[[#This Row],[Age]]&lt;50,"Middle aged","Senior citizen"))</f>
        <v>Middle aged</v>
      </c>
      <c r="R875" s="7">
        <f>IF(Table1_1[[#This Row],[Marriedarital SingletatuSingle]]="M",Table1_1[[#This Row],[Children]]+2,Table1_1[[#This Row],[Children]]+1)</f>
        <v>4</v>
      </c>
      <c r="S875" s="4" t="str">
        <f>IF(Table1_1[[#This Row],[Cars]]=0,"No","Yes")</f>
        <v>Yes</v>
      </c>
      <c r="T875" s="6" t="str">
        <f>IF(AND(Table1_1[[#This Row],[Income]]&gt;50000,Table1_1[[#This Row],[Home Owner]]="Yes"),"High stability","Low stability")</f>
        <v>Low stability</v>
      </c>
      <c r="U875" s="3">
        <f>Table1_1[[#This Row],[Income]]/Table1_1[[#This Row],[Family size]]</f>
        <v>12500</v>
      </c>
      <c r="V875" s="6" t="str">
        <f>IF(Table1_1[[#This Row],[Occupation]]="Skilled manual","Blue collar",IF(Table1_1[[#This Row],[Occupation]]="Manual","Blue collar","White collar"))</f>
        <v>Blue collar</v>
      </c>
    </row>
    <row r="876" spans="1:22" x14ac:dyDescent="0.3">
      <c r="A876" t="s">
        <v>910</v>
      </c>
      <c r="B876" s="6" t="s">
        <v>1042</v>
      </c>
      <c r="C876" s="6" t="s">
        <v>1045</v>
      </c>
      <c r="D876" s="3">
        <v>30000</v>
      </c>
      <c r="E876">
        <v>1</v>
      </c>
      <c r="F876" s="6" t="s">
        <v>13</v>
      </c>
      <c r="G876" s="6" t="s">
        <v>14</v>
      </c>
      <c r="H876" s="6" t="s">
        <v>15</v>
      </c>
      <c r="I876">
        <v>1</v>
      </c>
      <c r="J876" t="s">
        <v>23</v>
      </c>
      <c r="K8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76" s="6" t="s">
        <v>32</v>
      </c>
      <c r="M876" s="7">
        <v>53</v>
      </c>
      <c r="N876" t="s">
        <v>15</v>
      </c>
      <c r="O876" s="9" t="str">
        <f>IF(Table1_1[[#This Row],[Purchased Bike]]="yes","1","0")</f>
        <v>1</v>
      </c>
      <c r="P876" s="4" t="str">
        <f>IF(Table1_1[[#This Row],[Income]]&lt;=30000,"Low ",IF(Table1_1[[#This Row],[Income]]&lt;=70000,"Middle","High"))</f>
        <v xml:space="preserve">Low </v>
      </c>
      <c r="Q876" s="6" t="str">
        <f>IF(Table1_1[[#This Row],[Age]]&lt;30,"Young",IF(Table1_1[[#This Row],[Age]]&lt;50,"Middle aged","Senior citizen"))</f>
        <v>Senior citizen</v>
      </c>
      <c r="R876" s="7">
        <f>IF(Table1_1[[#This Row],[Marriedarital SingletatuSingle]]="M",Table1_1[[#This Row],[Children]]+2,Table1_1[[#This Row],[Children]]+1)</f>
        <v>2</v>
      </c>
      <c r="S876" s="4" t="str">
        <f>IF(Table1_1[[#This Row],[Cars]]=0,"No","Yes")</f>
        <v>Yes</v>
      </c>
      <c r="T876" s="6" t="str">
        <f>IF(AND(Table1_1[[#This Row],[Income]]&gt;50000,Table1_1[[#This Row],[Home Owner]]="Yes"),"High stability","Low stability")</f>
        <v>Low stability</v>
      </c>
      <c r="U876" s="3">
        <f>Table1_1[[#This Row],[Income]]/Table1_1[[#This Row],[Family size]]</f>
        <v>15000</v>
      </c>
      <c r="V876" s="6" t="str">
        <f>IF(Table1_1[[#This Row],[Occupation]]="Skilled manual","Blue collar",IF(Table1_1[[#This Row],[Occupation]]="Manual","Blue collar","White collar"))</f>
        <v>Blue collar</v>
      </c>
    </row>
    <row r="877" spans="1:22" x14ac:dyDescent="0.3">
      <c r="A877" t="s">
        <v>911</v>
      </c>
      <c r="B877" s="6" t="s">
        <v>1044</v>
      </c>
      <c r="C877" s="6" t="s">
        <v>1045</v>
      </c>
      <c r="D877" s="3">
        <v>70000</v>
      </c>
      <c r="E877">
        <v>2</v>
      </c>
      <c r="F877" s="6" t="s">
        <v>13</v>
      </c>
      <c r="G877" s="6" t="s">
        <v>14</v>
      </c>
      <c r="H877" s="6" t="s">
        <v>15</v>
      </c>
      <c r="I877">
        <v>0</v>
      </c>
      <c r="J877" t="s">
        <v>22</v>
      </c>
      <c r="K8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77" s="6" t="s">
        <v>32</v>
      </c>
      <c r="M877" s="7">
        <v>38</v>
      </c>
      <c r="N877" t="s">
        <v>15</v>
      </c>
      <c r="O877" s="9" t="str">
        <f>IF(Table1_1[[#This Row],[Purchased Bike]]="yes","1","0")</f>
        <v>1</v>
      </c>
      <c r="P877" s="4" t="str">
        <f>IF(Table1_1[[#This Row],[Income]]&lt;=30000,"Low ",IF(Table1_1[[#This Row],[Income]]&lt;=70000,"Middle","High"))</f>
        <v>Middle</v>
      </c>
      <c r="Q877" s="6" t="str">
        <f>IF(Table1_1[[#This Row],[Age]]&lt;30,"Young",IF(Table1_1[[#This Row],[Age]]&lt;50,"Middle aged","Senior citizen"))</f>
        <v>Middle aged</v>
      </c>
      <c r="R877" s="7">
        <f>IF(Table1_1[[#This Row],[Marriedarital SingletatuSingle]]="M",Table1_1[[#This Row],[Children]]+2,Table1_1[[#This Row],[Children]]+1)</f>
        <v>3</v>
      </c>
      <c r="S877" s="4" t="str">
        <f>IF(Table1_1[[#This Row],[Cars]]=0,"No","Yes")</f>
        <v>No</v>
      </c>
      <c r="T877" s="6" t="str">
        <f>IF(AND(Table1_1[[#This Row],[Income]]&gt;50000,Table1_1[[#This Row],[Home Owner]]="Yes"),"High stability","Low stability")</f>
        <v>High stability</v>
      </c>
      <c r="U877" s="3">
        <f>Table1_1[[#This Row],[Income]]/Table1_1[[#This Row],[Family size]]</f>
        <v>23333.333333333332</v>
      </c>
      <c r="V877" s="6" t="str">
        <f>IF(Table1_1[[#This Row],[Occupation]]="Skilled manual","Blue collar",IF(Table1_1[[#This Row],[Occupation]]="Manual","Blue collar","White collar"))</f>
        <v>Blue collar</v>
      </c>
    </row>
    <row r="878" spans="1:22" x14ac:dyDescent="0.3">
      <c r="A878" t="s">
        <v>912</v>
      </c>
      <c r="B878" s="6" t="s">
        <v>1044</v>
      </c>
      <c r="C878" s="6" t="s">
        <v>1046</v>
      </c>
      <c r="D878" s="3">
        <v>30000</v>
      </c>
      <c r="E878">
        <v>0</v>
      </c>
      <c r="F878" s="6" t="s">
        <v>29</v>
      </c>
      <c r="G878" s="6" t="s">
        <v>20</v>
      </c>
      <c r="H878" s="6" t="s">
        <v>18</v>
      </c>
      <c r="I878">
        <v>2</v>
      </c>
      <c r="J878" t="s">
        <v>16</v>
      </c>
      <c r="K8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78" s="6" t="s">
        <v>32</v>
      </c>
      <c r="M878" s="7">
        <v>26</v>
      </c>
      <c r="N878" t="s">
        <v>18</v>
      </c>
      <c r="O878" s="9" t="str">
        <f>IF(Table1_1[[#This Row],[Purchased Bike]]="yes","1","0")</f>
        <v>0</v>
      </c>
      <c r="P878" s="4" t="str">
        <f>IF(Table1_1[[#This Row],[Income]]&lt;=30000,"Low ",IF(Table1_1[[#This Row],[Income]]&lt;=70000,"Middle","High"))</f>
        <v xml:space="preserve">Low </v>
      </c>
      <c r="Q878" s="6" t="str">
        <f>IF(Table1_1[[#This Row],[Age]]&lt;30,"Young",IF(Table1_1[[#This Row],[Age]]&lt;50,"Middle aged","Senior citizen"))</f>
        <v>Young</v>
      </c>
      <c r="R878" s="7">
        <f>IF(Table1_1[[#This Row],[Marriedarital SingletatuSingle]]="M",Table1_1[[#This Row],[Children]]+2,Table1_1[[#This Row],[Children]]+1)</f>
        <v>1</v>
      </c>
      <c r="S878" s="4" t="str">
        <f>IF(Table1_1[[#This Row],[Cars]]=0,"No","Yes")</f>
        <v>Yes</v>
      </c>
      <c r="T878" s="6" t="str">
        <f>IF(AND(Table1_1[[#This Row],[Income]]&gt;50000,Table1_1[[#This Row],[Home Owner]]="Yes"),"High stability","Low stability")</f>
        <v>Low stability</v>
      </c>
      <c r="U878" s="3">
        <f>Table1_1[[#This Row],[Income]]/Table1_1[[#This Row],[Family size]]</f>
        <v>30000</v>
      </c>
      <c r="V878" s="6" t="str">
        <f>IF(Table1_1[[#This Row],[Occupation]]="Skilled manual","Blue collar",IF(Table1_1[[#This Row],[Occupation]]="Manual","Blue collar","White collar"))</f>
        <v>White collar</v>
      </c>
    </row>
    <row r="879" spans="1:22" x14ac:dyDescent="0.3">
      <c r="A879" t="s">
        <v>913</v>
      </c>
      <c r="B879" s="6" t="s">
        <v>1042</v>
      </c>
      <c r="C879" s="6" t="s">
        <v>1046</v>
      </c>
      <c r="D879" s="3">
        <v>70000</v>
      </c>
      <c r="E879">
        <v>5</v>
      </c>
      <c r="F879" s="6" t="s">
        <v>13</v>
      </c>
      <c r="G879" s="6" t="s">
        <v>28</v>
      </c>
      <c r="H879" s="6" t="s">
        <v>15</v>
      </c>
      <c r="I879">
        <v>2</v>
      </c>
      <c r="J879" t="s">
        <v>22</v>
      </c>
      <c r="K8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79" s="6" t="s">
        <v>32</v>
      </c>
      <c r="M879" s="7">
        <v>61</v>
      </c>
      <c r="N879" t="s">
        <v>18</v>
      </c>
      <c r="O879" s="9" t="str">
        <f>IF(Table1_1[[#This Row],[Purchased Bike]]="yes","1","0")</f>
        <v>0</v>
      </c>
      <c r="P879" s="4" t="str">
        <f>IF(Table1_1[[#This Row],[Income]]&lt;=30000,"Low ",IF(Table1_1[[#This Row],[Income]]&lt;=70000,"Middle","High"))</f>
        <v>Middle</v>
      </c>
      <c r="Q879" s="6" t="str">
        <f>IF(Table1_1[[#This Row],[Age]]&lt;30,"Young",IF(Table1_1[[#This Row],[Age]]&lt;50,"Middle aged","Senior citizen"))</f>
        <v>Senior citizen</v>
      </c>
      <c r="R879" s="7">
        <f>IF(Table1_1[[#This Row],[Marriedarital SingletatuSingle]]="M",Table1_1[[#This Row],[Children]]+2,Table1_1[[#This Row],[Children]]+1)</f>
        <v>6</v>
      </c>
      <c r="S879" s="4" t="str">
        <f>IF(Table1_1[[#This Row],[Cars]]=0,"No","Yes")</f>
        <v>Yes</v>
      </c>
      <c r="T879" s="6" t="str">
        <f>IF(AND(Table1_1[[#This Row],[Income]]&gt;50000,Table1_1[[#This Row],[Home Owner]]="Yes"),"High stability","Low stability")</f>
        <v>High stability</v>
      </c>
      <c r="U879" s="3">
        <f>Table1_1[[#This Row],[Income]]/Table1_1[[#This Row],[Family size]]</f>
        <v>11666.666666666666</v>
      </c>
      <c r="V879" s="6" t="str">
        <f>IF(Table1_1[[#This Row],[Occupation]]="Skilled manual","Blue collar",IF(Table1_1[[#This Row],[Occupation]]="Manual","Blue collar","White collar"))</f>
        <v>White collar</v>
      </c>
    </row>
    <row r="880" spans="1:22" x14ac:dyDescent="0.3">
      <c r="A880" t="s">
        <v>914</v>
      </c>
      <c r="B880" s="6" t="s">
        <v>1042</v>
      </c>
      <c r="C880" s="6" t="s">
        <v>1046</v>
      </c>
      <c r="D880" s="3">
        <v>50000</v>
      </c>
      <c r="E880">
        <v>2</v>
      </c>
      <c r="F880" s="6" t="s">
        <v>31</v>
      </c>
      <c r="G880" s="6" t="s">
        <v>28</v>
      </c>
      <c r="H880" s="6" t="s">
        <v>15</v>
      </c>
      <c r="I880">
        <v>2</v>
      </c>
      <c r="J880" t="s">
        <v>23</v>
      </c>
      <c r="K8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80" s="6" t="s">
        <v>32</v>
      </c>
      <c r="M880" s="7">
        <v>71</v>
      </c>
      <c r="N880" t="s">
        <v>18</v>
      </c>
      <c r="O880" s="9" t="str">
        <f>IF(Table1_1[[#This Row],[Purchased Bike]]="yes","1","0")</f>
        <v>0</v>
      </c>
      <c r="P880" s="4" t="str">
        <f>IF(Table1_1[[#This Row],[Income]]&lt;=30000,"Low ",IF(Table1_1[[#This Row],[Income]]&lt;=70000,"Middle","High"))</f>
        <v>Middle</v>
      </c>
      <c r="Q880" s="6" t="str">
        <f>IF(Table1_1[[#This Row],[Age]]&lt;30,"Young",IF(Table1_1[[#This Row],[Age]]&lt;50,"Middle aged","Senior citizen"))</f>
        <v>Senior citizen</v>
      </c>
      <c r="R880" s="7">
        <f>IF(Table1_1[[#This Row],[Marriedarital SingletatuSingle]]="M",Table1_1[[#This Row],[Children]]+2,Table1_1[[#This Row],[Children]]+1)</f>
        <v>3</v>
      </c>
      <c r="S880" s="4" t="str">
        <f>IF(Table1_1[[#This Row],[Cars]]=0,"No","Yes")</f>
        <v>Yes</v>
      </c>
      <c r="T880" s="6" t="str">
        <f>IF(AND(Table1_1[[#This Row],[Income]]&gt;50000,Table1_1[[#This Row],[Home Owner]]="Yes"),"High stability","Low stability")</f>
        <v>Low stability</v>
      </c>
      <c r="U880" s="3">
        <f>Table1_1[[#This Row],[Income]]/Table1_1[[#This Row],[Family size]]</f>
        <v>16666.666666666668</v>
      </c>
      <c r="V880" s="6" t="str">
        <f>IF(Table1_1[[#This Row],[Occupation]]="Skilled manual","Blue collar",IF(Table1_1[[#This Row],[Occupation]]="Manual","Blue collar","White collar"))</f>
        <v>White collar</v>
      </c>
    </row>
    <row r="881" spans="1:22" x14ac:dyDescent="0.3">
      <c r="A881" t="s">
        <v>915</v>
      </c>
      <c r="B881" s="6" t="s">
        <v>1042</v>
      </c>
      <c r="C881" s="6" t="s">
        <v>1046</v>
      </c>
      <c r="D881" s="3">
        <v>90000</v>
      </c>
      <c r="E881">
        <v>4</v>
      </c>
      <c r="F881" s="6" t="s">
        <v>27</v>
      </c>
      <c r="G881" s="6" t="s">
        <v>21</v>
      </c>
      <c r="H881" s="6" t="s">
        <v>15</v>
      </c>
      <c r="I881">
        <v>2</v>
      </c>
      <c r="J881" t="s">
        <v>26</v>
      </c>
      <c r="K8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81" s="6" t="s">
        <v>32</v>
      </c>
      <c r="M881" s="7">
        <v>45</v>
      </c>
      <c r="N881" t="s">
        <v>18</v>
      </c>
      <c r="O881" s="9" t="str">
        <f>IF(Table1_1[[#This Row],[Purchased Bike]]="yes","1","0")</f>
        <v>0</v>
      </c>
      <c r="P881" s="4" t="str">
        <f>IF(Table1_1[[#This Row],[Income]]&lt;=30000,"Low ",IF(Table1_1[[#This Row],[Income]]&lt;=70000,"Middle","High"))</f>
        <v>High</v>
      </c>
      <c r="Q881" s="6" t="str">
        <f>IF(Table1_1[[#This Row],[Age]]&lt;30,"Young",IF(Table1_1[[#This Row],[Age]]&lt;50,"Middle aged","Senior citizen"))</f>
        <v>Middle aged</v>
      </c>
      <c r="R881" s="7">
        <f>IF(Table1_1[[#This Row],[Marriedarital SingletatuSingle]]="M",Table1_1[[#This Row],[Children]]+2,Table1_1[[#This Row],[Children]]+1)</f>
        <v>5</v>
      </c>
      <c r="S881" s="4" t="str">
        <f>IF(Table1_1[[#This Row],[Cars]]=0,"No","Yes")</f>
        <v>Yes</v>
      </c>
      <c r="T881" s="6" t="str">
        <f>IF(AND(Table1_1[[#This Row],[Income]]&gt;50000,Table1_1[[#This Row],[Home Owner]]="Yes"),"High stability","Low stability")</f>
        <v>High stability</v>
      </c>
      <c r="U881" s="3">
        <f>Table1_1[[#This Row],[Income]]/Table1_1[[#This Row],[Family size]]</f>
        <v>18000</v>
      </c>
      <c r="V881" s="6" t="str">
        <f>IF(Table1_1[[#This Row],[Occupation]]="Skilled manual","Blue collar",IF(Table1_1[[#This Row],[Occupation]]="Manual","Blue collar","White collar"))</f>
        <v>White collar</v>
      </c>
    </row>
    <row r="882" spans="1:22" x14ac:dyDescent="0.3">
      <c r="A882" t="s">
        <v>916</v>
      </c>
      <c r="B882" s="6" t="s">
        <v>1042</v>
      </c>
      <c r="C882" s="6" t="s">
        <v>1046</v>
      </c>
      <c r="D882" s="3">
        <v>80000</v>
      </c>
      <c r="E882">
        <v>2</v>
      </c>
      <c r="F882" s="6" t="s">
        <v>31</v>
      </c>
      <c r="G882" s="6" t="s">
        <v>21</v>
      </c>
      <c r="H882" s="6" t="s">
        <v>15</v>
      </c>
      <c r="I882">
        <v>0</v>
      </c>
      <c r="J882" t="s">
        <v>16</v>
      </c>
      <c r="K8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82" s="6" t="s">
        <v>32</v>
      </c>
      <c r="M882" s="7">
        <v>37</v>
      </c>
      <c r="N882" t="s">
        <v>15</v>
      </c>
      <c r="O882" s="9" t="str">
        <f>IF(Table1_1[[#This Row],[Purchased Bike]]="yes","1","0")</f>
        <v>1</v>
      </c>
      <c r="P882" s="4" t="str">
        <f>IF(Table1_1[[#This Row],[Income]]&lt;=30000,"Low ",IF(Table1_1[[#This Row],[Income]]&lt;=70000,"Middle","High"))</f>
        <v>High</v>
      </c>
      <c r="Q882" s="6" t="str">
        <f>IF(Table1_1[[#This Row],[Age]]&lt;30,"Young",IF(Table1_1[[#This Row],[Age]]&lt;50,"Middle aged","Senior citizen"))</f>
        <v>Middle aged</v>
      </c>
      <c r="R882" s="7">
        <f>IF(Table1_1[[#This Row],[Marriedarital SingletatuSingle]]="M",Table1_1[[#This Row],[Children]]+2,Table1_1[[#This Row],[Children]]+1)</f>
        <v>3</v>
      </c>
      <c r="S882" s="4" t="str">
        <f>IF(Table1_1[[#This Row],[Cars]]=0,"No","Yes")</f>
        <v>No</v>
      </c>
      <c r="T882" s="6" t="str">
        <f>IF(AND(Table1_1[[#This Row],[Income]]&gt;50000,Table1_1[[#This Row],[Home Owner]]="Yes"),"High stability","Low stability")</f>
        <v>High stability</v>
      </c>
      <c r="U882" s="3">
        <f>Table1_1[[#This Row],[Income]]/Table1_1[[#This Row],[Family size]]</f>
        <v>26666.666666666668</v>
      </c>
      <c r="V882" s="6" t="str">
        <f>IF(Table1_1[[#This Row],[Occupation]]="Skilled manual","Blue collar",IF(Table1_1[[#This Row],[Occupation]]="Manual","Blue collar","White collar"))</f>
        <v>White collar</v>
      </c>
    </row>
    <row r="883" spans="1:22" x14ac:dyDescent="0.3">
      <c r="A883" t="s">
        <v>917</v>
      </c>
      <c r="B883" s="6" t="s">
        <v>1042</v>
      </c>
      <c r="C883" s="6" t="s">
        <v>1045</v>
      </c>
      <c r="D883" s="3">
        <v>80000</v>
      </c>
      <c r="E883">
        <v>4</v>
      </c>
      <c r="F883" s="6" t="s">
        <v>31</v>
      </c>
      <c r="G883" s="6" t="s">
        <v>28</v>
      </c>
      <c r="H883" s="6" t="s">
        <v>15</v>
      </c>
      <c r="I883">
        <v>2</v>
      </c>
      <c r="J883" t="s">
        <v>16</v>
      </c>
      <c r="K8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83" s="6" t="s">
        <v>32</v>
      </c>
      <c r="M883" s="7">
        <v>72</v>
      </c>
      <c r="N883" t="s">
        <v>15</v>
      </c>
      <c r="O883" s="9" t="str">
        <f>IF(Table1_1[[#This Row],[Purchased Bike]]="yes","1","0")</f>
        <v>1</v>
      </c>
      <c r="P883" s="4" t="str">
        <f>IF(Table1_1[[#This Row],[Income]]&lt;=30000,"Low ",IF(Table1_1[[#This Row],[Income]]&lt;=70000,"Middle","High"))</f>
        <v>High</v>
      </c>
      <c r="Q883" s="6" t="str">
        <f>IF(Table1_1[[#This Row],[Age]]&lt;30,"Young",IF(Table1_1[[#This Row],[Age]]&lt;50,"Middle aged","Senior citizen"))</f>
        <v>Senior citizen</v>
      </c>
      <c r="R883" s="7">
        <f>IF(Table1_1[[#This Row],[Marriedarital SingletatuSingle]]="M",Table1_1[[#This Row],[Children]]+2,Table1_1[[#This Row],[Children]]+1)</f>
        <v>5</v>
      </c>
      <c r="S883" s="4" t="str">
        <f>IF(Table1_1[[#This Row],[Cars]]=0,"No","Yes")</f>
        <v>Yes</v>
      </c>
      <c r="T883" s="6" t="str">
        <f>IF(AND(Table1_1[[#This Row],[Income]]&gt;50000,Table1_1[[#This Row],[Home Owner]]="Yes"),"High stability","Low stability")</f>
        <v>High stability</v>
      </c>
      <c r="U883" s="3">
        <f>Table1_1[[#This Row],[Income]]/Table1_1[[#This Row],[Family size]]</f>
        <v>16000</v>
      </c>
      <c r="V883" s="6" t="str">
        <f>IF(Table1_1[[#This Row],[Occupation]]="Skilled manual","Blue collar",IF(Table1_1[[#This Row],[Occupation]]="Manual","Blue collar","White collar"))</f>
        <v>White collar</v>
      </c>
    </row>
    <row r="884" spans="1:22" x14ac:dyDescent="0.3">
      <c r="A884" t="s">
        <v>918</v>
      </c>
      <c r="B884" s="6" t="s">
        <v>1042</v>
      </c>
      <c r="C884" s="6" t="s">
        <v>1046</v>
      </c>
      <c r="D884" s="3">
        <v>30000</v>
      </c>
      <c r="E884">
        <v>0</v>
      </c>
      <c r="F884" s="6" t="s">
        <v>31</v>
      </c>
      <c r="G884" s="6" t="s">
        <v>14</v>
      </c>
      <c r="H884" s="6" t="s">
        <v>15</v>
      </c>
      <c r="I884">
        <v>0</v>
      </c>
      <c r="J884" t="s">
        <v>16</v>
      </c>
      <c r="K8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84" s="6" t="s">
        <v>32</v>
      </c>
      <c r="M884" s="7">
        <v>32</v>
      </c>
      <c r="N884" t="s">
        <v>18</v>
      </c>
      <c r="O884" s="9" t="str">
        <f>IF(Table1_1[[#This Row],[Purchased Bike]]="yes","1","0")</f>
        <v>0</v>
      </c>
      <c r="P884" s="4" t="str">
        <f>IF(Table1_1[[#This Row],[Income]]&lt;=30000,"Low ",IF(Table1_1[[#This Row],[Income]]&lt;=70000,"Middle","High"))</f>
        <v xml:space="preserve">Low </v>
      </c>
      <c r="Q884" s="6" t="str">
        <f>IF(Table1_1[[#This Row],[Age]]&lt;30,"Young",IF(Table1_1[[#This Row],[Age]]&lt;50,"Middle aged","Senior citizen"))</f>
        <v>Middle aged</v>
      </c>
      <c r="R884" s="7">
        <f>IF(Table1_1[[#This Row],[Marriedarital SingletatuSingle]]="M",Table1_1[[#This Row],[Children]]+2,Table1_1[[#This Row],[Children]]+1)</f>
        <v>1</v>
      </c>
      <c r="S884" s="4" t="str">
        <f>IF(Table1_1[[#This Row],[Cars]]=0,"No","Yes")</f>
        <v>No</v>
      </c>
      <c r="T884" s="6" t="str">
        <f>IF(AND(Table1_1[[#This Row],[Income]]&gt;50000,Table1_1[[#This Row],[Home Owner]]="Yes"),"High stability","Low stability")</f>
        <v>Low stability</v>
      </c>
      <c r="U884" s="3">
        <f>Table1_1[[#This Row],[Income]]/Table1_1[[#This Row],[Family size]]</f>
        <v>30000</v>
      </c>
      <c r="V884" s="6" t="str">
        <f>IF(Table1_1[[#This Row],[Occupation]]="Skilled manual","Blue collar",IF(Table1_1[[#This Row],[Occupation]]="Manual","Blue collar","White collar"))</f>
        <v>Blue collar</v>
      </c>
    </row>
    <row r="885" spans="1:22" x14ac:dyDescent="0.3">
      <c r="A885" t="s">
        <v>919</v>
      </c>
      <c r="B885" s="6" t="s">
        <v>1042</v>
      </c>
      <c r="C885" s="6" t="s">
        <v>1045</v>
      </c>
      <c r="D885" s="3">
        <v>60000</v>
      </c>
      <c r="E885">
        <v>1</v>
      </c>
      <c r="F885" s="6" t="s">
        <v>13</v>
      </c>
      <c r="G885" s="6" t="s">
        <v>21</v>
      </c>
      <c r="H885" s="6" t="s">
        <v>15</v>
      </c>
      <c r="I885">
        <v>1</v>
      </c>
      <c r="J885" t="s">
        <v>22</v>
      </c>
      <c r="K8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85" s="6" t="s">
        <v>32</v>
      </c>
      <c r="M885" s="7">
        <v>48</v>
      </c>
      <c r="N885" t="s">
        <v>15</v>
      </c>
      <c r="O885" s="9" t="str">
        <f>IF(Table1_1[[#This Row],[Purchased Bike]]="yes","1","0")</f>
        <v>1</v>
      </c>
      <c r="P885" s="4" t="str">
        <f>IF(Table1_1[[#This Row],[Income]]&lt;=30000,"Low ",IF(Table1_1[[#This Row],[Income]]&lt;=70000,"Middle","High"))</f>
        <v>Middle</v>
      </c>
      <c r="Q885" s="6" t="str">
        <f>IF(Table1_1[[#This Row],[Age]]&lt;30,"Young",IF(Table1_1[[#This Row],[Age]]&lt;50,"Middle aged","Senior citizen"))</f>
        <v>Middle aged</v>
      </c>
      <c r="R885" s="7">
        <f>IF(Table1_1[[#This Row],[Marriedarital SingletatuSingle]]="M",Table1_1[[#This Row],[Children]]+2,Table1_1[[#This Row],[Children]]+1)</f>
        <v>2</v>
      </c>
      <c r="S885" s="4" t="str">
        <f>IF(Table1_1[[#This Row],[Cars]]=0,"No","Yes")</f>
        <v>Yes</v>
      </c>
      <c r="T885" s="6" t="str">
        <f>IF(AND(Table1_1[[#This Row],[Income]]&gt;50000,Table1_1[[#This Row],[Home Owner]]="Yes"),"High stability","Low stability")</f>
        <v>High stability</v>
      </c>
      <c r="U885" s="3">
        <f>Table1_1[[#This Row],[Income]]/Table1_1[[#This Row],[Family size]]</f>
        <v>30000</v>
      </c>
      <c r="V885" s="6" t="str">
        <f>IF(Table1_1[[#This Row],[Occupation]]="Skilled manual","Blue collar",IF(Table1_1[[#This Row],[Occupation]]="Manual","Blue collar","White collar"))</f>
        <v>White collar</v>
      </c>
    </row>
    <row r="886" spans="1:22" x14ac:dyDescent="0.3">
      <c r="A886" t="s">
        <v>920</v>
      </c>
      <c r="B886" s="6" t="s">
        <v>1042</v>
      </c>
      <c r="C886" s="6" t="s">
        <v>1046</v>
      </c>
      <c r="D886" s="3">
        <v>80000</v>
      </c>
      <c r="E886">
        <v>4</v>
      </c>
      <c r="F886" s="6" t="s">
        <v>31</v>
      </c>
      <c r="G886" s="6" t="s">
        <v>28</v>
      </c>
      <c r="H886" s="6" t="s">
        <v>15</v>
      </c>
      <c r="I886">
        <v>2</v>
      </c>
      <c r="J886" t="s">
        <v>23</v>
      </c>
      <c r="K8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886" s="6" t="s">
        <v>32</v>
      </c>
      <c r="M886" s="7">
        <v>68</v>
      </c>
      <c r="N886" t="s">
        <v>18</v>
      </c>
      <c r="O886" s="9" t="str">
        <f>IF(Table1_1[[#This Row],[Purchased Bike]]="yes","1","0")</f>
        <v>0</v>
      </c>
      <c r="P886" s="4" t="str">
        <f>IF(Table1_1[[#This Row],[Income]]&lt;=30000,"Low ",IF(Table1_1[[#This Row],[Income]]&lt;=70000,"Middle","High"))</f>
        <v>High</v>
      </c>
      <c r="Q886" s="6" t="str">
        <f>IF(Table1_1[[#This Row],[Age]]&lt;30,"Young",IF(Table1_1[[#This Row],[Age]]&lt;50,"Middle aged","Senior citizen"))</f>
        <v>Senior citizen</v>
      </c>
      <c r="R886" s="7">
        <f>IF(Table1_1[[#This Row],[Marriedarital SingletatuSingle]]="M",Table1_1[[#This Row],[Children]]+2,Table1_1[[#This Row],[Children]]+1)</f>
        <v>5</v>
      </c>
      <c r="S886" s="4" t="str">
        <f>IF(Table1_1[[#This Row],[Cars]]=0,"No","Yes")</f>
        <v>Yes</v>
      </c>
      <c r="T886" s="6" t="str">
        <f>IF(AND(Table1_1[[#This Row],[Income]]&gt;50000,Table1_1[[#This Row],[Home Owner]]="Yes"),"High stability","Low stability")</f>
        <v>High stability</v>
      </c>
      <c r="U886" s="3">
        <f>Table1_1[[#This Row],[Income]]/Table1_1[[#This Row],[Family size]]</f>
        <v>16000</v>
      </c>
      <c r="V886" s="6" t="str">
        <f>IF(Table1_1[[#This Row],[Occupation]]="Skilled manual","Blue collar",IF(Table1_1[[#This Row],[Occupation]]="Manual","Blue collar","White collar"))</f>
        <v>White collar</v>
      </c>
    </row>
    <row r="887" spans="1:22" x14ac:dyDescent="0.3">
      <c r="A887" t="s">
        <v>921</v>
      </c>
      <c r="B887" s="6" t="s">
        <v>1042</v>
      </c>
      <c r="C887" s="6" t="s">
        <v>1045</v>
      </c>
      <c r="D887" s="3">
        <v>20000</v>
      </c>
      <c r="E887">
        <v>2</v>
      </c>
      <c r="F887" s="6" t="s">
        <v>29</v>
      </c>
      <c r="G887" s="6" t="s">
        <v>20</v>
      </c>
      <c r="H887" s="6" t="s">
        <v>15</v>
      </c>
      <c r="I887">
        <v>2</v>
      </c>
      <c r="J887" t="s">
        <v>16</v>
      </c>
      <c r="K8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87" s="6" t="s">
        <v>32</v>
      </c>
      <c r="M887" s="7">
        <v>49</v>
      </c>
      <c r="N887" t="s">
        <v>18</v>
      </c>
      <c r="O887" s="9" t="str">
        <f>IF(Table1_1[[#This Row],[Purchased Bike]]="yes","1","0")</f>
        <v>0</v>
      </c>
      <c r="P887" s="4" t="str">
        <f>IF(Table1_1[[#This Row],[Income]]&lt;=30000,"Low ",IF(Table1_1[[#This Row],[Income]]&lt;=70000,"Middle","High"))</f>
        <v xml:space="preserve">Low </v>
      </c>
      <c r="Q887" s="6" t="str">
        <f>IF(Table1_1[[#This Row],[Age]]&lt;30,"Young",IF(Table1_1[[#This Row],[Age]]&lt;50,"Middle aged","Senior citizen"))</f>
        <v>Middle aged</v>
      </c>
      <c r="R887" s="7">
        <f>IF(Table1_1[[#This Row],[Marriedarital SingletatuSingle]]="M",Table1_1[[#This Row],[Children]]+2,Table1_1[[#This Row],[Children]]+1)</f>
        <v>3</v>
      </c>
      <c r="S887" s="4" t="str">
        <f>IF(Table1_1[[#This Row],[Cars]]=0,"No","Yes")</f>
        <v>Yes</v>
      </c>
      <c r="T887" s="6" t="str">
        <f>IF(AND(Table1_1[[#This Row],[Income]]&gt;50000,Table1_1[[#This Row],[Home Owner]]="Yes"),"High stability","Low stability")</f>
        <v>Low stability</v>
      </c>
      <c r="U887" s="3">
        <f>Table1_1[[#This Row],[Income]]/Table1_1[[#This Row],[Family size]]</f>
        <v>6666.666666666667</v>
      </c>
      <c r="V887" s="6" t="str">
        <f>IF(Table1_1[[#This Row],[Occupation]]="Skilled manual","Blue collar",IF(Table1_1[[#This Row],[Occupation]]="Manual","Blue collar","White collar"))</f>
        <v>White collar</v>
      </c>
    </row>
    <row r="888" spans="1:22" x14ac:dyDescent="0.3">
      <c r="A888" t="s">
        <v>922</v>
      </c>
      <c r="B888" s="6" t="s">
        <v>1042</v>
      </c>
      <c r="C888" s="6" t="s">
        <v>1046</v>
      </c>
      <c r="D888" s="3">
        <v>70000</v>
      </c>
      <c r="E888">
        <v>3</v>
      </c>
      <c r="F888" s="6" t="s">
        <v>31</v>
      </c>
      <c r="G888" s="6" t="s">
        <v>21</v>
      </c>
      <c r="H888" s="6" t="s">
        <v>15</v>
      </c>
      <c r="I888">
        <v>0</v>
      </c>
      <c r="J888" t="s">
        <v>22</v>
      </c>
      <c r="K8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88" s="6" t="s">
        <v>32</v>
      </c>
      <c r="M888" s="7">
        <v>34</v>
      </c>
      <c r="N888" t="s">
        <v>18</v>
      </c>
      <c r="O888" s="9" t="str">
        <f>IF(Table1_1[[#This Row],[Purchased Bike]]="yes","1","0")</f>
        <v>0</v>
      </c>
      <c r="P888" s="4" t="str">
        <f>IF(Table1_1[[#This Row],[Income]]&lt;=30000,"Low ",IF(Table1_1[[#This Row],[Income]]&lt;=70000,"Middle","High"))</f>
        <v>Middle</v>
      </c>
      <c r="Q888" s="6" t="str">
        <f>IF(Table1_1[[#This Row],[Age]]&lt;30,"Young",IF(Table1_1[[#This Row],[Age]]&lt;50,"Middle aged","Senior citizen"))</f>
        <v>Middle aged</v>
      </c>
      <c r="R888" s="7">
        <f>IF(Table1_1[[#This Row],[Marriedarital SingletatuSingle]]="M",Table1_1[[#This Row],[Children]]+2,Table1_1[[#This Row],[Children]]+1)</f>
        <v>4</v>
      </c>
      <c r="S888" s="4" t="str">
        <f>IF(Table1_1[[#This Row],[Cars]]=0,"No","Yes")</f>
        <v>No</v>
      </c>
      <c r="T888" s="6" t="str">
        <f>IF(AND(Table1_1[[#This Row],[Income]]&gt;50000,Table1_1[[#This Row],[Home Owner]]="Yes"),"High stability","Low stability")</f>
        <v>High stability</v>
      </c>
      <c r="U888" s="3">
        <f>Table1_1[[#This Row],[Income]]/Table1_1[[#This Row],[Family size]]</f>
        <v>17500</v>
      </c>
      <c r="V888" s="6" t="str">
        <f>IF(Table1_1[[#This Row],[Occupation]]="Skilled manual","Blue collar",IF(Table1_1[[#This Row],[Occupation]]="Manual","Blue collar","White collar"))</f>
        <v>White collar</v>
      </c>
    </row>
    <row r="889" spans="1:22" x14ac:dyDescent="0.3">
      <c r="A889" t="s">
        <v>923</v>
      </c>
      <c r="B889" s="6" t="s">
        <v>1042</v>
      </c>
      <c r="C889" s="6" t="s">
        <v>1046</v>
      </c>
      <c r="D889" s="3">
        <v>50000</v>
      </c>
      <c r="E889">
        <v>0</v>
      </c>
      <c r="F889" s="6" t="s">
        <v>31</v>
      </c>
      <c r="G889" s="6" t="s">
        <v>14</v>
      </c>
      <c r="H889" s="6" t="s">
        <v>15</v>
      </c>
      <c r="I889">
        <v>0</v>
      </c>
      <c r="J889" t="s">
        <v>16</v>
      </c>
      <c r="K8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89" s="6" t="s">
        <v>32</v>
      </c>
      <c r="M889" s="7">
        <v>32</v>
      </c>
      <c r="N889" t="s">
        <v>18</v>
      </c>
      <c r="O889" s="9" t="str">
        <f>IF(Table1_1[[#This Row],[Purchased Bike]]="yes","1","0")</f>
        <v>0</v>
      </c>
      <c r="P889" s="4" t="str">
        <f>IF(Table1_1[[#This Row],[Income]]&lt;=30000,"Low ",IF(Table1_1[[#This Row],[Income]]&lt;=70000,"Middle","High"))</f>
        <v>Middle</v>
      </c>
      <c r="Q889" s="6" t="str">
        <f>IF(Table1_1[[#This Row],[Age]]&lt;30,"Young",IF(Table1_1[[#This Row],[Age]]&lt;50,"Middle aged","Senior citizen"))</f>
        <v>Middle aged</v>
      </c>
      <c r="R889" s="7">
        <f>IF(Table1_1[[#This Row],[Marriedarital SingletatuSingle]]="M",Table1_1[[#This Row],[Children]]+2,Table1_1[[#This Row],[Children]]+1)</f>
        <v>1</v>
      </c>
      <c r="S889" s="4" t="str">
        <f>IF(Table1_1[[#This Row],[Cars]]=0,"No","Yes")</f>
        <v>No</v>
      </c>
      <c r="T889" s="6" t="str">
        <f>IF(AND(Table1_1[[#This Row],[Income]]&gt;50000,Table1_1[[#This Row],[Home Owner]]="Yes"),"High stability","Low stability")</f>
        <v>Low stability</v>
      </c>
      <c r="U889" s="3">
        <f>Table1_1[[#This Row],[Income]]/Table1_1[[#This Row],[Family size]]</f>
        <v>50000</v>
      </c>
      <c r="V889" s="6" t="str">
        <f>IF(Table1_1[[#This Row],[Occupation]]="Skilled manual","Blue collar",IF(Table1_1[[#This Row],[Occupation]]="Manual","Blue collar","White collar"))</f>
        <v>Blue collar</v>
      </c>
    </row>
    <row r="890" spans="1:22" x14ac:dyDescent="0.3">
      <c r="A890" t="s">
        <v>924</v>
      </c>
      <c r="B890" s="6" t="s">
        <v>1044</v>
      </c>
      <c r="C890" s="6" t="s">
        <v>1045</v>
      </c>
      <c r="D890" s="3">
        <v>60000</v>
      </c>
      <c r="E890">
        <v>4</v>
      </c>
      <c r="F890" s="6" t="s">
        <v>13</v>
      </c>
      <c r="G890" s="6" t="s">
        <v>14</v>
      </c>
      <c r="H890" s="6" t="s">
        <v>18</v>
      </c>
      <c r="I890">
        <v>2</v>
      </c>
      <c r="J890" t="s">
        <v>16</v>
      </c>
      <c r="K8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90" s="6" t="s">
        <v>32</v>
      </c>
      <c r="M890" s="7">
        <v>42</v>
      </c>
      <c r="N890" t="s">
        <v>18</v>
      </c>
      <c r="O890" s="9" t="str">
        <f>IF(Table1_1[[#This Row],[Purchased Bike]]="yes","1","0")</f>
        <v>0</v>
      </c>
      <c r="P890" s="4" t="str">
        <f>IF(Table1_1[[#This Row],[Income]]&lt;=30000,"Low ",IF(Table1_1[[#This Row],[Income]]&lt;=70000,"Middle","High"))</f>
        <v>Middle</v>
      </c>
      <c r="Q890" s="6" t="str">
        <f>IF(Table1_1[[#This Row],[Age]]&lt;30,"Young",IF(Table1_1[[#This Row],[Age]]&lt;50,"Middle aged","Senior citizen"))</f>
        <v>Middle aged</v>
      </c>
      <c r="R890" s="7">
        <f>IF(Table1_1[[#This Row],[Marriedarital SingletatuSingle]]="M",Table1_1[[#This Row],[Children]]+2,Table1_1[[#This Row],[Children]]+1)</f>
        <v>5</v>
      </c>
      <c r="S890" s="4" t="str">
        <f>IF(Table1_1[[#This Row],[Cars]]=0,"No","Yes")</f>
        <v>Yes</v>
      </c>
      <c r="T890" s="6" t="str">
        <f>IF(AND(Table1_1[[#This Row],[Income]]&gt;50000,Table1_1[[#This Row],[Home Owner]]="Yes"),"High stability","Low stability")</f>
        <v>Low stability</v>
      </c>
      <c r="U890" s="3">
        <f>Table1_1[[#This Row],[Income]]/Table1_1[[#This Row],[Family size]]</f>
        <v>12000</v>
      </c>
      <c r="V890" s="6" t="str">
        <f>IF(Table1_1[[#This Row],[Occupation]]="Skilled manual","Blue collar",IF(Table1_1[[#This Row],[Occupation]]="Manual","Blue collar","White collar"))</f>
        <v>Blue collar</v>
      </c>
    </row>
    <row r="891" spans="1:22" x14ac:dyDescent="0.3">
      <c r="A891" t="s">
        <v>925</v>
      </c>
      <c r="B891" s="6" t="s">
        <v>1042</v>
      </c>
      <c r="C891" s="6" t="s">
        <v>1045</v>
      </c>
      <c r="D891" s="3">
        <v>70000</v>
      </c>
      <c r="E891">
        <v>1</v>
      </c>
      <c r="F891" s="6" t="s">
        <v>31</v>
      </c>
      <c r="G891" s="6" t="s">
        <v>14</v>
      </c>
      <c r="H891" s="6" t="s">
        <v>15</v>
      </c>
      <c r="I891">
        <v>0</v>
      </c>
      <c r="J891" t="s">
        <v>16</v>
      </c>
      <c r="K8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91" s="6" t="s">
        <v>32</v>
      </c>
      <c r="M891" s="7">
        <v>35</v>
      </c>
      <c r="N891" t="s">
        <v>15</v>
      </c>
      <c r="O891" s="9" t="str">
        <f>IF(Table1_1[[#This Row],[Purchased Bike]]="yes","1","0")</f>
        <v>1</v>
      </c>
      <c r="P891" s="4" t="str">
        <f>IF(Table1_1[[#This Row],[Income]]&lt;=30000,"Low ",IF(Table1_1[[#This Row],[Income]]&lt;=70000,"Middle","High"))</f>
        <v>Middle</v>
      </c>
      <c r="Q891" s="6" t="str">
        <f>IF(Table1_1[[#This Row],[Age]]&lt;30,"Young",IF(Table1_1[[#This Row],[Age]]&lt;50,"Middle aged","Senior citizen"))</f>
        <v>Middle aged</v>
      </c>
      <c r="R891" s="7">
        <f>IF(Table1_1[[#This Row],[Marriedarital SingletatuSingle]]="M",Table1_1[[#This Row],[Children]]+2,Table1_1[[#This Row],[Children]]+1)</f>
        <v>2</v>
      </c>
      <c r="S891" s="4" t="str">
        <f>IF(Table1_1[[#This Row],[Cars]]=0,"No","Yes")</f>
        <v>No</v>
      </c>
      <c r="T891" s="6" t="str">
        <f>IF(AND(Table1_1[[#This Row],[Income]]&gt;50000,Table1_1[[#This Row],[Home Owner]]="Yes"),"High stability","Low stability")</f>
        <v>High stability</v>
      </c>
      <c r="U891" s="3">
        <f>Table1_1[[#This Row],[Income]]/Table1_1[[#This Row],[Family size]]</f>
        <v>35000</v>
      </c>
      <c r="V891" s="6" t="str">
        <f>IF(Table1_1[[#This Row],[Occupation]]="Skilled manual","Blue collar",IF(Table1_1[[#This Row],[Occupation]]="Manual","Blue collar","White collar"))</f>
        <v>Blue collar</v>
      </c>
    </row>
    <row r="892" spans="1:22" x14ac:dyDescent="0.3">
      <c r="A892" t="s">
        <v>926</v>
      </c>
      <c r="B892" s="6" t="s">
        <v>1042</v>
      </c>
      <c r="C892" s="6" t="s">
        <v>1045</v>
      </c>
      <c r="D892" s="3">
        <v>40000</v>
      </c>
      <c r="E892">
        <v>2</v>
      </c>
      <c r="F892" s="6" t="s">
        <v>19</v>
      </c>
      <c r="G892" s="6" t="s">
        <v>20</v>
      </c>
      <c r="H892" s="6" t="s">
        <v>15</v>
      </c>
      <c r="I892">
        <v>1</v>
      </c>
      <c r="J892" t="s">
        <v>16</v>
      </c>
      <c r="K8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92" s="6" t="s">
        <v>32</v>
      </c>
      <c r="M892" s="7">
        <v>48</v>
      </c>
      <c r="N892" t="s">
        <v>18</v>
      </c>
      <c r="O892" s="9" t="str">
        <f>IF(Table1_1[[#This Row],[Purchased Bike]]="yes","1","0")</f>
        <v>0</v>
      </c>
      <c r="P892" s="4" t="str">
        <f>IF(Table1_1[[#This Row],[Income]]&lt;=30000,"Low ",IF(Table1_1[[#This Row],[Income]]&lt;=70000,"Middle","High"))</f>
        <v>Middle</v>
      </c>
      <c r="Q892" s="6" t="str">
        <f>IF(Table1_1[[#This Row],[Age]]&lt;30,"Young",IF(Table1_1[[#This Row],[Age]]&lt;50,"Middle aged","Senior citizen"))</f>
        <v>Middle aged</v>
      </c>
      <c r="R892" s="7">
        <f>IF(Table1_1[[#This Row],[Marriedarital SingletatuSingle]]="M",Table1_1[[#This Row],[Children]]+2,Table1_1[[#This Row],[Children]]+1)</f>
        <v>3</v>
      </c>
      <c r="S892" s="4" t="str">
        <f>IF(Table1_1[[#This Row],[Cars]]=0,"No","Yes")</f>
        <v>Yes</v>
      </c>
      <c r="T892" s="6" t="str">
        <f>IF(AND(Table1_1[[#This Row],[Income]]&gt;50000,Table1_1[[#This Row],[Home Owner]]="Yes"),"High stability","Low stability")</f>
        <v>Low stability</v>
      </c>
      <c r="U892" s="3">
        <f>Table1_1[[#This Row],[Income]]/Table1_1[[#This Row],[Family size]]</f>
        <v>13333.333333333334</v>
      </c>
      <c r="V892" s="6" t="str">
        <f>IF(Table1_1[[#This Row],[Occupation]]="Skilled manual","Blue collar",IF(Table1_1[[#This Row],[Occupation]]="Manual","Blue collar","White collar"))</f>
        <v>White collar</v>
      </c>
    </row>
    <row r="893" spans="1:22" x14ac:dyDescent="0.3">
      <c r="A893" t="s">
        <v>927</v>
      </c>
      <c r="B893" s="6" t="s">
        <v>1044</v>
      </c>
      <c r="C893" s="6" t="s">
        <v>1046</v>
      </c>
      <c r="D893" s="3">
        <v>100000</v>
      </c>
      <c r="E893">
        <v>1</v>
      </c>
      <c r="F893" s="6" t="s">
        <v>31</v>
      </c>
      <c r="G893" s="6" t="s">
        <v>28</v>
      </c>
      <c r="H893" s="6" t="s">
        <v>15</v>
      </c>
      <c r="I893">
        <v>3</v>
      </c>
      <c r="J893" t="s">
        <v>22</v>
      </c>
      <c r="K8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93" s="6" t="s">
        <v>32</v>
      </c>
      <c r="M893" s="7">
        <v>73</v>
      </c>
      <c r="N893" t="s">
        <v>15</v>
      </c>
      <c r="O893" s="9" t="str">
        <f>IF(Table1_1[[#This Row],[Purchased Bike]]="yes","1","0")</f>
        <v>1</v>
      </c>
      <c r="P893" s="4" t="str">
        <f>IF(Table1_1[[#This Row],[Income]]&lt;=30000,"Low ",IF(Table1_1[[#This Row],[Income]]&lt;=70000,"Middle","High"))</f>
        <v>High</v>
      </c>
      <c r="Q893" s="6" t="str">
        <f>IF(Table1_1[[#This Row],[Age]]&lt;30,"Young",IF(Table1_1[[#This Row],[Age]]&lt;50,"Middle aged","Senior citizen"))</f>
        <v>Senior citizen</v>
      </c>
      <c r="R893" s="7">
        <f>IF(Table1_1[[#This Row],[Marriedarital SingletatuSingle]]="M",Table1_1[[#This Row],[Children]]+2,Table1_1[[#This Row],[Children]]+1)</f>
        <v>2</v>
      </c>
      <c r="S893" s="4" t="str">
        <f>IF(Table1_1[[#This Row],[Cars]]=0,"No","Yes")</f>
        <v>Yes</v>
      </c>
      <c r="T893" s="6" t="str">
        <f>IF(AND(Table1_1[[#This Row],[Income]]&gt;50000,Table1_1[[#This Row],[Home Owner]]="Yes"),"High stability","Low stability")</f>
        <v>High stability</v>
      </c>
      <c r="U893" s="3">
        <f>Table1_1[[#This Row],[Income]]/Table1_1[[#This Row],[Family size]]</f>
        <v>50000</v>
      </c>
      <c r="V893" s="6" t="str">
        <f>IF(Table1_1[[#This Row],[Occupation]]="Skilled manual","Blue collar",IF(Table1_1[[#This Row],[Occupation]]="Manual","Blue collar","White collar"))</f>
        <v>White collar</v>
      </c>
    </row>
    <row r="894" spans="1:22" x14ac:dyDescent="0.3">
      <c r="A894" t="s">
        <v>928</v>
      </c>
      <c r="B894" s="6" t="s">
        <v>1044</v>
      </c>
      <c r="C894" s="6" t="s">
        <v>1045</v>
      </c>
      <c r="D894" s="3">
        <v>70000</v>
      </c>
      <c r="E894">
        <v>4</v>
      </c>
      <c r="F894" s="6" t="s">
        <v>13</v>
      </c>
      <c r="G894" s="6" t="s">
        <v>14</v>
      </c>
      <c r="H894" s="6" t="s">
        <v>15</v>
      </c>
      <c r="I894">
        <v>2</v>
      </c>
      <c r="J894" t="s">
        <v>22</v>
      </c>
      <c r="K8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894" s="6" t="s">
        <v>32</v>
      </c>
      <c r="M894" s="7">
        <v>43</v>
      </c>
      <c r="N894" t="s">
        <v>15</v>
      </c>
      <c r="O894" s="9" t="str">
        <f>IF(Table1_1[[#This Row],[Purchased Bike]]="yes","1","0")</f>
        <v>1</v>
      </c>
      <c r="P894" s="4" t="str">
        <f>IF(Table1_1[[#This Row],[Income]]&lt;=30000,"Low ",IF(Table1_1[[#This Row],[Income]]&lt;=70000,"Middle","High"))</f>
        <v>Middle</v>
      </c>
      <c r="Q894" s="6" t="str">
        <f>IF(Table1_1[[#This Row],[Age]]&lt;30,"Young",IF(Table1_1[[#This Row],[Age]]&lt;50,"Middle aged","Senior citizen"))</f>
        <v>Middle aged</v>
      </c>
      <c r="R894" s="7">
        <f>IF(Table1_1[[#This Row],[Marriedarital SingletatuSingle]]="M",Table1_1[[#This Row],[Children]]+2,Table1_1[[#This Row],[Children]]+1)</f>
        <v>5</v>
      </c>
      <c r="S894" s="4" t="str">
        <f>IF(Table1_1[[#This Row],[Cars]]=0,"No","Yes")</f>
        <v>Yes</v>
      </c>
      <c r="T894" s="6" t="str">
        <f>IF(AND(Table1_1[[#This Row],[Income]]&gt;50000,Table1_1[[#This Row],[Home Owner]]="Yes"),"High stability","Low stability")</f>
        <v>High stability</v>
      </c>
      <c r="U894" s="3">
        <f>Table1_1[[#This Row],[Income]]/Table1_1[[#This Row],[Family size]]</f>
        <v>14000</v>
      </c>
      <c r="V894" s="6" t="str">
        <f>IF(Table1_1[[#This Row],[Occupation]]="Skilled manual","Blue collar",IF(Table1_1[[#This Row],[Occupation]]="Manual","Blue collar","White collar"))</f>
        <v>Blue collar</v>
      </c>
    </row>
    <row r="895" spans="1:22" x14ac:dyDescent="0.3">
      <c r="A895" t="s">
        <v>929</v>
      </c>
      <c r="B895" s="6" t="s">
        <v>1042</v>
      </c>
      <c r="C895" s="6" t="s">
        <v>1046</v>
      </c>
      <c r="D895" s="3">
        <v>60000</v>
      </c>
      <c r="E895">
        <v>1</v>
      </c>
      <c r="F895" s="6" t="s">
        <v>31</v>
      </c>
      <c r="G895" s="6" t="s">
        <v>21</v>
      </c>
      <c r="H895" s="6" t="s">
        <v>15</v>
      </c>
      <c r="I895">
        <v>0</v>
      </c>
      <c r="J895" t="s">
        <v>16</v>
      </c>
      <c r="K8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95" s="6" t="s">
        <v>32</v>
      </c>
      <c r="M895" s="7">
        <v>35</v>
      </c>
      <c r="N895" t="s">
        <v>18</v>
      </c>
      <c r="O895" s="9" t="str">
        <f>IF(Table1_1[[#This Row],[Purchased Bike]]="yes","1","0")</f>
        <v>0</v>
      </c>
      <c r="P895" s="4" t="str">
        <f>IF(Table1_1[[#This Row],[Income]]&lt;=30000,"Low ",IF(Table1_1[[#This Row],[Income]]&lt;=70000,"Middle","High"))</f>
        <v>Middle</v>
      </c>
      <c r="Q895" s="6" t="str">
        <f>IF(Table1_1[[#This Row],[Age]]&lt;30,"Young",IF(Table1_1[[#This Row],[Age]]&lt;50,"Middle aged","Senior citizen"))</f>
        <v>Middle aged</v>
      </c>
      <c r="R895" s="7">
        <f>IF(Table1_1[[#This Row],[Marriedarital SingletatuSingle]]="M",Table1_1[[#This Row],[Children]]+2,Table1_1[[#This Row],[Children]]+1)</f>
        <v>2</v>
      </c>
      <c r="S895" s="4" t="str">
        <f>IF(Table1_1[[#This Row],[Cars]]=0,"No","Yes")</f>
        <v>No</v>
      </c>
      <c r="T895" s="6" t="str">
        <f>IF(AND(Table1_1[[#This Row],[Income]]&gt;50000,Table1_1[[#This Row],[Home Owner]]="Yes"),"High stability","Low stability")</f>
        <v>High stability</v>
      </c>
      <c r="U895" s="3">
        <f>Table1_1[[#This Row],[Income]]/Table1_1[[#This Row],[Family size]]</f>
        <v>30000</v>
      </c>
      <c r="V895" s="6" t="str">
        <f>IF(Table1_1[[#This Row],[Occupation]]="Skilled manual","Blue collar",IF(Table1_1[[#This Row],[Occupation]]="Manual","Blue collar","White collar"))</f>
        <v>White collar</v>
      </c>
    </row>
    <row r="896" spans="1:22" x14ac:dyDescent="0.3">
      <c r="A896" t="s">
        <v>930</v>
      </c>
      <c r="B896" s="6" t="s">
        <v>1042</v>
      </c>
      <c r="C896" s="6" t="s">
        <v>1046</v>
      </c>
      <c r="D896" s="3">
        <v>70000</v>
      </c>
      <c r="E896">
        <v>3</v>
      </c>
      <c r="F896" s="6" t="s">
        <v>31</v>
      </c>
      <c r="G896" s="6" t="s">
        <v>21</v>
      </c>
      <c r="H896" s="6" t="s">
        <v>15</v>
      </c>
      <c r="I896">
        <v>0</v>
      </c>
      <c r="J896" t="s">
        <v>16</v>
      </c>
      <c r="K8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96" s="6" t="s">
        <v>32</v>
      </c>
      <c r="M896" s="7">
        <v>35</v>
      </c>
      <c r="N896" t="s">
        <v>15</v>
      </c>
      <c r="O896" s="9" t="str">
        <f>IF(Table1_1[[#This Row],[Purchased Bike]]="yes","1","0")</f>
        <v>1</v>
      </c>
      <c r="P896" s="4" t="str">
        <f>IF(Table1_1[[#This Row],[Income]]&lt;=30000,"Low ",IF(Table1_1[[#This Row],[Income]]&lt;=70000,"Middle","High"))</f>
        <v>Middle</v>
      </c>
      <c r="Q896" s="6" t="str">
        <f>IF(Table1_1[[#This Row],[Age]]&lt;30,"Young",IF(Table1_1[[#This Row],[Age]]&lt;50,"Middle aged","Senior citizen"))</f>
        <v>Middle aged</v>
      </c>
      <c r="R896" s="7">
        <f>IF(Table1_1[[#This Row],[Marriedarital SingletatuSingle]]="M",Table1_1[[#This Row],[Children]]+2,Table1_1[[#This Row],[Children]]+1)</f>
        <v>4</v>
      </c>
      <c r="S896" s="4" t="str">
        <f>IF(Table1_1[[#This Row],[Cars]]=0,"No","Yes")</f>
        <v>No</v>
      </c>
      <c r="T896" s="6" t="str">
        <f>IF(AND(Table1_1[[#This Row],[Income]]&gt;50000,Table1_1[[#This Row],[Home Owner]]="Yes"),"High stability","Low stability")</f>
        <v>High stability</v>
      </c>
      <c r="U896" s="3">
        <f>Table1_1[[#This Row],[Income]]/Table1_1[[#This Row],[Family size]]</f>
        <v>17500</v>
      </c>
      <c r="V896" s="6" t="str">
        <f>IF(Table1_1[[#This Row],[Occupation]]="Skilled manual","Blue collar",IF(Table1_1[[#This Row],[Occupation]]="Manual","Blue collar","White collar"))</f>
        <v>White collar</v>
      </c>
    </row>
    <row r="897" spans="1:22" x14ac:dyDescent="0.3">
      <c r="A897" t="s">
        <v>931</v>
      </c>
      <c r="B897" s="6" t="s">
        <v>1042</v>
      </c>
      <c r="C897" s="6" t="s">
        <v>1045</v>
      </c>
      <c r="D897" s="3">
        <v>50000</v>
      </c>
      <c r="E897">
        <v>4</v>
      </c>
      <c r="F897" s="6" t="s">
        <v>13</v>
      </c>
      <c r="G897" s="6" t="s">
        <v>28</v>
      </c>
      <c r="H897" s="6" t="s">
        <v>15</v>
      </c>
      <c r="I897">
        <v>2</v>
      </c>
      <c r="J897" t="s">
        <v>26</v>
      </c>
      <c r="K8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897" s="6" t="s">
        <v>32</v>
      </c>
      <c r="M897" s="7">
        <v>64</v>
      </c>
      <c r="N897" t="s">
        <v>15</v>
      </c>
      <c r="O897" s="9" t="str">
        <f>IF(Table1_1[[#This Row],[Purchased Bike]]="yes","1","0")</f>
        <v>1</v>
      </c>
      <c r="P897" s="4" t="str">
        <f>IF(Table1_1[[#This Row],[Income]]&lt;=30000,"Low ",IF(Table1_1[[#This Row],[Income]]&lt;=70000,"Middle","High"))</f>
        <v>Middle</v>
      </c>
      <c r="Q897" s="6" t="str">
        <f>IF(Table1_1[[#This Row],[Age]]&lt;30,"Young",IF(Table1_1[[#This Row],[Age]]&lt;50,"Middle aged","Senior citizen"))</f>
        <v>Senior citizen</v>
      </c>
      <c r="R897" s="7">
        <f>IF(Table1_1[[#This Row],[Marriedarital SingletatuSingle]]="M",Table1_1[[#This Row],[Children]]+2,Table1_1[[#This Row],[Children]]+1)</f>
        <v>5</v>
      </c>
      <c r="S897" s="4" t="str">
        <f>IF(Table1_1[[#This Row],[Cars]]=0,"No","Yes")</f>
        <v>Yes</v>
      </c>
      <c r="T897" s="6" t="str">
        <f>IF(AND(Table1_1[[#This Row],[Income]]&gt;50000,Table1_1[[#This Row],[Home Owner]]="Yes"),"High stability","Low stability")</f>
        <v>Low stability</v>
      </c>
      <c r="U897" s="3">
        <f>Table1_1[[#This Row],[Income]]/Table1_1[[#This Row],[Family size]]</f>
        <v>10000</v>
      </c>
      <c r="V897" s="6" t="str">
        <f>IF(Table1_1[[#This Row],[Occupation]]="Skilled manual","Blue collar",IF(Table1_1[[#This Row],[Occupation]]="Manual","Blue collar","White collar"))</f>
        <v>White collar</v>
      </c>
    </row>
    <row r="898" spans="1:22" x14ac:dyDescent="0.3">
      <c r="A898" t="s">
        <v>932</v>
      </c>
      <c r="B898" s="6" t="s">
        <v>1042</v>
      </c>
      <c r="C898" s="6" t="s">
        <v>1045</v>
      </c>
      <c r="D898" s="3">
        <v>50000</v>
      </c>
      <c r="E898">
        <v>1</v>
      </c>
      <c r="F898" s="6" t="s">
        <v>13</v>
      </c>
      <c r="G898" s="6" t="s">
        <v>14</v>
      </c>
      <c r="H898" s="6" t="s">
        <v>15</v>
      </c>
      <c r="I898">
        <v>0</v>
      </c>
      <c r="J898" t="s">
        <v>16</v>
      </c>
      <c r="K8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98" s="6" t="s">
        <v>32</v>
      </c>
      <c r="M898" s="7">
        <v>34</v>
      </c>
      <c r="N898" t="s">
        <v>15</v>
      </c>
      <c r="O898" s="9" t="str">
        <f>IF(Table1_1[[#This Row],[Purchased Bike]]="yes","1","0")</f>
        <v>1</v>
      </c>
      <c r="P898" s="4" t="str">
        <f>IF(Table1_1[[#This Row],[Income]]&lt;=30000,"Low ",IF(Table1_1[[#This Row],[Income]]&lt;=70000,"Middle","High"))</f>
        <v>Middle</v>
      </c>
      <c r="Q898" s="6" t="str">
        <f>IF(Table1_1[[#This Row],[Age]]&lt;30,"Young",IF(Table1_1[[#This Row],[Age]]&lt;50,"Middle aged","Senior citizen"))</f>
        <v>Middle aged</v>
      </c>
      <c r="R898" s="7">
        <f>IF(Table1_1[[#This Row],[Marriedarital SingletatuSingle]]="M",Table1_1[[#This Row],[Children]]+2,Table1_1[[#This Row],[Children]]+1)</f>
        <v>2</v>
      </c>
      <c r="S898" s="4" t="str">
        <f>IF(Table1_1[[#This Row],[Cars]]=0,"No","Yes")</f>
        <v>No</v>
      </c>
      <c r="T898" s="6" t="str">
        <f>IF(AND(Table1_1[[#This Row],[Income]]&gt;50000,Table1_1[[#This Row],[Home Owner]]="Yes"),"High stability","Low stability")</f>
        <v>Low stability</v>
      </c>
      <c r="U898" s="3">
        <f>Table1_1[[#This Row],[Income]]/Table1_1[[#This Row],[Family size]]</f>
        <v>25000</v>
      </c>
      <c r="V898" s="6" t="str">
        <f>IF(Table1_1[[#This Row],[Occupation]]="Skilled manual","Blue collar",IF(Table1_1[[#This Row],[Occupation]]="Manual","Blue collar","White collar"))</f>
        <v>Blue collar</v>
      </c>
    </row>
    <row r="899" spans="1:22" x14ac:dyDescent="0.3">
      <c r="A899" t="s">
        <v>933</v>
      </c>
      <c r="B899" s="6" t="s">
        <v>1042</v>
      </c>
      <c r="C899" s="6" t="s">
        <v>1046</v>
      </c>
      <c r="D899" s="3">
        <v>30000</v>
      </c>
      <c r="E899">
        <v>0</v>
      </c>
      <c r="F899" s="6" t="s">
        <v>29</v>
      </c>
      <c r="G899" s="6" t="s">
        <v>20</v>
      </c>
      <c r="H899" s="6" t="s">
        <v>18</v>
      </c>
      <c r="I899">
        <v>2</v>
      </c>
      <c r="J899" t="s">
        <v>16</v>
      </c>
      <c r="K8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899" s="6" t="s">
        <v>32</v>
      </c>
      <c r="M899" s="7">
        <v>28</v>
      </c>
      <c r="N899" t="s">
        <v>18</v>
      </c>
      <c r="O899" s="9" t="str">
        <f>IF(Table1_1[[#This Row],[Purchased Bike]]="yes","1","0")</f>
        <v>0</v>
      </c>
      <c r="P899" s="4" t="str">
        <f>IF(Table1_1[[#This Row],[Income]]&lt;=30000,"Low ",IF(Table1_1[[#This Row],[Income]]&lt;=70000,"Middle","High"))</f>
        <v xml:space="preserve">Low </v>
      </c>
      <c r="Q899" s="6" t="str">
        <f>IF(Table1_1[[#This Row],[Age]]&lt;30,"Young",IF(Table1_1[[#This Row],[Age]]&lt;50,"Middle aged","Senior citizen"))</f>
        <v>Young</v>
      </c>
      <c r="R899" s="7">
        <f>IF(Table1_1[[#This Row],[Marriedarital SingletatuSingle]]="M",Table1_1[[#This Row],[Children]]+2,Table1_1[[#This Row],[Children]]+1)</f>
        <v>1</v>
      </c>
      <c r="S899" s="4" t="str">
        <f>IF(Table1_1[[#This Row],[Cars]]=0,"No","Yes")</f>
        <v>Yes</v>
      </c>
      <c r="T899" s="6" t="str">
        <f>IF(AND(Table1_1[[#This Row],[Income]]&gt;50000,Table1_1[[#This Row],[Home Owner]]="Yes"),"High stability","Low stability")</f>
        <v>Low stability</v>
      </c>
      <c r="U899" s="3">
        <f>Table1_1[[#This Row],[Income]]/Table1_1[[#This Row],[Family size]]</f>
        <v>30000</v>
      </c>
      <c r="V899" s="6" t="str">
        <f>IF(Table1_1[[#This Row],[Occupation]]="Skilled manual","Blue collar",IF(Table1_1[[#This Row],[Occupation]]="Manual","Blue collar","White collar"))</f>
        <v>White collar</v>
      </c>
    </row>
    <row r="900" spans="1:22" x14ac:dyDescent="0.3">
      <c r="A900" t="s">
        <v>934</v>
      </c>
      <c r="B900" s="6" t="s">
        <v>1044</v>
      </c>
      <c r="C900" s="6" t="s">
        <v>1046</v>
      </c>
      <c r="D900" s="3">
        <v>70000</v>
      </c>
      <c r="E900">
        <v>5</v>
      </c>
      <c r="F900" s="6" t="s">
        <v>13</v>
      </c>
      <c r="G900" s="6" t="s">
        <v>28</v>
      </c>
      <c r="H900" s="6" t="s">
        <v>15</v>
      </c>
      <c r="I900">
        <v>3</v>
      </c>
      <c r="J900" t="s">
        <v>30</v>
      </c>
      <c r="K9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00" s="6" t="s">
        <v>32</v>
      </c>
      <c r="M900" s="7">
        <v>60</v>
      </c>
      <c r="N900" t="s">
        <v>15</v>
      </c>
      <c r="O900" s="9" t="str">
        <f>IF(Table1_1[[#This Row],[Purchased Bike]]="yes","1","0")</f>
        <v>1</v>
      </c>
      <c r="P900" s="4" t="str">
        <f>IF(Table1_1[[#This Row],[Income]]&lt;=30000,"Low ",IF(Table1_1[[#This Row],[Income]]&lt;=70000,"Middle","High"))</f>
        <v>Middle</v>
      </c>
      <c r="Q900" s="6" t="str">
        <f>IF(Table1_1[[#This Row],[Age]]&lt;30,"Young",IF(Table1_1[[#This Row],[Age]]&lt;50,"Middle aged","Senior citizen"))</f>
        <v>Senior citizen</v>
      </c>
      <c r="R900" s="7">
        <f>IF(Table1_1[[#This Row],[Marriedarital SingletatuSingle]]="M",Table1_1[[#This Row],[Children]]+2,Table1_1[[#This Row],[Children]]+1)</f>
        <v>6</v>
      </c>
      <c r="S900" s="4" t="str">
        <f>IF(Table1_1[[#This Row],[Cars]]=0,"No","Yes")</f>
        <v>Yes</v>
      </c>
      <c r="T900" s="6" t="str">
        <f>IF(AND(Table1_1[[#This Row],[Income]]&gt;50000,Table1_1[[#This Row],[Home Owner]]="Yes"),"High stability","Low stability")</f>
        <v>High stability</v>
      </c>
      <c r="U900" s="3">
        <f>Table1_1[[#This Row],[Income]]/Table1_1[[#This Row],[Family size]]</f>
        <v>11666.666666666666</v>
      </c>
      <c r="V900" s="6" t="str">
        <f>IF(Table1_1[[#This Row],[Occupation]]="Skilled manual","Blue collar",IF(Table1_1[[#This Row],[Occupation]]="Manual","Blue collar","White collar"))</f>
        <v>White collar</v>
      </c>
    </row>
    <row r="901" spans="1:22" x14ac:dyDescent="0.3">
      <c r="A901" t="s">
        <v>935</v>
      </c>
      <c r="B901" s="6" t="s">
        <v>1042</v>
      </c>
      <c r="C901" s="6" t="s">
        <v>1045</v>
      </c>
      <c r="D901" s="3">
        <v>70000</v>
      </c>
      <c r="E901">
        <v>5</v>
      </c>
      <c r="F901" s="6" t="s">
        <v>31</v>
      </c>
      <c r="G901" s="6" t="s">
        <v>21</v>
      </c>
      <c r="H901" s="6" t="s">
        <v>15</v>
      </c>
      <c r="I901">
        <v>3</v>
      </c>
      <c r="J901" t="s">
        <v>30</v>
      </c>
      <c r="K9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01" s="6" t="s">
        <v>32</v>
      </c>
      <c r="M901" s="7">
        <v>46</v>
      </c>
      <c r="N901" t="s">
        <v>18</v>
      </c>
      <c r="O901" s="9" t="str">
        <f>IF(Table1_1[[#This Row],[Purchased Bike]]="yes","1","0")</f>
        <v>0</v>
      </c>
      <c r="P901" s="4" t="str">
        <f>IF(Table1_1[[#This Row],[Income]]&lt;=30000,"Low ",IF(Table1_1[[#This Row],[Income]]&lt;=70000,"Middle","High"))</f>
        <v>Middle</v>
      </c>
      <c r="Q901" s="6" t="str">
        <f>IF(Table1_1[[#This Row],[Age]]&lt;30,"Young",IF(Table1_1[[#This Row],[Age]]&lt;50,"Middle aged","Senior citizen"))</f>
        <v>Middle aged</v>
      </c>
      <c r="R901" s="7">
        <f>IF(Table1_1[[#This Row],[Marriedarital SingletatuSingle]]="M",Table1_1[[#This Row],[Children]]+2,Table1_1[[#This Row],[Children]]+1)</f>
        <v>6</v>
      </c>
      <c r="S901" s="4" t="str">
        <f>IF(Table1_1[[#This Row],[Cars]]=0,"No","Yes")</f>
        <v>Yes</v>
      </c>
      <c r="T901" s="6" t="str">
        <f>IF(AND(Table1_1[[#This Row],[Income]]&gt;50000,Table1_1[[#This Row],[Home Owner]]="Yes"),"High stability","Low stability")</f>
        <v>High stability</v>
      </c>
      <c r="U901" s="3">
        <f>Table1_1[[#This Row],[Income]]/Table1_1[[#This Row],[Family size]]</f>
        <v>11666.666666666666</v>
      </c>
      <c r="V901" s="6" t="str">
        <f>IF(Table1_1[[#This Row],[Occupation]]="Skilled manual","Blue collar",IF(Table1_1[[#This Row],[Occupation]]="Manual","Blue collar","White collar"))</f>
        <v>White collar</v>
      </c>
    </row>
    <row r="902" spans="1:22" x14ac:dyDescent="0.3">
      <c r="A902" t="s">
        <v>936</v>
      </c>
      <c r="B902" s="6" t="s">
        <v>1042</v>
      </c>
      <c r="C902" s="6" t="s">
        <v>1046</v>
      </c>
      <c r="D902" s="3">
        <v>40000</v>
      </c>
      <c r="E902">
        <v>4</v>
      </c>
      <c r="F902" s="6" t="s">
        <v>27</v>
      </c>
      <c r="G902" s="6" t="s">
        <v>14</v>
      </c>
      <c r="H902" s="6" t="s">
        <v>15</v>
      </c>
      <c r="I902">
        <v>2</v>
      </c>
      <c r="J902" t="s">
        <v>16</v>
      </c>
      <c r="K90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02" s="6" t="s">
        <v>32</v>
      </c>
      <c r="M902" s="7">
        <v>44</v>
      </c>
      <c r="N902" t="s">
        <v>15</v>
      </c>
      <c r="O902" s="9" t="str">
        <f>IF(Table1_1[[#This Row],[Purchased Bike]]="yes","1","0")</f>
        <v>1</v>
      </c>
      <c r="P902" s="4" t="str">
        <f>IF(Table1_1[[#This Row],[Income]]&lt;=30000,"Low ",IF(Table1_1[[#This Row],[Income]]&lt;=70000,"Middle","High"))</f>
        <v>Middle</v>
      </c>
      <c r="Q902" s="6" t="str">
        <f>IF(Table1_1[[#This Row],[Age]]&lt;30,"Young",IF(Table1_1[[#This Row],[Age]]&lt;50,"Middle aged","Senior citizen"))</f>
        <v>Middle aged</v>
      </c>
      <c r="R902" s="7">
        <f>IF(Table1_1[[#This Row],[Marriedarital SingletatuSingle]]="M",Table1_1[[#This Row],[Children]]+2,Table1_1[[#This Row],[Children]]+1)</f>
        <v>5</v>
      </c>
      <c r="S902" s="4" t="str">
        <f>IF(Table1_1[[#This Row],[Cars]]=0,"No","Yes")</f>
        <v>Yes</v>
      </c>
      <c r="T902" s="6" t="str">
        <f>IF(AND(Table1_1[[#This Row],[Income]]&gt;50000,Table1_1[[#This Row],[Home Owner]]="Yes"),"High stability","Low stability")</f>
        <v>Low stability</v>
      </c>
      <c r="U902" s="3">
        <f>Table1_1[[#This Row],[Income]]/Table1_1[[#This Row],[Family size]]</f>
        <v>8000</v>
      </c>
      <c r="V902" s="6" t="str">
        <f>IF(Table1_1[[#This Row],[Occupation]]="Skilled manual","Blue collar",IF(Table1_1[[#This Row],[Occupation]]="Manual","Blue collar","White collar"))</f>
        <v>Blue collar</v>
      </c>
    </row>
    <row r="903" spans="1:22" x14ac:dyDescent="0.3">
      <c r="A903" t="s">
        <v>937</v>
      </c>
      <c r="B903" s="6" t="s">
        <v>1044</v>
      </c>
      <c r="C903" s="6" t="s">
        <v>1045</v>
      </c>
      <c r="D903" s="3">
        <v>60000</v>
      </c>
      <c r="E903">
        <v>4</v>
      </c>
      <c r="F903" s="6" t="s">
        <v>13</v>
      </c>
      <c r="G903" s="6" t="s">
        <v>14</v>
      </c>
      <c r="H903" s="6" t="s">
        <v>15</v>
      </c>
      <c r="I903">
        <v>2</v>
      </c>
      <c r="J903" t="s">
        <v>22</v>
      </c>
      <c r="K90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03" s="6" t="s">
        <v>32</v>
      </c>
      <c r="M903" s="7">
        <v>42</v>
      </c>
      <c r="N903" t="s">
        <v>15</v>
      </c>
      <c r="O903" s="9" t="str">
        <f>IF(Table1_1[[#This Row],[Purchased Bike]]="yes","1","0")</f>
        <v>1</v>
      </c>
      <c r="P903" s="4" t="str">
        <f>IF(Table1_1[[#This Row],[Income]]&lt;=30000,"Low ",IF(Table1_1[[#This Row],[Income]]&lt;=70000,"Middle","High"))</f>
        <v>Middle</v>
      </c>
      <c r="Q903" s="6" t="str">
        <f>IF(Table1_1[[#This Row],[Age]]&lt;30,"Young",IF(Table1_1[[#This Row],[Age]]&lt;50,"Middle aged","Senior citizen"))</f>
        <v>Middle aged</v>
      </c>
      <c r="R903" s="7">
        <f>IF(Table1_1[[#This Row],[Marriedarital SingletatuSingle]]="M",Table1_1[[#This Row],[Children]]+2,Table1_1[[#This Row],[Children]]+1)</f>
        <v>5</v>
      </c>
      <c r="S903" s="4" t="str">
        <f>IF(Table1_1[[#This Row],[Cars]]=0,"No","Yes")</f>
        <v>Yes</v>
      </c>
      <c r="T903" s="6" t="str">
        <f>IF(AND(Table1_1[[#This Row],[Income]]&gt;50000,Table1_1[[#This Row],[Home Owner]]="Yes"),"High stability","Low stability")</f>
        <v>High stability</v>
      </c>
      <c r="U903" s="3">
        <f>Table1_1[[#This Row],[Income]]/Table1_1[[#This Row],[Family size]]</f>
        <v>12000</v>
      </c>
      <c r="V903" s="6" t="str">
        <f>IF(Table1_1[[#This Row],[Occupation]]="Skilled manual","Blue collar",IF(Table1_1[[#This Row],[Occupation]]="Manual","Blue collar","White collar"))</f>
        <v>Blue collar</v>
      </c>
    </row>
    <row r="904" spans="1:22" x14ac:dyDescent="0.3">
      <c r="A904" t="s">
        <v>938</v>
      </c>
      <c r="B904" s="6" t="s">
        <v>1044</v>
      </c>
      <c r="C904" s="6" t="s">
        <v>1046</v>
      </c>
      <c r="D904" s="3">
        <v>80000</v>
      </c>
      <c r="E904">
        <v>3</v>
      </c>
      <c r="F904" s="6" t="s">
        <v>13</v>
      </c>
      <c r="G904" s="6" t="s">
        <v>14</v>
      </c>
      <c r="H904" s="6" t="s">
        <v>15</v>
      </c>
      <c r="I904">
        <v>0</v>
      </c>
      <c r="J904" t="s">
        <v>22</v>
      </c>
      <c r="K90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04" s="6" t="s">
        <v>32</v>
      </c>
      <c r="M904" s="7">
        <v>40</v>
      </c>
      <c r="N904" t="s">
        <v>18</v>
      </c>
      <c r="O904" s="9" t="str">
        <f>IF(Table1_1[[#This Row],[Purchased Bike]]="yes","1","0")</f>
        <v>0</v>
      </c>
      <c r="P904" s="4" t="str">
        <f>IF(Table1_1[[#This Row],[Income]]&lt;=30000,"Low ",IF(Table1_1[[#This Row],[Income]]&lt;=70000,"Middle","High"))</f>
        <v>High</v>
      </c>
      <c r="Q904" s="6" t="str">
        <f>IF(Table1_1[[#This Row],[Age]]&lt;30,"Young",IF(Table1_1[[#This Row],[Age]]&lt;50,"Middle aged","Senior citizen"))</f>
        <v>Middle aged</v>
      </c>
      <c r="R904" s="7">
        <f>IF(Table1_1[[#This Row],[Marriedarital SingletatuSingle]]="M",Table1_1[[#This Row],[Children]]+2,Table1_1[[#This Row],[Children]]+1)</f>
        <v>4</v>
      </c>
      <c r="S904" s="4" t="str">
        <f>IF(Table1_1[[#This Row],[Cars]]=0,"No","Yes")</f>
        <v>No</v>
      </c>
      <c r="T904" s="6" t="str">
        <f>IF(AND(Table1_1[[#This Row],[Income]]&gt;50000,Table1_1[[#This Row],[Home Owner]]="Yes"),"High stability","Low stability")</f>
        <v>High stability</v>
      </c>
      <c r="U904" s="3">
        <f>Table1_1[[#This Row],[Income]]/Table1_1[[#This Row],[Family size]]</f>
        <v>20000</v>
      </c>
      <c r="V904" s="6" t="str">
        <f>IF(Table1_1[[#This Row],[Occupation]]="Skilled manual","Blue collar",IF(Table1_1[[#This Row],[Occupation]]="Manual","Blue collar","White collar"))</f>
        <v>Blue collar</v>
      </c>
    </row>
    <row r="905" spans="1:22" x14ac:dyDescent="0.3">
      <c r="A905" t="s">
        <v>939</v>
      </c>
      <c r="B905" s="6" t="s">
        <v>1044</v>
      </c>
      <c r="C905" s="6" t="s">
        <v>1046</v>
      </c>
      <c r="D905" s="3">
        <v>90000</v>
      </c>
      <c r="E905">
        <v>4</v>
      </c>
      <c r="F905" s="6" t="s">
        <v>31</v>
      </c>
      <c r="G905" s="6" t="s">
        <v>28</v>
      </c>
      <c r="H905" s="6" t="s">
        <v>15</v>
      </c>
      <c r="I905">
        <v>1</v>
      </c>
      <c r="J905" t="s">
        <v>23</v>
      </c>
      <c r="K90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05" s="6" t="s">
        <v>32</v>
      </c>
      <c r="M905" s="7">
        <v>73</v>
      </c>
      <c r="N905" t="s">
        <v>18</v>
      </c>
      <c r="O905" s="9" t="str">
        <f>IF(Table1_1[[#This Row],[Purchased Bike]]="yes","1","0")</f>
        <v>0</v>
      </c>
      <c r="P905" s="4" t="str">
        <f>IF(Table1_1[[#This Row],[Income]]&lt;=30000,"Low ",IF(Table1_1[[#This Row],[Income]]&lt;=70000,"Middle","High"))</f>
        <v>High</v>
      </c>
      <c r="Q905" s="6" t="str">
        <f>IF(Table1_1[[#This Row],[Age]]&lt;30,"Young",IF(Table1_1[[#This Row],[Age]]&lt;50,"Middle aged","Senior citizen"))</f>
        <v>Senior citizen</v>
      </c>
      <c r="R905" s="7">
        <f>IF(Table1_1[[#This Row],[Marriedarital SingletatuSingle]]="M",Table1_1[[#This Row],[Children]]+2,Table1_1[[#This Row],[Children]]+1)</f>
        <v>5</v>
      </c>
      <c r="S905" s="4" t="str">
        <f>IF(Table1_1[[#This Row],[Cars]]=0,"No","Yes")</f>
        <v>Yes</v>
      </c>
      <c r="T905" s="6" t="str">
        <f>IF(AND(Table1_1[[#This Row],[Income]]&gt;50000,Table1_1[[#This Row],[Home Owner]]="Yes"),"High stability","Low stability")</f>
        <v>High stability</v>
      </c>
      <c r="U905" s="3">
        <f>Table1_1[[#This Row],[Income]]/Table1_1[[#This Row],[Family size]]</f>
        <v>18000</v>
      </c>
      <c r="V905" s="6" t="str">
        <f>IF(Table1_1[[#This Row],[Occupation]]="Skilled manual","Blue collar",IF(Table1_1[[#This Row],[Occupation]]="Manual","Blue collar","White collar"))</f>
        <v>White collar</v>
      </c>
    </row>
    <row r="906" spans="1:22" x14ac:dyDescent="0.3">
      <c r="A906" t="s">
        <v>940</v>
      </c>
      <c r="B906" s="6" t="s">
        <v>1044</v>
      </c>
      <c r="C906" s="6" t="s">
        <v>1045</v>
      </c>
      <c r="D906" s="3">
        <v>60000</v>
      </c>
      <c r="E906">
        <v>2</v>
      </c>
      <c r="F906" s="6" t="s">
        <v>13</v>
      </c>
      <c r="G906" s="6" t="s">
        <v>14</v>
      </c>
      <c r="H906" s="6" t="s">
        <v>18</v>
      </c>
      <c r="I906">
        <v>0</v>
      </c>
      <c r="J906" t="s">
        <v>16</v>
      </c>
      <c r="K90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06" s="6" t="s">
        <v>32</v>
      </c>
      <c r="M906" s="7">
        <v>36</v>
      </c>
      <c r="N906" t="s">
        <v>15</v>
      </c>
      <c r="O906" s="9" t="str">
        <f>IF(Table1_1[[#This Row],[Purchased Bike]]="yes","1","0")</f>
        <v>1</v>
      </c>
      <c r="P906" s="4" t="str">
        <f>IF(Table1_1[[#This Row],[Income]]&lt;=30000,"Low ",IF(Table1_1[[#This Row],[Income]]&lt;=70000,"Middle","High"))</f>
        <v>Middle</v>
      </c>
      <c r="Q906" s="6" t="str">
        <f>IF(Table1_1[[#This Row],[Age]]&lt;30,"Young",IF(Table1_1[[#This Row],[Age]]&lt;50,"Middle aged","Senior citizen"))</f>
        <v>Middle aged</v>
      </c>
      <c r="R906" s="7">
        <f>IF(Table1_1[[#This Row],[Marriedarital SingletatuSingle]]="M",Table1_1[[#This Row],[Children]]+2,Table1_1[[#This Row],[Children]]+1)</f>
        <v>3</v>
      </c>
      <c r="S906" s="4" t="str">
        <f>IF(Table1_1[[#This Row],[Cars]]=0,"No","Yes")</f>
        <v>No</v>
      </c>
      <c r="T906" s="6" t="str">
        <f>IF(AND(Table1_1[[#This Row],[Income]]&gt;50000,Table1_1[[#This Row],[Home Owner]]="Yes"),"High stability","Low stability")</f>
        <v>Low stability</v>
      </c>
      <c r="U906" s="3">
        <f>Table1_1[[#This Row],[Income]]/Table1_1[[#This Row],[Family size]]</f>
        <v>20000</v>
      </c>
      <c r="V906" s="6" t="str">
        <f>IF(Table1_1[[#This Row],[Occupation]]="Skilled manual","Blue collar",IF(Table1_1[[#This Row],[Occupation]]="Manual","Blue collar","White collar"))</f>
        <v>Blue collar</v>
      </c>
    </row>
    <row r="907" spans="1:22" x14ac:dyDescent="0.3">
      <c r="A907" t="s">
        <v>941</v>
      </c>
      <c r="B907" s="6" t="s">
        <v>1044</v>
      </c>
      <c r="C907" s="6" t="s">
        <v>1046</v>
      </c>
      <c r="D907" s="3">
        <v>90000</v>
      </c>
      <c r="E907">
        <v>4</v>
      </c>
      <c r="F907" s="6" t="s">
        <v>13</v>
      </c>
      <c r="G907" s="6" t="s">
        <v>28</v>
      </c>
      <c r="H907" s="6" t="s">
        <v>15</v>
      </c>
      <c r="I907">
        <v>1</v>
      </c>
      <c r="J907" t="s">
        <v>26</v>
      </c>
      <c r="K90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07" s="6" t="s">
        <v>32</v>
      </c>
      <c r="M907" s="7">
        <v>38</v>
      </c>
      <c r="N907" t="s">
        <v>15</v>
      </c>
      <c r="O907" s="9" t="str">
        <f>IF(Table1_1[[#This Row],[Purchased Bike]]="yes","1","0")</f>
        <v>1</v>
      </c>
      <c r="P907" s="4" t="str">
        <f>IF(Table1_1[[#This Row],[Income]]&lt;=30000,"Low ",IF(Table1_1[[#This Row],[Income]]&lt;=70000,"Middle","High"))</f>
        <v>High</v>
      </c>
      <c r="Q907" s="6" t="str">
        <f>IF(Table1_1[[#This Row],[Age]]&lt;30,"Young",IF(Table1_1[[#This Row],[Age]]&lt;50,"Middle aged","Senior citizen"))</f>
        <v>Middle aged</v>
      </c>
      <c r="R907" s="7">
        <f>IF(Table1_1[[#This Row],[Marriedarital SingletatuSingle]]="M",Table1_1[[#This Row],[Children]]+2,Table1_1[[#This Row],[Children]]+1)</f>
        <v>5</v>
      </c>
      <c r="S907" s="4" t="str">
        <f>IF(Table1_1[[#This Row],[Cars]]=0,"No","Yes")</f>
        <v>Yes</v>
      </c>
      <c r="T907" s="6" t="str">
        <f>IF(AND(Table1_1[[#This Row],[Income]]&gt;50000,Table1_1[[#This Row],[Home Owner]]="Yes"),"High stability","Low stability")</f>
        <v>High stability</v>
      </c>
      <c r="U907" s="3">
        <f>Table1_1[[#This Row],[Income]]/Table1_1[[#This Row],[Family size]]</f>
        <v>18000</v>
      </c>
      <c r="V907" s="6" t="str">
        <f>IF(Table1_1[[#This Row],[Occupation]]="Skilled manual","Blue collar",IF(Table1_1[[#This Row],[Occupation]]="Manual","Blue collar","White collar"))</f>
        <v>White collar</v>
      </c>
    </row>
    <row r="908" spans="1:22" x14ac:dyDescent="0.3">
      <c r="A908" t="s">
        <v>942</v>
      </c>
      <c r="B908" s="6" t="s">
        <v>1042</v>
      </c>
      <c r="C908" s="6" t="s">
        <v>1046</v>
      </c>
      <c r="D908" s="3">
        <v>60000</v>
      </c>
      <c r="E908">
        <v>1</v>
      </c>
      <c r="F908" s="6" t="s">
        <v>31</v>
      </c>
      <c r="G908" s="6" t="s">
        <v>21</v>
      </c>
      <c r="H908" s="6" t="s">
        <v>15</v>
      </c>
      <c r="I908">
        <v>0</v>
      </c>
      <c r="J908" t="s">
        <v>22</v>
      </c>
      <c r="K90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08" s="6" t="s">
        <v>32</v>
      </c>
      <c r="M908" s="7">
        <v>34</v>
      </c>
      <c r="N908" t="s">
        <v>15</v>
      </c>
      <c r="O908" s="9" t="str">
        <f>IF(Table1_1[[#This Row],[Purchased Bike]]="yes","1","0")</f>
        <v>1</v>
      </c>
      <c r="P908" s="4" t="str">
        <f>IF(Table1_1[[#This Row],[Income]]&lt;=30000,"Low ",IF(Table1_1[[#This Row],[Income]]&lt;=70000,"Middle","High"))</f>
        <v>Middle</v>
      </c>
      <c r="Q908" s="6" t="str">
        <f>IF(Table1_1[[#This Row],[Age]]&lt;30,"Young",IF(Table1_1[[#This Row],[Age]]&lt;50,"Middle aged","Senior citizen"))</f>
        <v>Middle aged</v>
      </c>
      <c r="R908" s="7">
        <f>IF(Table1_1[[#This Row],[Marriedarital SingletatuSingle]]="M",Table1_1[[#This Row],[Children]]+2,Table1_1[[#This Row],[Children]]+1)</f>
        <v>2</v>
      </c>
      <c r="S908" s="4" t="str">
        <f>IF(Table1_1[[#This Row],[Cars]]=0,"No","Yes")</f>
        <v>No</v>
      </c>
      <c r="T908" s="6" t="str">
        <f>IF(AND(Table1_1[[#This Row],[Income]]&gt;50000,Table1_1[[#This Row],[Home Owner]]="Yes"),"High stability","Low stability")</f>
        <v>High stability</v>
      </c>
      <c r="U908" s="3">
        <f>Table1_1[[#This Row],[Income]]/Table1_1[[#This Row],[Family size]]</f>
        <v>30000</v>
      </c>
      <c r="V908" s="6" t="str">
        <f>IF(Table1_1[[#This Row],[Occupation]]="Skilled manual","Blue collar",IF(Table1_1[[#This Row],[Occupation]]="Manual","Blue collar","White collar"))</f>
        <v>White collar</v>
      </c>
    </row>
    <row r="909" spans="1:22" x14ac:dyDescent="0.3">
      <c r="A909" t="s">
        <v>943</v>
      </c>
      <c r="B909" s="6" t="s">
        <v>1042</v>
      </c>
      <c r="C909" s="6" t="s">
        <v>1046</v>
      </c>
      <c r="D909" s="3">
        <v>50000</v>
      </c>
      <c r="E909">
        <v>4</v>
      </c>
      <c r="F909" s="6" t="s">
        <v>13</v>
      </c>
      <c r="G909" s="6" t="s">
        <v>28</v>
      </c>
      <c r="H909" s="6" t="s">
        <v>15</v>
      </c>
      <c r="I909">
        <v>2</v>
      </c>
      <c r="J909" t="s">
        <v>30</v>
      </c>
      <c r="K90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09" s="6" t="s">
        <v>32</v>
      </c>
      <c r="M909" s="7">
        <v>63</v>
      </c>
      <c r="N909" t="s">
        <v>18</v>
      </c>
      <c r="O909" s="9" t="str">
        <f>IF(Table1_1[[#This Row],[Purchased Bike]]="yes","1","0")</f>
        <v>0</v>
      </c>
      <c r="P909" s="4" t="str">
        <f>IF(Table1_1[[#This Row],[Income]]&lt;=30000,"Low ",IF(Table1_1[[#This Row],[Income]]&lt;=70000,"Middle","High"))</f>
        <v>Middle</v>
      </c>
      <c r="Q909" s="6" t="str">
        <f>IF(Table1_1[[#This Row],[Age]]&lt;30,"Young",IF(Table1_1[[#This Row],[Age]]&lt;50,"Middle aged","Senior citizen"))</f>
        <v>Senior citizen</v>
      </c>
      <c r="R909" s="7">
        <f>IF(Table1_1[[#This Row],[Marriedarital SingletatuSingle]]="M",Table1_1[[#This Row],[Children]]+2,Table1_1[[#This Row],[Children]]+1)</f>
        <v>5</v>
      </c>
      <c r="S909" s="4" t="str">
        <f>IF(Table1_1[[#This Row],[Cars]]=0,"No","Yes")</f>
        <v>Yes</v>
      </c>
      <c r="T909" s="6" t="str">
        <f>IF(AND(Table1_1[[#This Row],[Income]]&gt;50000,Table1_1[[#This Row],[Home Owner]]="Yes"),"High stability","Low stability")</f>
        <v>Low stability</v>
      </c>
      <c r="U909" s="3">
        <f>Table1_1[[#This Row],[Income]]/Table1_1[[#This Row],[Family size]]</f>
        <v>10000</v>
      </c>
      <c r="V909" s="6" t="str">
        <f>IF(Table1_1[[#This Row],[Occupation]]="Skilled manual","Blue collar",IF(Table1_1[[#This Row],[Occupation]]="Manual","Blue collar","White collar"))</f>
        <v>White collar</v>
      </c>
    </row>
    <row r="910" spans="1:22" x14ac:dyDescent="0.3">
      <c r="A910" t="s">
        <v>944</v>
      </c>
      <c r="B910" s="6" t="s">
        <v>1044</v>
      </c>
      <c r="C910" s="6" t="s">
        <v>1046</v>
      </c>
      <c r="D910" s="3">
        <v>50000</v>
      </c>
      <c r="E910">
        <v>3</v>
      </c>
      <c r="F910" s="6" t="s">
        <v>13</v>
      </c>
      <c r="G910" s="6" t="s">
        <v>14</v>
      </c>
      <c r="H910" s="6" t="s">
        <v>15</v>
      </c>
      <c r="I910">
        <v>2</v>
      </c>
      <c r="J910" t="s">
        <v>22</v>
      </c>
      <c r="K91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10" s="6" t="s">
        <v>32</v>
      </c>
      <c r="M910" s="7">
        <v>41</v>
      </c>
      <c r="N910" t="s">
        <v>15</v>
      </c>
      <c r="O910" s="9" t="str">
        <f>IF(Table1_1[[#This Row],[Purchased Bike]]="yes","1","0")</f>
        <v>1</v>
      </c>
      <c r="P910" s="4" t="str">
        <f>IF(Table1_1[[#This Row],[Income]]&lt;=30000,"Low ",IF(Table1_1[[#This Row],[Income]]&lt;=70000,"Middle","High"))</f>
        <v>Middle</v>
      </c>
      <c r="Q910" s="6" t="str">
        <f>IF(Table1_1[[#This Row],[Age]]&lt;30,"Young",IF(Table1_1[[#This Row],[Age]]&lt;50,"Middle aged","Senior citizen"))</f>
        <v>Middle aged</v>
      </c>
      <c r="R910" s="7">
        <f>IF(Table1_1[[#This Row],[Marriedarital SingletatuSingle]]="M",Table1_1[[#This Row],[Children]]+2,Table1_1[[#This Row],[Children]]+1)</f>
        <v>4</v>
      </c>
      <c r="S910" s="4" t="str">
        <f>IF(Table1_1[[#This Row],[Cars]]=0,"No","Yes")</f>
        <v>Yes</v>
      </c>
      <c r="T910" s="6" t="str">
        <f>IF(AND(Table1_1[[#This Row],[Income]]&gt;50000,Table1_1[[#This Row],[Home Owner]]="Yes"),"High stability","Low stability")</f>
        <v>Low stability</v>
      </c>
      <c r="U910" s="3">
        <f>Table1_1[[#This Row],[Income]]/Table1_1[[#This Row],[Family size]]</f>
        <v>12500</v>
      </c>
      <c r="V910" s="6" t="str">
        <f>IF(Table1_1[[#This Row],[Occupation]]="Skilled manual","Blue collar",IF(Table1_1[[#This Row],[Occupation]]="Manual","Blue collar","White collar"))</f>
        <v>Blue collar</v>
      </c>
    </row>
    <row r="911" spans="1:22" x14ac:dyDescent="0.3">
      <c r="A911" t="s">
        <v>945</v>
      </c>
      <c r="B911" s="6" t="s">
        <v>1042</v>
      </c>
      <c r="C911" s="6" t="s">
        <v>1046</v>
      </c>
      <c r="D911" s="3">
        <v>60000</v>
      </c>
      <c r="E911">
        <v>0</v>
      </c>
      <c r="F911" s="6" t="s">
        <v>31</v>
      </c>
      <c r="G911" s="6" t="s">
        <v>14</v>
      </c>
      <c r="H911" s="6" t="s">
        <v>15</v>
      </c>
      <c r="I911">
        <v>0</v>
      </c>
      <c r="J911" t="s">
        <v>26</v>
      </c>
      <c r="K91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11" s="6" t="s">
        <v>32</v>
      </c>
      <c r="M911" s="7">
        <v>39</v>
      </c>
      <c r="N911" t="s">
        <v>15</v>
      </c>
      <c r="O911" s="9" t="str">
        <f>IF(Table1_1[[#This Row],[Purchased Bike]]="yes","1","0")</f>
        <v>1</v>
      </c>
      <c r="P911" s="4" t="str">
        <f>IF(Table1_1[[#This Row],[Income]]&lt;=30000,"Low ",IF(Table1_1[[#This Row],[Income]]&lt;=70000,"Middle","High"))</f>
        <v>Middle</v>
      </c>
      <c r="Q911" s="6" t="str">
        <f>IF(Table1_1[[#This Row],[Age]]&lt;30,"Young",IF(Table1_1[[#This Row],[Age]]&lt;50,"Middle aged","Senior citizen"))</f>
        <v>Middle aged</v>
      </c>
      <c r="R911" s="7">
        <f>IF(Table1_1[[#This Row],[Marriedarital SingletatuSingle]]="M",Table1_1[[#This Row],[Children]]+2,Table1_1[[#This Row],[Children]]+1)</f>
        <v>1</v>
      </c>
      <c r="S911" s="4" t="str">
        <f>IF(Table1_1[[#This Row],[Cars]]=0,"No","Yes")</f>
        <v>No</v>
      </c>
      <c r="T911" s="6" t="str">
        <f>IF(AND(Table1_1[[#This Row],[Income]]&gt;50000,Table1_1[[#This Row],[Home Owner]]="Yes"),"High stability","Low stability")</f>
        <v>High stability</v>
      </c>
      <c r="U911" s="3">
        <f>Table1_1[[#This Row],[Income]]/Table1_1[[#This Row],[Family size]]</f>
        <v>60000</v>
      </c>
      <c r="V911" s="6" t="str">
        <f>IF(Table1_1[[#This Row],[Occupation]]="Skilled manual","Blue collar",IF(Table1_1[[#This Row],[Occupation]]="Manual","Blue collar","White collar"))</f>
        <v>Blue collar</v>
      </c>
    </row>
    <row r="912" spans="1:22" x14ac:dyDescent="0.3">
      <c r="A912" t="s">
        <v>946</v>
      </c>
      <c r="B912" s="6" t="s">
        <v>1042</v>
      </c>
      <c r="C912" s="6" t="s">
        <v>1046</v>
      </c>
      <c r="D912" s="3">
        <v>40000</v>
      </c>
      <c r="E912">
        <v>4</v>
      </c>
      <c r="F912" s="6" t="s">
        <v>27</v>
      </c>
      <c r="G912" s="6" t="s">
        <v>14</v>
      </c>
      <c r="H912" s="6" t="s">
        <v>15</v>
      </c>
      <c r="I912">
        <v>2</v>
      </c>
      <c r="J912" t="s">
        <v>22</v>
      </c>
      <c r="K91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12" s="6" t="s">
        <v>32</v>
      </c>
      <c r="M912" s="7">
        <v>46</v>
      </c>
      <c r="N912" t="s">
        <v>18</v>
      </c>
      <c r="O912" s="9" t="str">
        <f>IF(Table1_1[[#This Row],[Purchased Bike]]="yes","1","0")</f>
        <v>0</v>
      </c>
      <c r="P912" s="4" t="str">
        <f>IF(Table1_1[[#This Row],[Income]]&lt;=30000,"Low ",IF(Table1_1[[#This Row],[Income]]&lt;=70000,"Middle","High"))</f>
        <v>Middle</v>
      </c>
      <c r="Q912" s="6" t="str">
        <f>IF(Table1_1[[#This Row],[Age]]&lt;30,"Young",IF(Table1_1[[#This Row],[Age]]&lt;50,"Middle aged","Senior citizen"))</f>
        <v>Middle aged</v>
      </c>
      <c r="R912" s="7">
        <f>IF(Table1_1[[#This Row],[Marriedarital SingletatuSingle]]="M",Table1_1[[#This Row],[Children]]+2,Table1_1[[#This Row],[Children]]+1)</f>
        <v>5</v>
      </c>
      <c r="S912" s="4" t="str">
        <f>IF(Table1_1[[#This Row],[Cars]]=0,"No","Yes")</f>
        <v>Yes</v>
      </c>
      <c r="T912" s="6" t="str">
        <f>IF(AND(Table1_1[[#This Row],[Income]]&gt;50000,Table1_1[[#This Row],[Home Owner]]="Yes"),"High stability","Low stability")</f>
        <v>Low stability</v>
      </c>
      <c r="U912" s="3">
        <f>Table1_1[[#This Row],[Income]]/Table1_1[[#This Row],[Family size]]</f>
        <v>8000</v>
      </c>
      <c r="V912" s="6" t="str">
        <f>IF(Table1_1[[#This Row],[Occupation]]="Skilled manual","Blue collar",IF(Table1_1[[#This Row],[Occupation]]="Manual","Blue collar","White collar"))</f>
        <v>Blue collar</v>
      </c>
    </row>
    <row r="913" spans="1:22" x14ac:dyDescent="0.3">
      <c r="A913" t="s">
        <v>947</v>
      </c>
      <c r="B913" s="6" t="s">
        <v>1042</v>
      </c>
      <c r="C913" s="6" t="s">
        <v>1045</v>
      </c>
      <c r="D913" s="3">
        <v>80000</v>
      </c>
      <c r="E913">
        <v>5</v>
      </c>
      <c r="F913" s="6" t="s">
        <v>13</v>
      </c>
      <c r="G913" s="6" t="s">
        <v>28</v>
      </c>
      <c r="H913" s="6" t="s">
        <v>15</v>
      </c>
      <c r="I913">
        <v>2</v>
      </c>
      <c r="J913" t="s">
        <v>23</v>
      </c>
      <c r="K91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13" s="6" t="s">
        <v>32</v>
      </c>
      <c r="M913" s="7">
        <v>64</v>
      </c>
      <c r="N913" t="s">
        <v>18</v>
      </c>
      <c r="O913" s="9" t="str">
        <f>IF(Table1_1[[#This Row],[Purchased Bike]]="yes","1","0")</f>
        <v>0</v>
      </c>
      <c r="P913" s="4" t="str">
        <f>IF(Table1_1[[#This Row],[Income]]&lt;=30000,"Low ",IF(Table1_1[[#This Row],[Income]]&lt;=70000,"Middle","High"))</f>
        <v>High</v>
      </c>
      <c r="Q913" s="6" t="str">
        <f>IF(Table1_1[[#This Row],[Age]]&lt;30,"Young",IF(Table1_1[[#This Row],[Age]]&lt;50,"Middle aged","Senior citizen"))</f>
        <v>Senior citizen</v>
      </c>
      <c r="R913" s="7">
        <f>IF(Table1_1[[#This Row],[Marriedarital SingletatuSingle]]="M",Table1_1[[#This Row],[Children]]+2,Table1_1[[#This Row],[Children]]+1)</f>
        <v>6</v>
      </c>
      <c r="S913" s="4" t="str">
        <f>IF(Table1_1[[#This Row],[Cars]]=0,"No","Yes")</f>
        <v>Yes</v>
      </c>
      <c r="T913" s="6" t="str">
        <f>IF(AND(Table1_1[[#This Row],[Income]]&gt;50000,Table1_1[[#This Row],[Home Owner]]="Yes"),"High stability","Low stability")</f>
        <v>High stability</v>
      </c>
      <c r="U913" s="3">
        <f>Table1_1[[#This Row],[Income]]/Table1_1[[#This Row],[Family size]]</f>
        <v>13333.333333333334</v>
      </c>
      <c r="V913" s="6" t="str">
        <f>IF(Table1_1[[#This Row],[Occupation]]="Skilled manual","Blue collar",IF(Table1_1[[#This Row],[Occupation]]="Manual","Blue collar","White collar"))</f>
        <v>White collar</v>
      </c>
    </row>
    <row r="914" spans="1:22" x14ac:dyDescent="0.3">
      <c r="A914" t="s">
        <v>948</v>
      </c>
      <c r="B914" s="6" t="s">
        <v>1042</v>
      </c>
      <c r="C914" s="6" t="s">
        <v>1045</v>
      </c>
      <c r="D914" s="3">
        <v>40000</v>
      </c>
      <c r="E914">
        <v>3</v>
      </c>
      <c r="F914" s="6" t="s">
        <v>19</v>
      </c>
      <c r="G914" s="6" t="s">
        <v>20</v>
      </c>
      <c r="H914" s="6" t="s">
        <v>15</v>
      </c>
      <c r="I914">
        <v>1</v>
      </c>
      <c r="J914" t="s">
        <v>26</v>
      </c>
      <c r="K91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14" s="6" t="s">
        <v>32</v>
      </c>
      <c r="M914" s="7">
        <v>32</v>
      </c>
      <c r="N914" t="s">
        <v>18</v>
      </c>
      <c r="O914" s="9" t="str">
        <f>IF(Table1_1[[#This Row],[Purchased Bike]]="yes","1","0")</f>
        <v>0</v>
      </c>
      <c r="P914" s="4" t="str">
        <f>IF(Table1_1[[#This Row],[Income]]&lt;=30000,"Low ",IF(Table1_1[[#This Row],[Income]]&lt;=70000,"Middle","High"))</f>
        <v>Middle</v>
      </c>
      <c r="Q914" s="6" t="str">
        <f>IF(Table1_1[[#This Row],[Age]]&lt;30,"Young",IF(Table1_1[[#This Row],[Age]]&lt;50,"Middle aged","Senior citizen"))</f>
        <v>Middle aged</v>
      </c>
      <c r="R914" s="7">
        <f>IF(Table1_1[[#This Row],[Marriedarital SingletatuSingle]]="M",Table1_1[[#This Row],[Children]]+2,Table1_1[[#This Row],[Children]]+1)</f>
        <v>4</v>
      </c>
      <c r="S914" s="4" t="str">
        <f>IF(Table1_1[[#This Row],[Cars]]=0,"No","Yes")</f>
        <v>Yes</v>
      </c>
      <c r="T914" s="6" t="str">
        <f>IF(AND(Table1_1[[#This Row],[Income]]&gt;50000,Table1_1[[#This Row],[Home Owner]]="Yes"),"High stability","Low stability")</f>
        <v>Low stability</v>
      </c>
      <c r="U914" s="3">
        <f>Table1_1[[#This Row],[Income]]/Table1_1[[#This Row],[Family size]]</f>
        <v>10000</v>
      </c>
      <c r="V914" s="6" t="str">
        <f>IF(Table1_1[[#This Row],[Occupation]]="Skilled manual","Blue collar",IF(Table1_1[[#This Row],[Occupation]]="Manual","Blue collar","White collar"))</f>
        <v>White collar</v>
      </c>
    </row>
    <row r="915" spans="1:22" x14ac:dyDescent="0.3">
      <c r="A915" t="s">
        <v>949</v>
      </c>
      <c r="B915" s="6" t="s">
        <v>1044</v>
      </c>
      <c r="C915" s="6" t="s">
        <v>1046</v>
      </c>
      <c r="D915" s="3">
        <v>60000</v>
      </c>
      <c r="E915">
        <v>2</v>
      </c>
      <c r="F915" s="6" t="s">
        <v>13</v>
      </c>
      <c r="G915" s="6" t="s">
        <v>14</v>
      </c>
      <c r="H915" s="6" t="s">
        <v>15</v>
      </c>
      <c r="I915">
        <v>0</v>
      </c>
      <c r="J915" t="s">
        <v>22</v>
      </c>
      <c r="K91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15" s="6" t="s">
        <v>32</v>
      </c>
      <c r="M915" s="7">
        <v>36</v>
      </c>
      <c r="N915" t="s">
        <v>15</v>
      </c>
      <c r="O915" s="9" t="str">
        <f>IF(Table1_1[[#This Row],[Purchased Bike]]="yes","1","0")</f>
        <v>1</v>
      </c>
      <c r="P915" s="4" t="str">
        <f>IF(Table1_1[[#This Row],[Income]]&lt;=30000,"Low ",IF(Table1_1[[#This Row],[Income]]&lt;=70000,"Middle","High"))</f>
        <v>Middle</v>
      </c>
      <c r="Q915" s="6" t="str">
        <f>IF(Table1_1[[#This Row],[Age]]&lt;30,"Young",IF(Table1_1[[#This Row],[Age]]&lt;50,"Middle aged","Senior citizen"))</f>
        <v>Middle aged</v>
      </c>
      <c r="R915" s="7">
        <f>IF(Table1_1[[#This Row],[Marriedarital SingletatuSingle]]="M",Table1_1[[#This Row],[Children]]+2,Table1_1[[#This Row],[Children]]+1)</f>
        <v>3</v>
      </c>
      <c r="S915" s="4" t="str">
        <f>IF(Table1_1[[#This Row],[Cars]]=0,"No","Yes")</f>
        <v>No</v>
      </c>
      <c r="T915" s="6" t="str">
        <f>IF(AND(Table1_1[[#This Row],[Income]]&gt;50000,Table1_1[[#This Row],[Home Owner]]="Yes"),"High stability","Low stability")</f>
        <v>High stability</v>
      </c>
      <c r="U915" s="3">
        <f>Table1_1[[#This Row],[Income]]/Table1_1[[#This Row],[Family size]]</f>
        <v>20000</v>
      </c>
      <c r="V915" s="6" t="str">
        <f>IF(Table1_1[[#This Row],[Occupation]]="Skilled manual","Blue collar",IF(Table1_1[[#This Row],[Occupation]]="Manual","Blue collar","White collar"))</f>
        <v>Blue collar</v>
      </c>
    </row>
    <row r="916" spans="1:22" x14ac:dyDescent="0.3">
      <c r="A916" t="s">
        <v>950</v>
      </c>
      <c r="B916" s="6" t="s">
        <v>1044</v>
      </c>
      <c r="C916" s="6" t="s">
        <v>1046</v>
      </c>
      <c r="D916" s="3">
        <v>80000</v>
      </c>
      <c r="E916">
        <v>5</v>
      </c>
      <c r="F916" s="6" t="s">
        <v>31</v>
      </c>
      <c r="G916" s="6" t="s">
        <v>14</v>
      </c>
      <c r="H916" s="6" t="s">
        <v>18</v>
      </c>
      <c r="I916">
        <v>0</v>
      </c>
      <c r="J916" t="s">
        <v>16</v>
      </c>
      <c r="K91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16" s="6" t="s">
        <v>32</v>
      </c>
      <c r="M916" s="7">
        <v>47</v>
      </c>
      <c r="N916" t="s">
        <v>18</v>
      </c>
      <c r="O916" s="9" t="str">
        <f>IF(Table1_1[[#This Row],[Purchased Bike]]="yes","1","0")</f>
        <v>0</v>
      </c>
      <c r="P916" s="4" t="str">
        <f>IF(Table1_1[[#This Row],[Income]]&lt;=30000,"Low ",IF(Table1_1[[#This Row],[Income]]&lt;=70000,"Middle","High"))</f>
        <v>High</v>
      </c>
      <c r="Q916" s="6" t="str">
        <f>IF(Table1_1[[#This Row],[Age]]&lt;30,"Young",IF(Table1_1[[#This Row],[Age]]&lt;50,"Middle aged","Senior citizen"))</f>
        <v>Middle aged</v>
      </c>
      <c r="R916" s="7">
        <f>IF(Table1_1[[#This Row],[Marriedarital SingletatuSingle]]="M",Table1_1[[#This Row],[Children]]+2,Table1_1[[#This Row],[Children]]+1)</f>
        <v>6</v>
      </c>
      <c r="S916" s="4" t="str">
        <f>IF(Table1_1[[#This Row],[Cars]]=0,"No","Yes")</f>
        <v>No</v>
      </c>
      <c r="T916" s="6" t="str">
        <f>IF(AND(Table1_1[[#This Row],[Income]]&gt;50000,Table1_1[[#This Row],[Home Owner]]="Yes"),"High stability","Low stability")</f>
        <v>Low stability</v>
      </c>
      <c r="U916" s="3">
        <f>Table1_1[[#This Row],[Income]]/Table1_1[[#This Row],[Family size]]</f>
        <v>13333.333333333334</v>
      </c>
      <c r="V916" s="6" t="str">
        <f>IF(Table1_1[[#This Row],[Occupation]]="Skilled manual","Blue collar",IF(Table1_1[[#This Row],[Occupation]]="Manual","Blue collar","White collar"))</f>
        <v>Blue collar</v>
      </c>
    </row>
    <row r="917" spans="1:22" x14ac:dyDescent="0.3">
      <c r="A917" t="s">
        <v>951</v>
      </c>
      <c r="B917" s="6" t="s">
        <v>1042</v>
      </c>
      <c r="C917" s="6" t="s">
        <v>1046</v>
      </c>
      <c r="D917" s="3">
        <v>60000</v>
      </c>
      <c r="E917">
        <v>3</v>
      </c>
      <c r="F917" s="6" t="s">
        <v>31</v>
      </c>
      <c r="G917" s="6" t="s">
        <v>28</v>
      </c>
      <c r="H917" s="6" t="s">
        <v>15</v>
      </c>
      <c r="I917">
        <v>2</v>
      </c>
      <c r="J917" t="s">
        <v>30</v>
      </c>
      <c r="K91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17" s="6" t="s">
        <v>32</v>
      </c>
      <c r="M917" s="7">
        <v>64</v>
      </c>
      <c r="N917" t="s">
        <v>18</v>
      </c>
      <c r="O917" s="9" t="str">
        <f>IF(Table1_1[[#This Row],[Purchased Bike]]="yes","1","0")</f>
        <v>0</v>
      </c>
      <c r="P917" s="4" t="str">
        <f>IF(Table1_1[[#This Row],[Income]]&lt;=30000,"Low ",IF(Table1_1[[#This Row],[Income]]&lt;=70000,"Middle","High"))</f>
        <v>Middle</v>
      </c>
      <c r="Q917" s="6" t="str">
        <f>IF(Table1_1[[#This Row],[Age]]&lt;30,"Young",IF(Table1_1[[#This Row],[Age]]&lt;50,"Middle aged","Senior citizen"))</f>
        <v>Senior citizen</v>
      </c>
      <c r="R917" s="7">
        <f>IF(Table1_1[[#This Row],[Marriedarital SingletatuSingle]]="M",Table1_1[[#This Row],[Children]]+2,Table1_1[[#This Row],[Children]]+1)</f>
        <v>4</v>
      </c>
      <c r="S917" s="4" t="str">
        <f>IF(Table1_1[[#This Row],[Cars]]=0,"No","Yes")</f>
        <v>Yes</v>
      </c>
      <c r="T917" s="6" t="str">
        <f>IF(AND(Table1_1[[#This Row],[Income]]&gt;50000,Table1_1[[#This Row],[Home Owner]]="Yes"),"High stability","Low stability")</f>
        <v>High stability</v>
      </c>
      <c r="U917" s="3">
        <f>Table1_1[[#This Row],[Income]]/Table1_1[[#This Row],[Family size]]</f>
        <v>15000</v>
      </c>
      <c r="V917" s="6" t="str">
        <f>IF(Table1_1[[#This Row],[Occupation]]="Skilled manual","Blue collar",IF(Table1_1[[#This Row],[Occupation]]="Manual","Blue collar","White collar"))</f>
        <v>White collar</v>
      </c>
    </row>
    <row r="918" spans="1:22" x14ac:dyDescent="0.3">
      <c r="A918" t="s">
        <v>952</v>
      </c>
      <c r="B918" s="6" t="s">
        <v>1044</v>
      </c>
      <c r="C918" s="6" t="s">
        <v>1046</v>
      </c>
      <c r="D918" s="3">
        <v>70000</v>
      </c>
      <c r="E918">
        <v>3</v>
      </c>
      <c r="F918" s="6" t="s">
        <v>31</v>
      </c>
      <c r="G918" s="6" t="s">
        <v>21</v>
      </c>
      <c r="H918" s="6" t="s">
        <v>18</v>
      </c>
      <c r="I918">
        <v>0</v>
      </c>
      <c r="J918" t="s">
        <v>16</v>
      </c>
      <c r="K91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18" s="6" t="s">
        <v>32</v>
      </c>
      <c r="M918" s="7">
        <v>35</v>
      </c>
      <c r="N918" t="s">
        <v>15</v>
      </c>
      <c r="O918" s="9" t="str">
        <f>IF(Table1_1[[#This Row],[Purchased Bike]]="yes","1","0")</f>
        <v>1</v>
      </c>
      <c r="P918" s="4" t="str">
        <f>IF(Table1_1[[#This Row],[Income]]&lt;=30000,"Low ",IF(Table1_1[[#This Row],[Income]]&lt;=70000,"Middle","High"))</f>
        <v>Middle</v>
      </c>
      <c r="Q918" s="6" t="str">
        <f>IF(Table1_1[[#This Row],[Age]]&lt;30,"Young",IF(Table1_1[[#This Row],[Age]]&lt;50,"Middle aged","Senior citizen"))</f>
        <v>Middle aged</v>
      </c>
      <c r="R918" s="7">
        <f>IF(Table1_1[[#This Row],[Marriedarital SingletatuSingle]]="M",Table1_1[[#This Row],[Children]]+2,Table1_1[[#This Row],[Children]]+1)</f>
        <v>4</v>
      </c>
      <c r="S918" s="4" t="str">
        <f>IF(Table1_1[[#This Row],[Cars]]=0,"No","Yes")</f>
        <v>No</v>
      </c>
      <c r="T918" s="6" t="str">
        <f>IF(AND(Table1_1[[#This Row],[Income]]&gt;50000,Table1_1[[#This Row],[Home Owner]]="Yes"),"High stability","Low stability")</f>
        <v>Low stability</v>
      </c>
      <c r="U918" s="3">
        <f>Table1_1[[#This Row],[Income]]/Table1_1[[#This Row],[Family size]]</f>
        <v>17500</v>
      </c>
      <c r="V918" s="6" t="str">
        <f>IF(Table1_1[[#This Row],[Occupation]]="Skilled manual","Blue collar",IF(Table1_1[[#This Row],[Occupation]]="Manual","Blue collar","White collar"))</f>
        <v>White collar</v>
      </c>
    </row>
    <row r="919" spans="1:22" x14ac:dyDescent="0.3">
      <c r="A919" t="s">
        <v>953</v>
      </c>
      <c r="B919" s="6" t="s">
        <v>1044</v>
      </c>
      <c r="C919" s="6" t="s">
        <v>1046</v>
      </c>
      <c r="D919" s="3">
        <v>110000</v>
      </c>
      <c r="E919">
        <v>3</v>
      </c>
      <c r="F919" s="6" t="s">
        <v>13</v>
      </c>
      <c r="G919" s="6" t="s">
        <v>28</v>
      </c>
      <c r="H919" s="6" t="s">
        <v>15</v>
      </c>
      <c r="I919">
        <v>4</v>
      </c>
      <c r="J919" t="s">
        <v>22</v>
      </c>
      <c r="K91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19" s="6" t="s">
        <v>32</v>
      </c>
      <c r="M919" s="7">
        <v>40</v>
      </c>
      <c r="N919" t="s">
        <v>15</v>
      </c>
      <c r="O919" s="9" t="str">
        <f>IF(Table1_1[[#This Row],[Purchased Bike]]="yes","1","0")</f>
        <v>1</v>
      </c>
      <c r="P919" s="4" t="str">
        <f>IF(Table1_1[[#This Row],[Income]]&lt;=30000,"Low ",IF(Table1_1[[#This Row],[Income]]&lt;=70000,"Middle","High"))</f>
        <v>High</v>
      </c>
      <c r="Q919" s="6" t="str">
        <f>IF(Table1_1[[#This Row],[Age]]&lt;30,"Young",IF(Table1_1[[#This Row],[Age]]&lt;50,"Middle aged","Senior citizen"))</f>
        <v>Middle aged</v>
      </c>
      <c r="R919" s="7">
        <f>IF(Table1_1[[#This Row],[Marriedarital SingletatuSingle]]="M",Table1_1[[#This Row],[Children]]+2,Table1_1[[#This Row],[Children]]+1)</f>
        <v>4</v>
      </c>
      <c r="S919" s="4" t="str">
        <f>IF(Table1_1[[#This Row],[Cars]]=0,"No","Yes")</f>
        <v>Yes</v>
      </c>
      <c r="T919" s="6" t="str">
        <f>IF(AND(Table1_1[[#This Row],[Income]]&gt;50000,Table1_1[[#This Row],[Home Owner]]="Yes"),"High stability","Low stability")</f>
        <v>High stability</v>
      </c>
      <c r="U919" s="3">
        <f>Table1_1[[#This Row],[Income]]/Table1_1[[#This Row],[Family size]]</f>
        <v>27500</v>
      </c>
      <c r="V919" s="6" t="str">
        <f>IF(Table1_1[[#This Row],[Occupation]]="Skilled manual","Blue collar",IF(Table1_1[[#This Row],[Occupation]]="Manual","Blue collar","White collar"))</f>
        <v>White collar</v>
      </c>
    </row>
    <row r="920" spans="1:22" x14ac:dyDescent="0.3">
      <c r="A920" t="s">
        <v>954</v>
      </c>
      <c r="B920" s="6" t="s">
        <v>1042</v>
      </c>
      <c r="C920" s="6" t="s">
        <v>1045</v>
      </c>
      <c r="D920" s="3">
        <v>70000</v>
      </c>
      <c r="E920">
        <v>0</v>
      </c>
      <c r="F920" s="6" t="s">
        <v>19</v>
      </c>
      <c r="G920" s="6" t="s">
        <v>14</v>
      </c>
      <c r="H920" s="6" t="s">
        <v>15</v>
      </c>
      <c r="I920">
        <v>2</v>
      </c>
      <c r="J920" t="s">
        <v>23</v>
      </c>
      <c r="K92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20" s="6" t="s">
        <v>32</v>
      </c>
      <c r="M920" s="7">
        <v>34</v>
      </c>
      <c r="N920" t="s">
        <v>15</v>
      </c>
      <c r="O920" s="9" t="str">
        <f>IF(Table1_1[[#This Row],[Purchased Bike]]="yes","1","0")</f>
        <v>1</v>
      </c>
      <c r="P920" s="4" t="str">
        <f>IF(Table1_1[[#This Row],[Income]]&lt;=30000,"Low ",IF(Table1_1[[#This Row],[Income]]&lt;=70000,"Middle","High"))</f>
        <v>Middle</v>
      </c>
      <c r="Q920" s="6" t="str">
        <f>IF(Table1_1[[#This Row],[Age]]&lt;30,"Young",IF(Table1_1[[#This Row],[Age]]&lt;50,"Middle aged","Senior citizen"))</f>
        <v>Middle aged</v>
      </c>
      <c r="R920" s="7">
        <f>IF(Table1_1[[#This Row],[Marriedarital SingletatuSingle]]="M",Table1_1[[#This Row],[Children]]+2,Table1_1[[#This Row],[Children]]+1)</f>
        <v>1</v>
      </c>
      <c r="S920" s="4" t="str">
        <f>IF(Table1_1[[#This Row],[Cars]]=0,"No","Yes")</f>
        <v>Yes</v>
      </c>
      <c r="T920" s="6" t="str">
        <f>IF(AND(Table1_1[[#This Row],[Income]]&gt;50000,Table1_1[[#This Row],[Home Owner]]="Yes"),"High stability","Low stability")</f>
        <v>High stability</v>
      </c>
      <c r="U920" s="3">
        <f>Table1_1[[#This Row],[Income]]/Table1_1[[#This Row],[Family size]]</f>
        <v>70000</v>
      </c>
      <c r="V920" s="6" t="str">
        <f>IF(Table1_1[[#This Row],[Occupation]]="Skilled manual","Blue collar",IF(Table1_1[[#This Row],[Occupation]]="Manual","Blue collar","White collar"))</f>
        <v>Blue collar</v>
      </c>
    </row>
    <row r="921" spans="1:22" x14ac:dyDescent="0.3">
      <c r="A921" t="s">
        <v>955</v>
      </c>
      <c r="B921" s="6" t="s">
        <v>1042</v>
      </c>
      <c r="C921" s="6" t="s">
        <v>1045</v>
      </c>
      <c r="D921" s="3">
        <v>40000</v>
      </c>
      <c r="E921">
        <v>4</v>
      </c>
      <c r="F921" s="6" t="s">
        <v>27</v>
      </c>
      <c r="G921" s="6" t="s">
        <v>21</v>
      </c>
      <c r="H921" s="6" t="s">
        <v>15</v>
      </c>
      <c r="I921">
        <v>2</v>
      </c>
      <c r="J921" t="s">
        <v>30</v>
      </c>
      <c r="K92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21" s="6" t="s">
        <v>32</v>
      </c>
      <c r="M921" s="7">
        <v>61</v>
      </c>
      <c r="N921" t="s">
        <v>18</v>
      </c>
      <c r="O921" s="9" t="str">
        <f>IF(Table1_1[[#This Row],[Purchased Bike]]="yes","1","0")</f>
        <v>0</v>
      </c>
      <c r="P921" s="4" t="str">
        <f>IF(Table1_1[[#This Row],[Income]]&lt;=30000,"Low ",IF(Table1_1[[#This Row],[Income]]&lt;=70000,"Middle","High"))</f>
        <v>Middle</v>
      </c>
      <c r="Q921" s="6" t="str">
        <f>IF(Table1_1[[#This Row],[Age]]&lt;30,"Young",IF(Table1_1[[#This Row],[Age]]&lt;50,"Middle aged","Senior citizen"))</f>
        <v>Senior citizen</v>
      </c>
      <c r="R921" s="7">
        <f>IF(Table1_1[[#This Row],[Marriedarital SingletatuSingle]]="M",Table1_1[[#This Row],[Children]]+2,Table1_1[[#This Row],[Children]]+1)</f>
        <v>5</v>
      </c>
      <c r="S921" s="4" t="str">
        <f>IF(Table1_1[[#This Row],[Cars]]=0,"No","Yes")</f>
        <v>Yes</v>
      </c>
      <c r="T921" s="6" t="str">
        <f>IF(AND(Table1_1[[#This Row],[Income]]&gt;50000,Table1_1[[#This Row],[Home Owner]]="Yes"),"High stability","Low stability")</f>
        <v>Low stability</v>
      </c>
      <c r="U921" s="3">
        <f>Table1_1[[#This Row],[Income]]/Table1_1[[#This Row],[Family size]]</f>
        <v>8000</v>
      </c>
      <c r="V921" s="6" t="str">
        <f>IF(Table1_1[[#This Row],[Occupation]]="Skilled manual","Blue collar",IF(Table1_1[[#This Row],[Occupation]]="Manual","Blue collar","White collar"))</f>
        <v>White collar</v>
      </c>
    </row>
    <row r="922" spans="1:22" x14ac:dyDescent="0.3">
      <c r="A922" t="s">
        <v>956</v>
      </c>
      <c r="B922" s="6" t="s">
        <v>1042</v>
      </c>
      <c r="C922" s="6" t="s">
        <v>1046</v>
      </c>
      <c r="D922" s="3">
        <v>30000</v>
      </c>
      <c r="E922">
        <v>2</v>
      </c>
      <c r="F922" s="6" t="s">
        <v>27</v>
      </c>
      <c r="G922" s="6" t="s">
        <v>14</v>
      </c>
      <c r="H922" s="6" t="s">
        <v>15</v>
      </c>
      <c r="I922">
        <v>2</v>
      </c>
      <c r="J922" t="s">
        <v>26</v>
      </c>
      <c r="K92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22" s="6" t="s">
        <v>32</v>
      </c>
      <c r="M922" s="7">
        <v>51</v>
      </c>
      <c r="N922" t="s">
        <v>18</v>
      </c>
      <c r="O922" s="9" t="str">
        <f>IF(Table1_1[[#This Row],[Purchased Bike]]="yes","1","0")</f>
        <v>0</v>
      </c>
      <c r="P922" s="4" t="str">
        <f>IF(Table1_1[[#This Row],[Income]]&lt;=30000,"Low ",IF(Table1_1[[#This Row],[Income]]&lt;=70000,"Middle","High"))</f>
        <v xml:space="preserve">Low </v>
      </c>
      <c r="Q922" s="6" t="str">
        <f>IF(Table1_1[[#This Row],[Age]]&lt;30,"Young",IF(Table1_1[[#This Row],[Age]]&lt;50,"Middle aged","Senior citizen"))</f>
        <v>Senior citizen</v>
      </c>
      <c r="R922" s="7">
        <f>IF(Table1_1[[#This Row],[Marriedarital SingletatuSingle]]="M",Table1_1[[#This Row],[Children]]+2,Table1_1[[#This Row],[Children]]+1)</f>
        <v>3</v>
      </c>
      <c r="S922" s="4" t="str">
        <f>IF(Table1_1[[#This Row],[Cars]]=0,"No","Yes")</f>
        <v>Yes</v>
      </c>
      <c r="T922" s="6" t="str">
        <f>IF(AND(Table1_1[[#This Row],[Income]]&gt;50000,Table1_1[[#This Row],[Home Owner]]="Yes"),"High stability","Low stability")</f>
        <v>Low stability</v>
      </c>
      <c r="U922" s="3">
        <f>Table1_1[[#This Row],[Income]]/Table1_1[[#This Row],[Family size]]</f>
        <v>10000</v>
      </c>
      <c r="V922" s="6" t="str">
        <f>IF(Table1_1[[#This Row],[Occupation]]="Skilled manual","Blue collar",IF(Table1_1[[#This Row],[Occupation]]="Manual","Blue collar","White collar"))</f>
        <v>Blue collar</v>
      </c>
    </row>
    <row r="923" spans="1:22" x14ac:dyDescent="0.3">
      <c r="A923" t="s">
        <v>957</v>
      </c>
      <c r="B923" s="6" t="s">
        <v>1044</v>
      </c>
      <c r="C923" s="6" t="s">
        <v>1045</v>
      </c>
      <c r="D923" s="3">
        <v>70000</v>
      </c>
      <c r="E923">
        <v>3</v>
      </c>
      <c r="F923" s="6" t="s">
        <v>19</v>
      </c>
      <c r="G923" s="6" t="s">
        <v>21</v>
      </c>
      <c r="H923" s="6" t="s">
        <v>15</v>
      </c>
      <c r="I923">
        <v>1</v>
      </c>
      <c r="J923" t="s">
        <v>23</v>
      </c>
      <c r="K92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23" s="6" t="s">
        <v>32</v>
      </c>
      <c r="M923" s="7">
        <v>49</v>
      </c>
      <c r="N923" t="s">
        <v>15</v>
      </c>
      <c r="O923" s="9" t="str">
        <f>IF(Table1_1[[#This Row],[Purchased Bike]]="yes","1","0")</f>
        <v>1</v>
      </c>
      <c r="P923" s="4" t="str">
        <f>IF(Table1_1[[#This Row],[Income]]&lt;=30000,"Low ",IF(Table1_1[[#This Row],[Income]]&lt;=70000,"Middle","High"))</f>
        <v>Middle</v>
      </c>
      <c r="Q923" s="6" t="str">
        <f>IF(Table1_1[[#This Row],[Age]]&lt;30,"Young",IF(Table1_1[[#This Row],[Age]]&lt;50,"Middle aged","Senior citizen"))</f>
        <v>Middle aged</v>
      </c>
      <c r="R923" s="7">
        <f>IF(Table1_1[[#This Row],[Marriedarital SingletatuSingle]]="M",Table1_1[[#This Row],[Children]]+2,Table1_1[[#This Row],[Children]]+1)</f>
        <v>4</v>
      </c>
      <c r="S923" s="4" t="str">
        <f>IF(Table1_1[[#This Row],[Cars]]=0,"No","Yes")</f>
        <v>Yes</v>
      </c>
      <c r="T923" s="6" t="str">
        <f>IF(AND(Table1_1[[#This Row],[Income]]&gt;50000,Table1_1[[#This Row],[Home Owner]]="Yes"),"High stability","Low stability")</f>
        <v>High stability</v>
      </c>
      <c r="U923" s="3">
        <f>Table1_1[[#This Row],[Income]]/Table1_1[[#This Row],[Family size]]</f>
        <v>17500</v>
      </c>
      <c r="V923" s="6" t="str">
        <f>IF(Table1_1[[#This Row],[Occupation]]="Skilled manual","Blue collar",IF(Table1_1[[#This Row],[Occupation]]="Manual","Blue collar","White collar"))</f>
        <v>White collar</v>
      </c>
    </row>
    <row r="924" spans="1:22" x14ac:dyDescent="0.3">
      <c r="A924" t="s">
        <v>958</v>
      </c>
      <c r="B924" s="6" t="s">
        <v>1042</v>
      </c>
      <c r="C924" s="6" t="s">
        <v>1045</v>
      </c>
      <c r="D924" s="3">
        <v>40000</v>
      </c>
      <c r="E924">
        <v>3</v>
      </c>
      <c r="F924" s="6" t="s">
        <v>19</v>
      </c>
      <c r="G924" s="6" t="s">
        <v>21</v>
      </c>
      <c r="H924" s="6" t="s">
        <v>18</v>
      </c>
      <c r="I924">
        <v>2</v>
      </c>
      <c r="J924" t="s">
        <v>26</v>
      </c>
      <c r="K92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24" s="6" t="s">
        <v>32</v>
      </c>
      <c r="M924" s="7">
        <v>54</v>
      </c>
      <c r="N924" t="s">
        <v>15</v>
      </c>
      <c r="O924" s="9" t="str">
        <f>IF(Table1_1[[#This Row],[Purchased Bike]]="yes","1","0")</f>
        <v>1</v>
      </c>
      <c r="P924" s="4" t="str">
        <f>IF(Table1_1[[#This Row],[Income]]&lt;=30000,"Low ",IF(Table1_1[[#This Row],[Income]]&lt;=70000,"Middle","High"))</f>
        <v>Middle</v>
      </c>
      <c r="Q924" s="6" t="str">
        <f>IF(Table1_1[[#This Row],[Age]]&lt;30,"Young",IF(Table1_1[[#This Row],[Age]]&lt;50,"Middle aged","Senior citizen"))</f>
        <v>Senior citizen</v>
      </c>
      <c r="R924" s="7">
        <f>IF(Table1_1[[#This Row],[Marriedarital SingletatuSingle]]="M",Table1_1[[#This Row],[Children]]+2,Table1_1[[#This Row],[Children]]+1)</f>
        <v>4</v>
      </c>
      <c r="S924" s="4" t="str">
        <f>IF(Table1_1[[#This Row],[Cars]]=0,"No","Yes")</f>
        <v>Yes</v>
      </c>
      <c r="T924" s="6" t="str">
        <f>IF(AND(Table1_1[[#This Row],[Income]]&gt;50000,Table1_1[[#This Row],[Home Owner]]="Yes"),"High stability","Low stability")</f>
        <v>Low stability</v>
      </c>
      <c r="U924" s="3">
        <f>Table1_1[[#This Row],[Income]]/Table1_1[[#This Row],[Family size]]</f>
        <v>10000</v>
      </c>
      <c r="V924" s="6" t="str">
        <f>IF(Table1_1[[#This Row],[Occupation]]="Skilled manual","Blue collar",IF(Table1_1[[#This Row],[Occupation]]="Manual","Blue collar","White collar"))</f>
        <v>White collar</v>
      </c>
    </row>
    <row r="925" spans="1:22" x14ac:dyDescent="0.3">
      <c r="A925" t="s">
        <v>959</v>
      </c>
      <c r="B925" s="6" t="s">
        <v>1044</v>
      </c>
      <c r="C925" s="6" t="s">
        <v>1046</v>
      </c>
      <c r="D925" s="3">
        <v>70000</v>
      </c>
      <c r="E925">
        <v>3</v>
      </c>
      <c r="F925" s="6" t="s">
        <v>31</v>
      </c>
      <c r="G925" s="6" t="s">
        <v>28</v>
      </c>
      <c r="H925" s="6" t="s">
        <v>18</v>
      </c>
      <c r="I925">
        <v>2</v>
      </c>
      <c r="J925" t="s">
        <v>26</v>
      </c>
      <c r="K92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25" s="6" t="s">
        <v>32</v>
      </c>
      <c r="M925" s="7">
        <v>53</v>
      </c>
      <c r="N925" t="s">
        <v>15</v>
      </c>
      <c r="O925" s="9" t="str">
        <f>IF(Table1_1[[#This Row],[Purchased Bike]]="yes","1","0")</f>
        <v>1</v>
      </c>
      <c r="P925" s="4" t="str">
        <f>IF(Table1_1[[#This Row],[Income]]&lt;=30000,"Low ",IF(Table1_1[[#This Row],[Income]]&lt;=70000,"Middle","High"))</f>
        <v>Middle</v>
      </c>
      <c r="Q925" s="6" t="str">
        <f>IF(Table1_1[[#This Row],[Age]]&lt;30,"Young",IF(Table1_1[[#This Row],[Age]]&lt;50,"Middle aged","Senior citizen"))</f>
        <v>Senior citizen</v>
      </c>
      <c r="R925" s="7">
        <f>IF(Table1_1[[#This Row],[Marriedarital SingletatuSingle]]="M",Table1_1[[#This Row],[Children]]+2,Table1_1[[#This Row],[Children]]+1)</f>
        <v>4</v>
      </c>
      <c r="S925" s="4" t="str">
        <f>IF(Table1_1[[#This Row],[Cars]]=0,"No","Yes")</f>
        <v>Yes</v>
      </c>
      <c r="T925" s="6" t="str">
        <f>IF(AND(Table1_1[[#This Row],[Income]]&gt;50000,Table1_1[[#This Row],[Home Owner]]="Yes"),"High stability","Low stability")</f>
        <v>Low stability</v>
      </c>
      <c r="U925" s="3">
        <f>Table1_1[[#This Row],[Income]]/Table1_1[[#This Row],[Family size]]</f>
        <v>17500</v>
      </c>
      <c r="V925" s="6" t="str">
        <f>IF(Table1_1[[#This Row],[Occupation]]="Skilled manual","Blue collar",IF(Table1_1[[#This Row],[Occupation]]="Manual","Blue collar","White collar"))</f>
        <v>White collar</v>
      </c>
    </row>
    <row r="926" spans="1:22" x14ac:dyDescent="0.3">
      <c r="A926" t="s">
        <v>960</v>
      </c>
      <c r="B926" s="6" t="s">
        <v>1044</v>
      </c>
      <c r="C926" s="6" t="s">
        <v>1046</v>
      </c>
      <c r="D926" s="3">
        <v>90000</v>
      </c>
      <c r="E926">
        <v>2</v>
      </c>
      <c r="F926" s="6" t="s">
        <v>19</v>
      </c>
      <c r="G926" s="6" t="s">
        <v>21</v>
      </c>
      <c r="H926" s="6" t="s">
        <v>15</v>
      </c>
      <c r="I926">
        <v>1</v>
      </c>
      <c r="J926" t="s">
        <v>22</v>
      </c>
      <c r="K92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26" s="6" t="s">
        <v>32</v>
      </c>
      <c r="M926" s="7">
        <v>48</v>
      </c>
      <c r="N926" t="s">
        <v>15</v>
      </c>
      <c r="O926" s="9" t="str">
        <f>IF(Table1_1[[#This Row],[Purchased Bike]]="yes","1","0")</f>
        <v>1</v>
      </c>
      <c r="P926" s="4" t="str">
        <f>IF(Table1_1[[#This Row],[Income]]&lt;=30000,"Low ",IF(Table1_1[[#This Row],[Income]]&lt;=70000,"Middle","High"))</f>
        <v>High</v>
      </c>
      <c r="Q926" s="6" t="str">
        <f>IF(Table1_1[[#This Row],[Age]]&lt;30,"Young",IF(Table1_1[[#This Row],[Age]]&lt;50,"Middle aged","Senior citizen"))</f>
        <v>Middle aged</v>
      </c>
      <c r="R926" s="7">
        <f>IF(Table1_1[[#This Row],[Marriedarital SingletatuSingle]]="M",Table1_1[[#This Row],[Children]]+2,Table1_1[[#This Row],[Children]]+1)</f>
        <v>3</v>
      </c>
      <c r="S926" s="4" t="str">
        <f>IF(Table1_1[[#This Row],[Cars]]=0,"No","Yes")</f>
        <v>Yes</v>
      </c>
      <c r="T926" s="6" t="str">
        <f>IF(AND(Table1_1[[#This Row],[Income]]&gt;50000,Table1_1[[#This Row],[Home Owner]]="Yes"),"High stability","Low stability")</f>
        <v>High stability</v>
      </c>
      <c r="U926" s="3">
        <f>Table1_1[[#This Row],[Income]]/Table1_1[[#This Row],[Family size]]</f>
        <v>30000</v>
      </c>
      <c r="V926" s="6" t="str">
        <f>IF(Table1_1[[#This Row],[Occupation]]="Skilled manual","Blue collar",IF(Table1_1[[#This Row],[Occupation]]="Manual","Blue collar","White collar"))</f>
        <v>White collar</v>
      </c>
    </row>
    <row r="927" spans="1:22" x14ac:dyDescent="0.3">
      <c r="A927" t="s">
        <v>961</v>
      </c>
      <c r="B927" s="6" t="s">
        <v>1044</v>
      </c>
      <c r="C927" s="6" t="s">
        <v>1045</v>
      </c>
      <c r="D927" s="3">
        <v>50000</v>
      </c>
      <c r="E927">
        <v>0</v>
      </c>
      <c r="F927" s="6" t="s">
        <v>31</v>
      </c>
      <c r="G927" s="6" t="s">
        <v>14</v>
      </c>
      <c r="H927" s="6" t="s">
        <v>15</v>
      </c>
      <c r="I927">
        <v>0</v>
      </c>
      <c r="J927" t="s">
        <v>26</v>
      </c>
      <c r="K92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27" s="6" t="s">
        <v>32</v>
      </c>
      <c r="M927" s="7">
        <v>33</v>
      </c>
      <c r="N927" t="s">
        <v>15</v>
      </c>
      <c r="O927" s="9" t="str">
        <f>IF(Table1_1[[#This Row],[Purchased Bike]]="yes","1","0")</f>
        <v>1</v>
      </c>
      <c r="P927" s="4" t="str">
        <f>IF(Table1_1[[#This Row],[Income]]&lt;=30000,"Low ",IF(Table1_1[[#This Row],[Income]]&lt;=70000,"Middle","High"))</f>
        <v>Middle</v>
      </c>
      <c r="Q927" s="6" t="str">
        <f>IF(Table1_1[[#This Row],[Age]]&lt;30,"Young",IF(Table1_1[[#This Row],[Age]]&lt;50,"Middle aged","Senior citizen"))</f>
        <v>Middle aged</v>
      </c>
      <c r="R927" s="7">
        <f>IF(Table1_1[[#This Row],[Marriedarital SingletatuSingle]]="M",Table1_1[[#This Row],[Children]]+2,Table1_1[[#This Row],[Children]]+1)</f>
        <v>1</v>
      </c>
      <c r="S927" s="4" t="str">
        <f>IF(Table1_1[[#This Row],[Cars]]=0,"No","Yes")</f>
        <v>No</v>
      </c>
      <c r="T927" s="6" t="str">
        <f>IF(AND(Table1_1[[#This Row],[Income]]&gt;50000,Table1_1[[#This Row],[Home Owner]]="Yes"),"High stability","Low stability")</f>
        <v>Low stability</v>
      </c>
      <c r="U927" s="3">
        <f>Table1_1[[#This Row],[Income]]/Table1_1[[#This Row],[Family size]]</f>
        <v>50000</v>
      </c>
      <c r="V927" s="6" t="str">
        <f>IF(Table1_1[[#This Row],[Occupation]]="Skilled manual","Blue collar",IF(Table1_1[[#This Row],[Occupation]]="Manual","Blue collar","White collar"))</f>
        <v>Blue collar</v>
      </c>
    </row>
    <row r="928" spans="1:22" x14ac:dyDescent="0.3">
      <c r="A928" t="s">
        <v>962</v>
      </c>
      <c r="B928" s="6" t="s">
        <v>1044</v>
      </c>
      <c r="C928" s="6" t="s">
        <v>1045</v>
      </c>
      <c r="D928" s="3">
        <v>40000</v>
      </c>
      <c r="E928">
        <v>2</v>
      </c>
      <c r="F928" s="6" t="s">
        <v>27</v>
      </c>
      <c r="G928" s="6" t="s">
        <v>21</v>
      </c>
      <c r="H928" s="6" t="s">
        <v>15</v>
      </c>
      <c r="I928">
        <v>2</v>
      </c>
      <c r="J928" t="s">
        <v>30</v>
      </c>
      <c r="K92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28" s="6" t="s">
        <v>32</v>
      </c>
      <c r="M928" s="7">
        <v>57</v>
      </c>
      <c r="N928" t="s">
        <v>18</v>
      </c>
      <c r="O928" s="9" t="str">
        <f>IF(Table1_1[[#This Row],[Purchased Bike]]="yes","1","0")</f>
        <v>0</v>
      </c>
      <c r="P928" s="4" t="str">
        <f>IF(Table1_1[[#This Row],[Income]]&lt;=30000,"Low ",IF(Table1_1[[#This Row],[Income]]&lt;=70000,"Middle","High"))</f>
        <v>Middle</v>
      </c>
      <c r="Q928" s="6" t="str">
        <f>IF(Table1_1[[#This Row],[Age]]&lt;30,"Young",IF(Table1_1[[#This Row],[Age]]&lt;50,"Middle aged","Senior citizen"))</f>
        <v>Senior citizen</v>
      </c>
      <c r="R928" s="7">
        <f>IF(Table1_1[[#This Row],[Marriedarital SingletatuSingle]]="M",Table1_1[[#This Row],[Children]]+2,Table1_1[[#This Row],[Children]]+1)</f>
        <v>3</v>
      </c>
      <c r="S928" s="4" t="str">
        <f>IF(Table1_1[[#This Row],[Cars]]=0,"No","Yes")</f>
        <v>Yes</v>
      </c>
      <c r="T928" s="6" t="str">
        <f>IF(AND(Table1_1[[#This Row],[Income]]&gt;50000,Table1_1[[#This Row],[Home Owner]]="Yes"),"High stability","Low stability")</f>
        <v>Low stability</v>
      </c>
      <c r="U928" s="3">
        <f>Table1_1[[#This Row],[Income]]/Table1_1[[#This Row],[Family size]]</f>
        <v>13333.333333333334</v>
      </c>
      <c r="V928" s="6" t="str">
        <f>IF(Table1_1[[#This Row],[Occupation]]="Skilled manual","Blue collar",IF(Table1_1[[#This Row],[Occupation]]="Manual","Blue collar","White collar"))</f>
        <v>White collar</v>
      </c>
    </row>
    <row r="929" spans="1:22" x14ac:dyDescent="0.3">
      <c r="A929" t="s">
        <v>963</v>
      </c>
      <c r="B929" s="6" t="s">
        <v>1042</v>
      </c>
      <c r="C929" s="6" t="s">
        <v>1045</v>
      </c>
      <c r="D929" s="3">
        <v>70000</v>
      </c>
      <c r="E929">
        <v>0</v>
      </c>
      <c r="F929" s="6" t="s">
        <v>31</v>
      </c>
      <c r="G929" s="6" t="s">
        <v>21</v>
      </c>
      <c r="H929" s="6" t="s">
        <v>15</v>
      </c>
      <c r="I929">
        <v>0</v>
      </c>
      <c r="J929" t="s">
        <v>22</v>
      </c>
      <c r="K92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29" s="6" t="s">
        <v>32</v>
      </c>
      <c r="M929" s="7">
        <v>39</v>
      </c>
      <c r="N929" t="s">
        <v>18</v>
      </c>
      <c r="O929" s="9" t="str">
        <f>IF(Table1_1[[#This Row],[Purchased Bike]]="yes","1","0")</f>
        <v>0</v>
      </c>
      <c r="P929" s="4" t="str">
        <f>IF(Table1_1[[#This Row],[Income]]&lt;=30000,"Low ",IF(Table1_1[[#This Row],[Income]]&lt;=70000,"Middle","High"))</f>
        <v>Middle</v>
      </c>
      <c r="Q929" s="6" t="str">
        <f>IF(Table1_1[[#This Row],[Age]]&lt;30,"Young",IF(Table1_1[[#This Row],[Age]]&lt;50,"Middle aged","Senior citizen"))</f>
        <v>Middle aged</v>
      </c>
      <c r="R929" s="7">
        <f>IF(Table1_1[[#This Row],[Marriedarital SingletatuSingle]]="M",Table1_1[[#This Row],[Children]]+2,Table1_1[[#This Row],[Children]]+1)</f>
        <v>1</v>
      </c>
      <c r="S929" s="4" t="str">
        <f>IF(Table1_1[[#This Row],[Cars]]=0,"No","Yes")</f>
        <v>No</v>
      </c>
      <c r="T929" s="6" t="str">
        <f>IF(AND(Table1_1[[#This Row],[Income]]&gt;50000,Table1_1[[#This Row],[Home Owner]]="Yes"),"High stability","Low stability")</f>
        <v>High stability</v>
      </c>
      <c r="U929" s="3">
        <f>Table1_1[[#This Row],[Income]]/Table1_1[[#This Row],[Family size]]</f>
        <v>70000</v>
      </c>
      <c r="V929" s="6" t="str">
        <f>IF(Table1_1[[#This Row],[Occupation]]="Skilled manual","Blue collar",IF(Table1_1[[#This Row],[Occupation]]="Manual","Blue collar","White collar"))</f>
        <v>White collar</v>
      </c>
    </row>
    <row r="930" spans="1:22" x14ac:dyDescent="0.3">
      <c r="A930" t="s">
        <v>964</v>
      </c>
      <c r="B930" s="6" t="s">
        <v>1042</v>
      </c>
      <c r="C930" s="6" t="s">
        <v>1046</v>
      </c>
      <c r="D930" s="3">
        <v>60000</v>
      </c>
      <c r="E930">
        <v>2</v>
      </c>
      <c r="F930" s="6" t="s">
        <v>27</v>
      </c>
      <c r="G930" s="6" t="s">
        <v>21</v>
      </c>
      <c r="H930" s="6" t="s">
        <v>15</v>
      </c>
      <c r="I930">
        <v>2</v>
      </c>
      <c r="J930" t="s">
        <v>23</v>
      </c>
      <c r="K93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30" s="6" t="s">
        <v>32</v>
      </c>
      <c r="M930" s="7">
        <v>48</v>
      </c>
      <c r="N930" t="s">
        <v>18</v>
      </c>
      <c r="O930" s="9" t="str">
        <f>IF(Table1_1[[#This Row],[Purchased Bike]]="yes","1","0")</f>
        <v>0</v>
      </c>
      <c r="P930" s="4" t="str">
        <f>IF(Table1_1[[#This Row],[Income]]&lt;=30000,"Low ",IF(Table1_1[[#This Row],[Income]]&lt;=70000,"Middle","High"))</f>
        <v>Middle</v>
      </c>
      <c r="Q930" s="6" t="str">
        <f>IF(Table1_1[[#This Row],[Age]]&lt;30,"Young",IF(Table1_1[[#This Row],[Age]]&lt;50,"Middle aged","Senior citizen"))</f>
        <v>Middle aged</v>
      </c>
      <c r="R930" s="7">
        <f>IF(Table1_1[[#This Row],[Marriedarital SingletatuSingle]]="M",Table1_1[[#This Row],[Children]]+2,Table1_1[[#This Row],[Children]]+1)</f>
        <v>3</v>
      </c>
      <c r="S930" s="4" t="str">
        <f>IF(Table1_1[[#This Row],[Cars]]=0,"No","Yes")</f>
        <v>Yes</v>
      </c>
      <c r="T930" s="6" t="str">
        <f>IF(AND(Table1_1[[#This Row],[Income]]&gt;50000,Table1_1[[#This Row],[Home Owner]]="Yes"),"High stability","Low stability")</f>
        <v>High stability</v>
      </c>
      <c r="U930" s="3">
        <f>Table1_1[[#This Row],[Income]]/Table1_1[[#This Row],[Family size]]</f>
        <v>20000</v>
      </c>
      <c r="V930" s="6" t="str">
        <f>IF(Table1_1[[#This Row],[Occupation]]="Skilled manual","Blue collar",IF(Table1_1[[#This Row],[Occupation]]="Manual","Blue collar","White collar"))</f>
        <v>White collar</v>
      </c>
    </row>
    <row r="931" spans="1:22" x14ac:dyDescent="0.3">
      <c r="A931" t="s">
        <v>965</v>
      </c>
      <c r="B931" s="6" t="s">
        <v>1042</v>
      </c>
      <c r="C931" s="6" t="s">
        <v>1046</v>
      </c>
      <c r="D931" s="3">
        <v>60000</v>
      </c>
      <c r="E931">
        <v>2</v>
      </c>
      <c r="F931" s="6" t="s">
        <v>27</v>
      </c>
      <c r="G931" s="6" t="s">
        <v>21</v>
      </c>
      <c r="H931" s="6" t="s">
        <v>15</v>
      </c>
      <c r="I931">
        <v>2</v>
      </c>
      <c r="J931" t="s">
        <v>23</v>
      </c>
      <c r="K93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31" s="6" t="s">
        <v>32</v>
      </c>
      <c r="M931" s="7">
        <v>50</v>
      </c>
      <c r="N931" t="s">
        <v>18</v>
      </c>
      <c r="O931" s="9" t="str">
        <f>IF(Table1_1[[#This Row],[Purchased Bike]]="yes","1","0")</f>
        <v>0</v>
      </c>
      <c r="P931" s="4" t="str">
        <f>IF(Table1_1[[#This Row],[Income]]&lt;=30000,"Low ",IF(Table1_1[[#This Row],[Income]]&lt;=70000,"Middle","High"))</f>
        <v>Middle</v>
      </c>
      <c r="Q931" s="6" t="str">
        <f>IF(Table1_1[[#This Row],[Age]]&lt;30,"Young",IF(Table1_1[[#This Row],[Age]]&lt;50,"Middle aged","Senior citizen"))</f>
        <v>Senior citizen</v>
      </c>
      <c r="R931" s="7">
        <f>IF(Table1_1[[#This Row],[Marriedarital SingletatuSingle]]="M",Table1_1[[#This Row],[Children]]+2,Table1_1[[#This Row],[Children]]+1)</f>
        <v>3</v>
      </c>
      <c r="S931" s="4" t="str">
        <f>IF(Table1_1[[#This Row],[Cars]]=0,"No","Yes")</f>
        <v>Yes</v>
      </c>
      <c r="T931" s="6" t="str">
        <f>IF(AND(Table1_1[[#This Row],[Income]]&gt;50000,Table1_1[[#This Row],[Home Owner]]="Yes"),"High stability","Low stability")</f>
        <v>High stability</v>
      </c>
      <c r="U931" s="3">
        <f>Table1_1[[#This Row],[Income]]/Table1_1[[#This Row],[Family size]]</f>
        <v>20000</v>
      </c>
      <c r="V931" s="6" t="str">
        <f>IF(Table1_1[[#This Row],[Occupation]]="Skilled manual","Blue collar",IF(Table1_1[[#This Row],[Occupation]]="Manual","Blue collar","White collar"))</f>
        <v>White collar</v>
      </c>
    </row>
    <row r="932" spans="1:22" x14ac:dyDescent="0.3">
      <c r="A932" t="s">
        <v>966</v>
      </c>
      <c r="B932" s="6" t="s">
        <v>1042</v>
      </c>
      <c r="C932" s="6" t="s">
        <v>1046</v>
      </c>
      <c r="D932" s="3">
        <v>70000</v>
      </c>
      <c r="E932">
        <v>5</v>
      </c>
      <c r="F932" s="6" t="s">
        <v>31</v>
      </c>
      <c r="G932" s="6" t="s">
        <v>21</v>
      </c>
      <c r="H932" s="6" t="s">
        <v>18</v>
      </c>
      <c r="I932">
        <v>3</v>
      </c>
      <c r="J932" t="s">
        <v>30</v>
      </c>
      <c r="K93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32" s="6" t="s">
        <v>32</v>
      </c>
      <c r="M932" s="7">
        <v>47</v>
      </c>
      <c r="N932" t="s">
        <v>18</v>
      </c>
      <c r="O932" s="9" t="str">
        <f>IF(Table1_1[[#This Row],[Purchased Bike]]="yes","1","0")</f>
        <v>0</v>
      </c>
      <c r="P932" s="4" t="str">
        <f>IF(Table1_1[[#This Row],[Income]]&lt;=30000,"Low ",IF(Table1_1[[#This Row],[Income]]&lt;=70000,"Middle","High"))</f>
        <v>Middle</v>
      </c>
      <c r="Q932" s="6" t="str">
        <f>IF(Table1_1[[#This Row],[Age]]&lt;30,"Young",IF(Table1_1[[#This Row],[Age]]&lt;50,"Middle aged","Senior citizen"))</f>
        <v>Middle aged</v>
      </c>
      <c r="R932" s="7">
        <f>IF(Table1_1[[#This Row],[Marriedarital SingletatuSingle]]="M",Table1_1[[#This Row],[Children]]+2,Table1_1[[#This Row],[Children]]+1)</f>
        <v>6</v>
      </c>
      <c r="S932" s="4" t="str">
        <f>IF(Table1_1[[#This Row],[Cars]]=0,"No","Yes")</f>
        <v>Yes</v>
      </c>
      <c r="T932" s="6" t="str">
        <f>IF(AND(Table1_1[[#This Row],[Income]]&gt;50000,Table1_1[[#This Row],[Home Owner]]="Yes"),"High stability","Low stability")</f>
        <v>Low stability</v>
      </c>
      <c r="U932" s="3">
        <f>Table1_1[[#This Row],[Income]]/Table1_1[[#This Row],[Family size]]</f>
        <v>11666.666666666666</v>
      </c>
      <c r="V932" s="6" t="str">
        <f>IF(Table1_1[[#This Row],[Occupation]]="Skilled manual","Blue collar",IF(Table1_1[[#This Row],[Occupation]]="Manual","Blue collar","White collar"))</f>
        <v>White collar</v>
      </c>
    </row>
    <row r="933" spans="1:22" x14ac:dyDescent="0.3">
      <c r="A933" t="s">
        <v>967</v>
      </c>
      <c r="B933" s="6" t="s">
        <v>1042</v>
      </c>
      <c r="C933" s="6" t="s">
        <v>1045</v>
      </c>
      <c r="D933" s="3">
        <v>40000</v>
      </c>
      <c r="E933">
        <v>1</v>
      </c>
      <c r="F933" s="6" t="s">
        <v>19</v>
      </c>
      <c r="G933" s="6" t="s">
        <v>20</v>
      </c>
      <c r="H933" s="6" t="s">
        <v>15</v>
      </c>
      <c r="I933">
        <v>1</v>
      </c>
      <c r="J933" t="s">
        <v>26</v>
      </c>
      <c r="K93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33" s="6" t="s">
        <v>32</v>
      </c>
      <c r="M933" s="7">
        <v>49</v>
      </c>
      <c r="N933" t="s">
        <v>15</v>
      </c>
      <c r="O933" s="9" t="str">
        <f>IF(Table1_1[[#This Row],[Purchased Bike]]="yes","1","0")</f>
        <v>1</v>
      </c>
      <c r="P933" s="4" t="str">
        <f>IF(Table1_1[[#This Row],[Income]]&lt;=30000,"Low ",IF(Table1_1[[#This Row],[Income]]&lt;=70000,"Middle","High"))</f>
        <v>Middle</v>
      </c>
      <c r="Q933" s="6" t="str">
        <f>IF(Table1_1[[#This Row],[Age]]&lt;30,"Young",IF(Table1_1[[#This Row],[Age]]&lt;50,"Middle aged","Senior citizen"))</f>
        <v>Middle aged</v>
      </c>
      <c r="R933" s="7">
        <f>IF(Table1_1[[#This Row],[Marriedarital SingletatuSingle]]="M",Table1_1[[#This Row],[Children]]+2,Table1_1[[#This Row],[Children]]+1)</f>
        <v>2</v>
      </c>
      <c r="S933" s="4" t="str">
        <f>IF(Table1_1[[#This Row],[Cars]]=0,"No","Yes")</f>
        <v>Yes</v>
      </c>
      <c r="T933" s="6" t="str">
        <f>IF(AND(Table1_1[[#This Row],[Income]]&gt;50000,Table1_1[[#This Row],[Home Owner]]="Yes"),"High stability","Low stability")</f>
        <v>Low stability</v>
      </c>
      <c r="U933" s="3">
        <f>Table1_1[[#This Row],[Income]]/Table1_1[[#This Row],[Family size]]</f>
        <v>20000</v>
      </c>
      <c r="V933" s="6" t="str">
        <f>IF(Table1_1[[#This Row],[Occupation]]="Skilled manual","Blue collar",IF(Table1_1[[#This Row],[Occupation]]="Manual","Blue collar","White collar"))</f>
        <v>White collar</v>
      </c>
    </row>
    <row r="934" spans="1:22" x14ac:dyDescent="0.3">
      <c r="A934" t="s">
        <v>968</v>
      </c>
      <c r="B934" s="6" t="s">
        <v>1044</v>
      </c>
      <c r="C934" s="6" t="s">
        <v>1045</v>
      </c>
      <c r="D934" s="3">
        <v>40000</v>
      </c>
      <c r="E934">
        <v>0</v>
      </c>
      <c r="F934" s="6" t="s">
        <v>27</v>
      </c>
      <c r="G934" s="6" t="s">
        <v>14</v>
      </c>
      <c r="H934" s="6" t="s">
        <v>18</v>
      </c>
      <c r="I934">
        <v>2</v>
      </c>
      <c r="J934" t="s">
        <v>16</v>
      </c>
      <c r="K93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34" s="6" t="s">
        <v>32</v>
      </c>
      <c r="M934" s="7">
        <v>27</v>
      </c>
      <c r="N934" t="s">
        <v>15</v>
      </c>
      <c r="O934" s="9" t="str">
        <f>IF(Table1_1[[#This Row],[Purchased Bike]]="yes","1","0")</f>
        <v>1</v>
      </c>
      <c r="P934" s="4" t="str">
        <f>IF(Table1_1[[#This Row],[Income]]&lt;=30000,"Low ",IF(Table1_1[[#This Row],[Income]]&lt;=70000,"Middle","High"))</f>
        <v>Middle</v>
      </c>
      <c r="Q934" s="6" t="str">
        <f>IF(Table1_1[[#This Row],[Age]]&lt;30,"Young",IF(Table1_1[[#This Row],[Age]]&lt;50,"Middle aged","Senior citizen"))</f>
        <v>Young</v>
      </c>
      <c r="R934" s="7">
        <f>IF(Table1_1[[#This Row],[Marriedarital SingletatuSingle]]="M",Table1_1[[#This Row],[Children]]+2,Table1_1[[#This Row],[Children]]+1)</f>
        <v>1</v>
      </c>
      <c r="S934" s="4" t="str">
        <f>IF(Table1_1[[#This Row],[Cars]]=0,"No","Yes")</f>
        <v>Yes</v>
      </c>
      <c r="T934" s="6" t="str">
        <f>IF(AND(Table1_1[[#This Row],[Income]]&gt;50000,Table1_1[[#This Row],[Home Owner]]="Yes"),"High stability","Low stability")</f>
        <v>Low stability</v>
      </c>
      <c r="U934" s="3">
        <f>Table1_1[[#This Row],[Income]]/Table1_1[[#This Row],[Family size]]</f>
        <v>40000</v>
      </c>
      <c r="V934" s="6" t="str">
        <f>IF(Table1_1[[#This Row],[Occupation]]="Skilled manual","Blue collar",IF(Table1_1[[#This Row],[Occupation]]="Manual","Blue collar","White collar"))</f>
        <v>Blue collar</v>
      </c>
    </row>
    <row r="935" spans="1:22" x14ac:dyDescent="0.3">
      <c r="A935" t="s">
        <v>969</v>
      </c>
      <c r="B935" s="6" t="s">
        <v>1044</v>
      </c>
      <c r="C935" s="6" t="s">
        <v>1046</v>
      </c>
      <c r="D935" s="3">
        <v>60000</v>
      </c>
      <c r="E935">
        <v>0</v>
      </c>
      <c r="F935" s="6" t="s">
        <v>19</v>
      </c>
      <c r="G935" s="6" t="s">
        <v>14</v>
      </c>
      <c r="H935" s="6" t="s">
        <v>15</v>
      </c>
      <c r="I935">
        <v>0</v>
      </c>
      <c r="J935" t="s">
        <v>23</v>
      </c>
      <c r="K93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35" s="6" t="s">
        <v>32</v>
      </c>
      <c r="M935" s="7">
        <v>29</v>
      </c>
      <c r="N935" t="s">
        <v>18</v>
      </c>
      <c r="O935" s="9" t="str">
        <f>IF(Table1_1[[#This Row],[Purchased Bike]]="yes","1","0")</f>
        <v>0</v>
      </c>
      <c r="P935" s="4" t="str">
        <f>IF(Table1_1[[#This Row],[Income]]&lt;=30000,"Low ",IF(Table1_1[[#This Row],[Income]]&lt;=70000,"Middle","High"))</f>
        <v>Middle</v>
      </c>
      <c r="Q935" s="6" t="str">
        <f>IF(Table1_1[[#This Row],[Age]]&lt;30,"Young",IF(Table1_1[[#This Row],[Age]]&lt;50,"Middle aged","Senior citizen"))</f>
        <v>Young</v>
      </c>
      <c r="R935" s="7">
        <f>IF(Table1_1[[#This Row],[Marriedarital SingletatuSingle]]="M",Table1_1[[#This Row],[Children]]+2,Table1_1[[#This Row],[Children]]+1)</f>
        <v>1</v>
      </c>
      <c r="S935" s="4" t="str">
        <f>IF(Table1_1[[#This Row],[Cars]]=0,"No","Yes")</f>
        <v>No</v>
      </c>
      <c r="T935" s="6" t="str">
        <f>IF(AND(Table1_1[[#This Row],[Income]]&gt;50000,Table1_1[[#This Row],[Home Owner]]="Yes"),"High stability","Low stability")</f>
        <v>High stability</v>
      </c>
      <c r="U935" s="3">
        <f>Table1_1[[#This Row],[Income]]/Table1_1[[#This Row],[Family size]]</f>
        <v>60000</v>
      </c>
      <c r="V935" s="6" t="str">
        <f>IF(Table1_1[[#This Row],[Occupation]]="Skilled manual","Blue collar",IF(Table1_1[[#This Row],[Occupation]]="Manual","Blue collar","White collar"))</f>
        <v>Blue collar</v>
      </c>
    </row>
    <row r="936" spans="1:22" x14ac:dyDescent="0.3">
      <c r="A936" t="s">
        <v>970</v>
      </c>
      <c r="B936" s="6" t="s">
        <v>1042</v>
      </c>
      <c r="C936" s="6" t="s">
        <v>1046</v>
      </c>
      <c r="D936" s="3">
        <v>60000</v>
      </c>
      <c r="E936">
        <v>2</v>
      </c>
      <c r="F936" s="6" t="s">
        <v>13</v>
      </c>
      <c r="G936" s="6" t="s">
        <v>28</v>
      </c>
      <c r="H936" s="6" t="s">
        <v>15</v>
      </c>
      <c r="I936">
        <v>0</v>
      </c>
      <c r="J936" t="s">
        <v>22</v>
      </c>
      <c r="K93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36" s="6" t="s">
        <v>32</v>
      </c>
      <c r="M936" s="7">
        <v>59</v>
      </c>
      <c r="N936" t="s">
        <v>18</v>
      </c>
      <c r="O936" s="9" t="str">
        <f>IF(Table1_1[[#This Row],[Purchased Bike]]="yes","1","0")</f>
        <v>0</v>
      </c>
      <c r="P936" s="4" t="str">
        <f>IF(Table1_1[[#This Row],[Income]]&lt;=30000,"Low ",IF(Table1_1[[#This Row],[Income]]&lt;=70000,"Middle","High"))</f>
        <v>Middle</v>
      </c>
      <c r="Q936" s="6" t="str">
        <f>IF(Table1_1[[#This Row],[Age]]&lt;30,"Young",IF(Table1_1[[#This Row],[Age]]&lt;50,"Middle aged","Senior citizen"))</f>
        <v>Senior citizen</v>
      </c>
      <c r="R936" s="7">
        <f>IF(Table1_1[[#This Row],[Marriedarital SingletatuSingle]]="M",Table1_1[[#This Row],[Children]]+2,Table1_1[[#This Row],[Children]]+1)</f>
        <v>3</v>
      </c>
      <c r="S936" s="4" t="str">
        <f>IF(Table1_1[[#This Row],[Cars]]=0,"No","Yes")</f>
        <v>No</v>
      </c>
      <c r="T936" s="6" t="str">
        <f>IF(AND(Table1_1[[#This Row],[Income]]&gt;50000,Table1_1[[#This Row],[Home Owner]]="Yes"),"High stability","Low stability")</f>
        <v>High stability</v>
      </c>
      <c r="U936" s="3">
        <f>Table1_1[[#This Row],[Income]]/Table1_1[[#This Row],[Family size]]</f>
        <v>20000</v>
      </c>
      <c r="V936" s="6" t="str">
        <f>IF(Table1_1[[#This Row],[Occupation]]="Skilled manual","Blue collar",IF(Table1_1[[#This Row],[Occupation]]="Manual","Blue collar","White collar"))</f>
        <v>White collar</v>
      </c>
    </row>
    <row r="937" spans="1:22" x14ac:dyDescent="0.3">
      <c r="A937" t="s">
        <v>971</v>
      </c>
      <c r="B937" s="6" t="s">
        <v>1042</v>
      </c>
      <c r="C937" s="6" t="s">
        <v>1045</v>
      </c>
      <c r="D937" s="3">
        <v>60000</v>
      </c>
      <c r="E937">
        <v>1</v>
      </c>
      <c r="F937" s="6" t="s">
        <v>19</v>
      </c>
      <c r="G937" s="6" t="s">
        <v>14</v>
      </c>
      <c r="H937" s="6" t="s">
        <v>15</v>
      </c>
      <c r="I937">
        <v>1</v>
      </c>
      <c r="J937" t="s">
        <v>16</v>
      </c>
      <c r="K93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37" s="6" t="s">
        <v>32</v>
      </c>
      <c r="M937" s="7">
        <v>45</v>
      </c>
      <c r="N937" t="s">
        <v>15</v>
      </c>
      <c r="O937" s="9" t="str">
        <f>IF(Table1_1[[#This Row],[Purchased Bike]]="yes","1","0")</f>
        <v>1</v>
      </c>
      <c r="P937" s="4" t="str">
        <f>IF(Table1_1[[#This Row],[Income]]&lt;=30000,"Low ",IF(Table1_1[[#This Row],[Income]]&lt;=70000,"Middle","High"))</f>
        <v>Middle</v>
      </c>
      <c r="Q937" s="6" t="str">
        <f>IF(Table1_1[[#This Row],[Age]]&lt;30,"Young",IF(Table1_1[[#This Row],[Age]]&lt;50,"Middle aged","Senior citizen"))</f>
        <v>Middle aged</v>
      </c>
      <c r="R937" s="7">
        <f>IF(Table1_1[[#This Row],[Marriedarital SingletatuSingle]]="M",Table1_1[[#This Row],[Children]]+2,Table1_1[[#This Row],[Children]]+1)</f>
        <v>2</v>
      </c>
      <c r="S937" s="4" t="str">
        <f>IF(Table1_1[[#This Row],[Cars]]=0,"No","Yes")</f>
        <v>Yes</v>
      </c>
      <c r="T937" s="6" t="str">
        <f>IF(AND(Table1_1[[#This Row],[Income]]&gt;50000,Table1_1[[#This Row],[Home Owner]]="Yes"),"High stability","Low stability")</f>
        <v>High stability</v>
      </c>
      <c r="U937" s="3">
        <f>Table1_1[[#This Row],[Income]]/Table1_1[[#This Row],[Family size]]</f>
        <v>30000</v>
      </c>
      <c r="V937" s="6" t="str">
        <f>IF(Table1_1[[#This Row],[Occupation]]="Skilled manual","Blue collar",IF(Table1_1[[#This Row],[Occupation]]="Manual","Blue collar","White collar"))</f>
        <v>Blue collar</v>
      </c>
    </row>
    <row r="938" spans="1:22" x14ac:dyDescent="0.3">
      <c r="A938" t="s">
        <v>972</v>
      </c>
      <c r="B938" s="6" t="s">
        <v>1042</v>
      </c>
      <c r="C938" s="6" t="s">
        <v>1045</v>
      </c>
      <c r="D938" s="3">
        <v>60000</v>
      </c>
      <c r="E938">
        <v>4</v>
      </c>
      <c r="F938" s="6" t="s">
        <v>13</v>
      </c>
      <c r="G938" s="6" t="s">
        <v>28</v>
      </c>
      <c r="H938" s="6" t="s">
        <v>15</v>
      </c>
      <c r="I938">
        <v>2</v>
      </c>
      <c r="J938" t="s">
        <v>22</v>
      </c>
      <c r="K93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38" s="6" t="s">
        <v>32</v>
      </c>
      <c r="M938" s="7">
        <v>60</v>
      </c>
      <c r="N938" t="s">
        <v>18</v>
      </c>
      <c r="O938" s="9" t="str">
        <f>IF(Table1_1[[#This Row],[Purchased Bike]]="yes","1","0")</f>
        <v>0</v>
      </c>
      <c r="P938" s="4" t="str">
        <f>IF(Table1_1[[#This Row],[Income]]&lt;=30000,"Low ",IF(Table1_1[[#This Row],[Income]]&lt;=70000,"Middle","High"))</f>
        <v>Middle</v>
      </c>
      <c r="Q938" s="6" t="str">
        <f>IF(Table1_1[[#This Row],[Age]]&lt;30,"Young",IF(Table1_1[[#This Row],[Age]]&lt;50,"Middle aged","Senior citizen"))</f>
        <v>Senior citizen</v>
      </c>
      <c r="R938" s="7">
        <f>IF(Table1_1[[#This Row],[Marriedarital SingletatuSingle]]="M",Table1_1[[#This Row],[Children]]+2,Table1_1[[#This Row],[Children]]+1)</f>
        <v>5</v>
      </c>
      <c r="S938" s="4" t="str">
        <f>IF(Table1_1[[#This Row],[Cars]]=0,"No","Yes")</f>
        <v>Yes</v>
      </c>
      <c r="T938" s="6" t="str">
        <f>IF(AND(Table1_1[[#This Row],[Income]]&gt;50000,Table1_1[[#This Row],[Home Owner]]="Yes"),"High stability","Low stability")</f>
        <v>High stability</v>
      </c>
      <c r="U938" s="3">
        <f>Table1_1[[#This Row],[Income]]/Table1_1[[#This Row],[Family size]]</f>
        <v>12000</v>
      </c>
      <c r="V938" s="6" t="str">
        <f>IF(Table1_1[[#This Row],[Occupation]]="Skilled manual","Blue collar",IF(Table1_1[[#This Row],[Occupation]]="Manual","Blue collar","White collar"))</f>
        <v>White collar</v>
      </c>
    </row>
    <row r="939" spans="1:22" x14ac:dyDescent="0.3">
      <c r="A939" t="s">
        <v>973</v>
      </c>
      <c r="B939" s="6" t="s">
        <v>1042</v>
      </c>
      <c r="C939" s="6" t="s">
        <v>1046</v>
      </c>
      <c r="D939" s="3">
        <v>70000</v>
      </c>
      <c r="E939">
        <v>4</v>
      </c>
      <c r="F939" s="6" t="s">
        <v>31</v>
      </c>
      <c r="G939" s="6" t="s">
        <v>21</v>
      </c>
      <c r="H939" s="6" t="s">
        <v>15</v>
      </c>
      <c r="I939">
        <v>0</v>
      </c>
      <c r="J939" t="s">
        <v>16</v>
      </c>
      <c r="K93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39" s="6" t="s">
        <v>32</v>
      </c>
      <c r="M939" s="7">
        <v>36</v>
      </c>
      <c r="N939" t="s">
        <v>15</v>
      </c>
      <c r="O939" s="9" t="str">
        <f>IF(Table1_1[[#This Row],[Purchased Bike]]="yes","1","0")</f>
        <v>1</v>
      </c>
      <c r="P939" s="4" t="str">
        <f>IF(Table1_1[[#This Row],[Income]]&lt;=30000,"Low ",IF(Table1_1[[#This Row],[Income]]&lt;=70000,"Middle","High"))</f>
        <v>Middle</v>
      </c>
      <c r="Q939" s="6" t="str">
        <f>IF(Table1_1[[#This Row],[Age]]&lt;30,"Young",IF(Table1_1[[#This Row],[Age]]&lt;50,"Middle aged","Senior citizen"))</f>
        <v>Middle aged</v>
      </c>
      <c r="R939" s="7">
        <f>IF(Table1_1[[#This Row],[Marriedarital SingletatuSingle]]="M",Table1_1[[#This Row],[Children]]+2,Table1_1[[#This Row],[Children]]+1)</f>
        <v>5</v>
      </c>
      <c r="S939" s="4" t="str">
        <f>IF(Table1_1[[#This Row],[Cars]]=0,"No","Yes")</f>
        <v>No</v>
      </c>
      <c r="T939" s="6" t="str">
        <f>IF(AND(Table1_1[[#This Row],[Income]]&gt;50000,Table1_1[[#This Row],[Home Owner]]="Yes"),"High stability","Low stability")</f>
        <v>High stability</v>
      </c>
      <c r="U939" s="3">
        <f>Table1_1[[#This Row],[Income]]/Table1_1[[#This Row],[Family size]]</f>
        <v>14000</v>
      </c>
      <c r="V939" s="6" t="str">
        <f>IF(Table1_1[[#This Row],[Occupation]]="Skilled manual","Blue collar",IF(Table1_1[[#This Row],[Occupation]]="Manual","Blue collar","White collar"))</f>
        <v>White collar</v>
      </c>
    </row>
    <row r="940" spans="1:22" x14ac:dyDescent="0.3">
      <c r="A940" t="s">
        <v>974</v>
      </c>
      <c r="B940" s="6" t="s">
        <v>1042</v>
      </c>
      <c r="C940" s="6" t="s">
        <v>1045</v>
      </c>
      <c r="D940" s="3">
        <v>40000</v>
      </c>
      <c r="E940">
        <v>0</v>
      </c>
      <c r="F940" s="6" t="s">
        <v>27</v>
      </c>
      <c r="G940" s="6" t="s">
        <v>14</v>
      </c>
      <c r="H940" s="6" t="s">
        <v>15</v>
      </c>
      <c r="I940">
        <v>2</v>
      </c>
      <c r="J940" t="s">
        <v>23</v>
      </c>
      <c r="K94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40" s="6" t="s">
        <v>32</v>
      </c>
      <c r="M940" s="7">
        <v>27</v>
      </c>
      <c r="N940" t="s">
        <v>18</v>
      </c>
      <c r="O940" s="9" t="str">
        <f>IF(Table1_1[[#This Row],[Purchased Bike]]="yes","1","0")</f>
        <v>0</v>
      </c>
      <c r="P940" s="4" t="str">
        <f>IF(Table1_1[[#This Row],[Income]]&lt;=30000,"Low ",IF(Table1_1[[#This Row],[Income]]&lt;=70000,"Middle","High"))</f>
        <v>Middle</v>
      </c>
      <c r="Q940" s="6" t="str">
        <f>IF(Table1_1[[#This Row],[Age]]&lt;30,"Young",IF(Table1_1[[#This Row],[Age]]&lt;50,"Middle aged","Senior citizen"))</f>
        <v>Young</v>
      </c>
      <c r="R940" s="7">
        <f>IF(Table1_1[[#This Row],[Marriedarital SingletatuSingle]]="M",Table1_1[[#This Row],[Children]]+2,Table1_1[[#This Row],[Children]]+1)</f>
        <v>1</v>
      </c>
      <c r="S940" s="4" t="str">
        <f>IF(Table1_1[[#This Row],[Cars]]=0,"No","Yes")</f>
        <v>Yes</v>
      </c>
      <c r="T940" s="6" t="str">
        <f>IF(AND(Table1_1[[#This Row],[Income]]&gt;50000,Table1_1[[#This Row],[Home Owner]]="Yes"),"High stability","Low stability")</f>
        <v>Low stability</v>
      </c>
      <c r="U940" s="3">
        <f>Table1_1[[#This Row],[Income]]/Table1_1[[#This Row],[Family size]]</f>
        <v>40000</v>
      </c>
      <c r="V940" s="6" t="str">
        <f>IF(Table1_1[[#This Row],[Occupation]]="Skilled manual","Blue collar",IF(Table1_1[[#This Row],[Occupation]]="Manual","Blue collar","White collar"))</f>
        <v>Blue collar</v>
      </c>
    </row>
    <row r="941" spans="1:22" x14ac:dyDescent="0.3">
      <c r="A941" t="s">
        <v>975</v>
      </c>
      <c r="B941" s="6" t="s">
        <v>1044</v>
      </c>
      <c r="C941" s="6" t="s">
        <v>1046</v>
      </c>
      <c r="D941" s="3">
        <v>80000</v>
      </c>
      <c r="E941">
        <v>2</v>
      </c>
      <c r="F941" s="6" t="s">
        <v>29</v>
      </c>
      <c r="G941" s="6" t="s">
        <v>14</v>
      </c>
      <c r="H941" s="6" t="s">
        <v>18</v>
      </c>
      <c r="I941">
        <v>2</v>
      </c>
      <c r="J941" t="s">
        <v>26</v>
      </c>
      <c r="K94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41" s="6" t="s">
        <v>32</v>
      </c>
      <c r="M941" s="7">
        <v>50</v>
      </c>
      <c r="N941" t="s">
        <v>18</v>
      </c>
      <c r="O941" s="9" t="str">
        <f>IF(Table1_1[[#This Row],[Purchased Bike]]="yes","1","0")</f>
        <v>0</v>
      </c>
      <c r="P941" s="4" t="str">
        <f>IF(Table1_1[[#This Row],[Income]]&lt;=30000,"Low ",IF(Table1_1[[#This Row],[Income]]&lt;=70000,"Middle","High"))</f>
        <v>High</v>
      </c>
      <c r="Q941" s="6" t="str">
        <f>IF(Table1_1[[#This Row],[Age]]&lt;30,"Young",IF(Table1_1[[#This Row],[Age]]&lt;50,"Middle aged","Senior citizen"))</f>
        <v>Senior citizen</v>
      </c>
      <c r="R941" s="7">
        <f>IF(Table1_1[[#This Row],[Marriedarital SingletatuSingle]]="M",Table1_1[[#This Row],[Children]]+2,Table1_1[[#This Row],[Children]]+1)</f>
        <v>3</v>
      </c>
      <c r="S941" s="4" t="str">
        <f>IF(Table1_1[[#This Row],[Cars]]=0,"No","Yes")</f>
        <v>Yes</v>
      </c>
      <c r="T941" s="6" t="str">
        <f>IF(AND(Table1_1[[#This Row],[Income]]&gt;50000,Table1_1[[#This Row],[Home Owner]]="Yes"),"High stability","Low stability")</f>
        <v>Low stability</v>
      </c>
      <c r="U941" s="3">
        <f>Table1_1[[#This Row],[Income]]/Table1_1[[#This Row],[Family size]]</f>
        <v>26666.666666666668</v>
      </c>
      <c r="V941" s="6" t="str">
        <f>IF(Table1_1[[#This Row],[Occupation]]="Skilled manual","Blue collar",IF(Table1_1[[#This Row],[Occupation]]="Manual","Blue collar","White collar"))</f>
        <v>Blue collar</v>
      </c>
    </row>
    <row r="942" spans="1:22" x14ac:dyDescent="0.3">
      <c r="A942" t="s">
        <v>976</v>
      </c>
      <c r="B942" s="6" t="s">
        <v>1044</v>
      </c>
      <c r="C942" s="6" t="s">
        <v>1045</v>
      </c>
      <c r="D942" s="3">
        <v>60000</v>
      </c>
      <c r="E942">
        <v>1</v>
      </c>
      <c r="F942" s="6" t="s">
        <v>31</v>
      </c>
      <c r="G942" s="6" t="s">
        <v>14</v>
      </c>
      <c r="H942" s="6" t="s">
        <v>15</v>
      </c>
      <c r="I942">
        <v>0</v>
      </c>
      <c r="J942" t="s">
        <v>26</v>
      </c>
      <c r="K94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42" s="6" t="s">
        <v>32</v>
      </c>
      <c r="M942" s="7">
        <v>35</v>
      </c>
      <c r="N942" t="s">
        <v>18</v>
      </c>
      <c r="O942" s="9" t="str">
        <f>IF(Table1_1[[#This Row],[Purchased Bike]]="yes","1","0")</f>
        <v>0</v>
      </c>
      <c r="P942" s="4" t="str">
        <f>IF(Table1_1[[#This Row],[Income]]&lt;=30000,"Low ",IF(Table1_1[[#This Row],[Income]]&lt;=70000,"Middle","High"))</f>
        <v>Middle</v>
      </c>
      <c r="Q942" s="6" t="str">
        <f>IF(Table1_1[[#This Row],[Age]]&lt;30,"Young",IF(Table1_1[[#This Row],[Age]]&lt;50,"Middle aged","Senior citizen"))</f>
        <v>Middle aged</v>
      </c>
      <c r="R942" s="7">
        <f>IF(Table1_1[[#This Row],[Marriedarital SingletatuSingle]]="M",Table1_1[[#This Row],[Children]]+2,Table1_1[[#This Row],[Children]]+1)</f>
        <v>2</v>
      </c>
      <c r="S942" s="4" t="str">
        <f>IF(Table1_1[[#This Row],[Cars]]=0,"No","Yes")</f>
        <v>No</v>
      </c>
      <c r="T942" s="6" t="str">
        <f>IF(AND(Table1_1[[#This Row],[Income]]&gt;50000,Table1_1[[#This Row],[Home Owner]]="Yes"),"High stability","Low stability")</f>
        <v>High stability</v>
      </c>
      <c r="U942" s="3">
        <f>Table1_1[[#This Row],[Income]]/Table1_1[[#This Row],[Family size]]</f>
        <v>30000</v>
      </c>
      <c r="V942" s="6" t="str">
        <f>IF(Table1_1[[#This Row],[Occupation]]="Skilled manual","Blue collar",IF(Table1_1[[#This Row],[Occupation]]="Manual","Blue collar","White collar"))</f>
        <v>Blue collar</v>
      </c>
    </row>
    <row r="943" spans="1:22" x14ac:dyDescent="0.3">
      <c r="A943" t="s">
        <v>977</v>
      </c>
      <c r="B943" s="6" t="s">
        <v>1042</v>
      </c>
      <c r="C943" s="6" t="s">
        <v>1045</v>
      </c>
      <c r="D943" s="3">
        <v>60000</v>
      </c>
      <c r="E943">
        <v>1</v>
      </c>
      <c r="F943" s="6" t="s">
        <v>31</v>
      </c>
      <c r="G943" s="6" t="s">
        <v>14</v>
      </c>
      <c r="H943" s="6" t="s">
        <v>15</v>
      </c>
      <c r="I943">
        <v>0</v>
      </c>
      <c r="J943" t="s">
        <v>22</v>
      </c>
      <c r="K94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43" s="6" t="s">
        <v>32</v>
      </c>
      <c r="M943" s="7">
        <v>34</v>
      </c>
      <c r="N943" t="s">
        <v>15</v>
      </c>
      <c r="O943" s="9" t="str">
        <f>IF(Table1_1[[#This Row],[Purchased Bike]]="yes","1","0")</f>
        <v>1</v>
      </c>
      <c r="P943" s="4" t="str">
        <f>IF(Table1_1[[#This Row],[Income]]&lt;=30000,"Low ",IF(Table1_1[[#This Row],[Income]]&lt;=70000,"Middle","High"))</f>
        <v>Middle</v>
      </c>
      <c r="Q943" s="6" t="str">
        <f>IF(Table1_1[[#This Row],[Age]]&lt;30,"Young",IF(Table1_1[[#This Row],[Age]]&lt;50,"Middle aged","Senior citizen"))</f>
        <v>Middle aged</v>
      </c>
      <c r="R943" s="7">
        <f>IF(Table1_1[[#This Row],[Marriedarital SingletatuSingle]]="M",Table1_1[[#This Row],[Children]]+2,Table1_1[[#This Row],[Children]]+1)</f>
        <v>2</v>
      </c>
      <c r="S943" s="4" t="str">
        <f>IF(Table1_1[[#This Row],[Cars]]=0,"No","Yes")</f>
        <v>No</v>
      </c>
      <c r="T943" s="6" t="str">
        <f>IF(AND(Table1_1[[#This Row],[Income]]&gt;50000,Table1_1[[#This Row],[Home Owner]]="Yes"),"High stability","Low stability")</f>
        <v>High stability</v>
      </c>
      <c r="U943" s="3">
        <f>Table1_1[[#This Row],[Income]]/Table1_1[[#This Row],[Family size]]</f>
        <v>30000</v>
      </c>
      <c r="V943" s="6" t="str">
        <f>IF(Table1_1[[#This Row],[Occupation]]="Skilled manual","Blue collar",IF(Table1_1[[#This Row],[Occupation]]="Manual","Blue collar","White collar"))</f>
        <v>Blue collar</v>
      </c>
    </row>
    <row r="944" spans="1:22" x14ac:dyDescent="0.3">
      <c r="A944" t="s">
        <v>978</v>
      </c>
      <c r="B944" s="6" t="s">
        <v>1042</v>
      </c>
      <c r="C944" s="6" t="s">
        <v>1045</v>
      </c>
      <c r="D944" s="3">
        <v>40000</v>
      </c>
      <c r="E944">
        <v>3</v>
      </c>
      <c r="F944" s="6" t="s">
        <v>19</v>
      </c>
      <c r="G944" s="6" t="s">
        <v>21</v>
      </c>
      <c r="H944" s="6" t="s">
        <v>15</v>
      </c>
      <c r="I944">
        <v>2</v>
      </c>
      <c r="J944" t="s">
        <v>23</v>
      </c>
      <c r="K94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44" s="6" t="s">
        <v>32</v>
      </c>
      <c r="M944" s="7">
        <v>54</v>
      </c>
      <c r="N944" t="s">
        <v>18</v>
      </c>
      <c r="O944" s="9" t="str">
        <f>IF(Table1_1[[#This Row],[Purchased Bike]]="yes","1","0")</f>
        <v>0</v>
      </c>
      <c r="P944" s="4" t="str">
        <f>IF(Table1_1[[#This Row],[Income]]&lt;=30000,"Low ",IF(Table1_1[[#This Row],[Income]]&lt;=70000,"Middle","High"))</f>
        <v>Middle</v>
      </c>
      <c r="Q944" s="6" t="str">
        <f>IF(Table1_1[[#This Row],[Age]]&lt;30,"Young",IF(Table1_1[[#This Row],[Age]]&lt;50,"Middle aged","Senior citizen"))</f>
        <v>Senior citizen</v>
      </c>
      <c r="R944" s="7">
        <f>IF(Table1_1[[#This Row],[Marriedarital SingletatuSingle]]="M",Table1_1[[#This Row],[Children]]+2,Table1_1[[#This Row],[Children]]+1)</f>
        <v>4</v>
      </c>
      <c r="S944" s="4" t="str">
        <f>IF(Table1_1[[#This Row],[Cars]]=0,"No","Yes")</f>
        <v>Yes</v>
      </c>
      <c r="T944" s="6" t="str">
        <f>IF(AND(Table1_1[[#This Row],[Income]]&gt;50000,Table1_1[[#This Row],[Home Owner]]="Yes"),"High stability","Low stability")</f>
        <v>Low stability</v>
      </c>
      <c r="U944" s="3">
        <f>Table1_1[[#This Row],[Income]]/Table1_1[[#This Row],[Family size]]</f>
        <v>10000</v>
      </c>
      <c r="V944" s="6" t="str">
        <f>IF(Table1_1[[#This Row],[Occupation]]="Skilled manual","Blue collar",IF(Table1_1[[#This Row],[Occupation]]="Manual","Blue collar","White collar"))</f>
        <v>White collar</v>
      </c>
    </row>
    <row r="945" spans="1:22" x14ac:dyDescent="0.3">
      <c r="A945" t="s">
        <v>979</v>
      </c>
      <c r="B945" s="6" t="s">
        <v>1042</v>
      </c>
      <c r="C945" s="6" t="s">
        <v>1045</v>
      </c>
      <c r="D945" s="3">
        <v>60000</v>
      </c>
      <c r="E945">
        <v>4</v>
      </c>
      <c r="F945" s="6" t="s">
        <v>13</v>
      </c>
      <c r="G945" s="6" t="s">
        <v>14</v>
      </c>
      <c r="H945" s="6" t="s">
        <v>18</v>
      </c>
      <c r="I945">
        <v>2</v>
      </c>
      <c r="J945" t="s">
        <v>16</v>
      </c>
      <c r="K94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45" s="6" t="s">
        <v>32</v>
      </c>
      <c r="M945" s="7">
        <v>42</v>
      </c>
      <c r="N945" t="s">
        <v>18</v>
      </c>
      <c r="O945" s="9" t="str">
        <f>IF(Table1_1[[#This Row],[Purchased Bike]]="yes","1","0")</f>
        <v>0</v>
      </c>
      <c r="P945" s="4" t="str">
        <f>IF(Table1_1[[#This Row],[Income]]&lt;=30000,"Low ",IF(Table1_1[[#This Row],[Income]]&lt;=70000,"Middle","High"))</f>
        <v>Middle</v>
      </c>
      <c r="Q945" s="6" t="str">
        <f>IF(Table1_1[[#This Row],[Age]]&lt;30,"Young",IF(Table1_1[[#This Row],[Age]]&lt;50,"Middle aged","Senior citizen"))</f>
        <v>Middle aged</v>
      </c>
      <c r="R945" s="7">
        <f>IF(Table1_1[[#This Row],[Marriedarital SingletatuSingle]]="M",Table1_1[[#This Row],[Children]]+2,Table1_1[[#This Row],[Children]]+1)</f>
        <v>5</v>
      </c>
      <c r="S945" s="4" t="str">
        <f>IF(Table1_1[[#This Row],[Cars]]=0,"No","Yes")</f>
        <v>Yes</v>
      </c>
      <c r="T945" s="6" t="str">
        <f>IF(AND(Table1_1[[#This Row],[Income]]&gt;50000,Table1_1[[#This Row],[Home Owner]]="Yes"),"High stability","Low stability")</f>
        <v>Low stability</v>
      </c>
      <c r="U945" s="3">
        <f>Table1_1[[#This Row],[Income]]/Table1_1[[#This Row],[Family size]]</f>
        <v>12000</v>
      </c>
      <c r="V945" s="6" t="str">
        <f>IF(Table1_1[[#This Row],[Occupation]]="Skilled manual","Blue collar",IF(Table1_1[[#This Row],[Occupation]]="Manual","Blue collar","White collar"))</f>
        <v>Blue collar</v>
      </c>
    </row>
    <row r="946" spans="1:22" x14ac:dyDescent="0.3">
      <c r="A946" t="s">
        <v>980</v>
      </c>
      <c r="B946" s="6" t="s">
        <v>1042</v>
      </c>
      <c r="C946" s="6" t="s">
        <v>1045</v>
      </c>
      <c r="D946" s="3">
        <v>50000</v>
      </c>
      <c r="E946">
        <v>1</v>
      </c>
      <c r="F946" s="6" t="s">
        <v>13</v>
      </c>
      <c r="G946" s="6" t="s">
        <v>14</v>
      </c>
      <c r="H946" s="6" t="s">
        <v>15</v>
      </c>
      <c r="I946">
        <v>0</v>
      </c>
      <c r="J946" t="s">
        <v>22</v>
      </c>
      <c r="K94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46" s="6" t="s">
        <v>32</v>
      </c>
      <c r="M946" s="7">
        <v>34</v>
      </c>
      <c r="N946" t="s">
        <v>15</v>
      </c>
      <c r="O946" s="9" t="str">
        <f>IF(Table1_1[[#This Row],[Purchased Bike]]="yes","1","0")</f>
        <v>1</v>
      </c>
      <c r="P946" s="4" t="str">
        <f>IF(Table1_1[[#This Row],[Income]]&lt;=30000,"Low ",IF(Table1_1[[#This Row],[Income]]&lt;=70000,"Middle","High"))</f>
        <v>Middle</v>
      </c>
      <c r="Q946" s="6" t="str">
        <f>IF(Table1_1[[#This Row],[Age]]&lt;30,"Young",IF(Table1_1[[#This Row],[Age]]&lt;50,"Middle aged","Senior citizen"))</f>
        <v>Middle aged</v>
      </c>
      <c r="R946" s="7">
        <f>IF(Table1_1[[#This Row],[Marriedarital SingletatuSingle]]="M",Table1_1[[#This Row],[Children]]+2,Table1_1[[#This Row],[Children]]+1)</f>
        <v>2</v>
      </c>
      <c r="S946" s="4" t="str">
        <f>IF(Table1_1[[#This Row],[Cars]]=0,"No","Yes")</f>
        <v>No</v>
      </c>
      <c r="T946" s="6" t="str">
        <f>IF(AND(Table1_1[[#This Row],[Income]]&gt;50000,Table1_1[[#This Row],[Home Owner]]="Yes"),"High stability","Low stability")</f>
        <v>Low stability</v>
      </c>
      <c r="U946" s="3">
        <f>Table1_1[[#This Row],[Income]]/Table1_1[[#This Row],[Family size]]</f>
        <v>25000</v>
      </c>
      <c r="V946" s="6" t="str">
        <f>IF(Table1_1[[#This Row],[Occupation]]="Skilled manual","Blue collar",IF(Table1_1[[#This Row],[Occupation]]="Manual","Blue collar","White collar"))</f>
        <v>Blue collar</v>
      </c>
    </row>
    <row r="947" spans="1:22" x14ac:dyDescent="0.3">
      <c r="A947" t="s">
        <v>981</v>
      </c>
      <c r="B947" s="6" t="s">
        <v>1044</v>
      </c>
      <c r="C947" s="6" t="s">
        <v>1046</v>
      </c>
      <c r="D947" s="3">
        <v>50000</v>
      </c>
      <c r="E947">
        <v>2</v>
      </c>
      <c r="F947" s="6" t="s">
        <v>13</v>
      </c>
      <c r="G947" s="6" t="s">
        <v>14</v>
      </c>
      <c r="H947" s="6" t="s">
        <v>18</v>
      </c>
      <c r="I947">
        <v>1</v>
      </c>
      <c r="J947" t="s">
        <v>16</v>
      </c>
      <c r="K94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47" s="6" t="s">
        <v>32</v>
      </c>
      <c r="M947" s="7">
        <v>38</v>
      </c>
      <c r="N947" t="s">
        <v>15</v>
      </c>
      <c r="O947" s="9" t="str">
        <f>IF(Table1_1[[#This Row],[Purchased Bike]]="yes","1","0")</f>
        <v>1</v>
      </c>
      <c r="P947" s="4" t="str">
        <f>IF(Table1_1[[#This Row],[Income]]&lt;=30000,"Low ",IF(Table1_1[[#This Row],[Income]]&lt;=70000,"Middle","High"))</f>
        <v>Middle</v>
      </c>
      <c r="Q947" s="6" t="str">
        <f>IF(Table1_1[[#This Row],[Age]]&lt;30,"Young",IF(Table1_1[[#This Row],[Age]]&lt;50,"Middle aged","Senior citizen"))</f>
        <v>Middle aged</v>
      </c>
      <c r="R947" s="7">
        <f>IF(Table1_1[[#This Row],[Marriedarital SingletatuSingle]]="M",Table1_1[[#This Row],[Children]]+2,Table1_1[[#This Row],[Children]]+1)</f>
        <v>3</v>
      </c>
      <c r="S947" s="4" t="str">
        <f>IF(Table1_1[[#This Row],[Cars]]=0,"No","Yes")</f>
        <v>Yes</v>
      </c>
      <c r="T947" s="6" t="str">
        <f>IF(AND(Table1_1[[#This Row],[Income]]&gt;50000,Table1_1[[#This Row],[Home Owner]]="Yes"),"High stability","Low stability")</f>
        <v>Low stability</v>
      </c>
      <c r="U947" s="3">
        <f>Table1_1[[#This Row],[Income]]/Table1_1[[#This Row],[Family size]]</f>
        <v>16666.666666666668</v>
      </c>
      <c r="V947" s="6" t="str">
        <f>IF(Table1_1[[#This Row],[Occupation]]="Skilled manual","Blue collar",IF(Table1_1[[#This Row],[Occupation]]="Manual","Blue collar","White collar"))</f>
        <v>Blue collar</v>
      </c>
    </row>
    <row r="948" spans="1:22" x14ac:dyDescent="0.3">
      <c r="A948" t="s">
        <v>982</v>
      </c>
      <c r="B948" s="6" t="s">
        <v>1042</v>
      </c>
      <c r="C948" s="6" t="s">
        <v>1045</v>
      </c>
      <c r="D948" s="3">
        <v>90000</v>
      </c>
      <c r="E948">
        <v>5</v>
      </c>
      <c r="F948" s="6" t="s">
        <v>13</v>
      </c>
      <c r="G948" s="6" t="s">
        <v>28</v>
      </c>
      <c r="H948" s="6" t="s">
        <v>15</v>
      </c>
      <c r="I948">
        <v>2</v>
      </c>
      <c r="J948" t="s">
        <v>26</v>
      </c>
      <c r="K94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48" s="6" t="s">
        <v>32</v>
      </c>
      <c r="M948" s="7">
        <v>63</v>
      </c>
      <c r="N948" t="s">
        <v>15</v>
      </c>
      <c r="O948" s="9" t="str">
        <f>IF(Table1_1[[#This Row],[Purchased Bike]]="yes","1","0")</f>
        <v>1</v>
      </c>
      <c r="P948" s="4" t="str">
        <f>IF(Table1_1[[#This Row],[Income]]&lt;=30000,"Low ",IF(Table1_1[[#This Row],[Income]]&lt;=70000,"Middle","High"))</f>
        <v>High</v>
      </c>
      <c r="Q948" s="6" t="str">
        <f>IF(Table1_1[[#This Row],[Age]]&lt;30,"Young",IF(Table1_1[[#This Row],[Age]]&lt;50,"Middle aged","Senior citizen"))</f>
        <v>Senior citizen</v>
      </c>
      <c r="R948" s="7">
        <f>IF(Table1_1[[#This Row],[Marriedarital SingletatuSingle]]="M",Table1_1[[#This Row],[Children]]+2,Table1_1[[#This Row],[Children]]+1)</f>
        <v>6</v>
      </c>
      <c r="S948" s="4" t="str">
        <f>IF(Table1_1[[#This Row],[Cars]]=0,"No","Yes")</f>
        <v>Yes</v>
      </c>
      <c r="T948" s="6" t="str">
        <f>IF(AND(Table1_1[[#This Row],[Income]]&gt;50000,Table1_1[[#This Row],[Home Owner]]="Yes"),"High stability","Low stability")</f>
        <v>High stability</v>
      </c>
      <c r="U948" s="3">
        <f>Table1_1[[#This Row],[Income]]/Table1_1[[#This Row],[Family size]]</f>
        <v>15000</v>
      </c>
      <c r="V948" s="6" t="str">
        <f>IF(Table1_1[[#This Row],[Occupation]]="Skilled manual","Blue collar",IF(Table1_1[[#This Row],[Occupation]]="Manual","Blue collar","White collar"))</f>
        <v>White collar</v>
      </c>
    </row>
    <row r="949" spans="1:22" x14ac:dyDescent="0.3">
      <c r="A949" t="s">
        <v>983</v>
      </c>
      <c r="B949" s="6" t="s">
        <v>1044</v>
      </c>
      <c r="C949" s="6" t="s">
        <v>1045</v>
      </c>
      <c r="D949" s="3">
        <v>90000</v>
      </c>
      <c r="E949">
        <v>4</v>
      </c>
      <c r="F949" s="6" t="s">
        <v>27</v>
      </c>
      <c r="G949" s="6" t="s">
        <v>21</v>
      </c>
      <c r="H949" s="6" t="s">
        <v>18</v>
      </c>
      <c r="I949">
        <v>3</v>
      </c>
      <c r="J949" t="s">
        <v>26</v>
      </c>
      <c r="K94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49" s="6" t="s">
        <v>32</v>
      </c>
      <c r="M949" s="7">
        <v>45</v>
      </c>
      <c r="N949" t="s">
        <v>15</v>
      </c>
      <c r="O949" s="9" t="str">
        <f>IF(Table1_1[[#This Row],[Purchased Bike]]="yes","1","0")</f>
        <v>1</v>
      </c>
      <c r="P949" s="4" t="str">
        <f>IF(Table1_1[[#This Row],[Income]]&lt;=30000,"Low ",IF(Table1_1[[#This Row],[Income]]&lt;=70000,"Middle","High"))</f>
        <v>High</v>
      </c>
      <c r="Q949" s="6" t="str">
        <f>IF(Table1_1[[#This Row],[Age]]&lt;30,"Young",IF(Table1_1[[#This Row],[Age]]&lt;50,"Middle aged","Senior citizen"))</f>
        <v>Middle aged</v>
      </c>
      <c r="R949" s="7">
        <f>IF(Table1_1[[#This Row],[Marriedarital SingletatuSingle]]="M",Table1_1[[#This Row],[Children]]+2,Table1_1[[#This Row],[Children]]+1)</f>
        <v>5</v>
      </c>
      <c r="S949" s="4" t="str">
        <f>IF(Table1_1[[#This Row],[Cars]]=0,"No","Yes")</f>
        <v>Yes</v>
      </c>
      <c r="T949" s="6" t="str">
        <f>IF(AND(Table1_1[[#This Row],[Income]]&gt;50000,Table1_1[[#This Row],[Home Owner]]="Yes"),"High stability","Low stability")</f>
        <v>Low stability</v>
      </c>
      <c r="U949" s="3">
        <f>Table1_1[[#This Row],[Income]]/Table1_1[[#This Row],[Family size]]</f>
        <v>18000</v>
      </c>
      <c r="V949" s="6" t="str">
        <f>IF(Table1_1[[#This Row],[Occupation]]="Skilled manual","Blue collar",IF(Table1_1[[#This Row],[Occupation]]="Manual","Blue collar","White collar"))</f>
        <v>White collar</v>
      </c>
    </row>
    <row r="950" spans="1:22" x14ac:dyDescent="0.3">
      <c r="A950" t="s">
        <v>984</v>
      </c>
      <c r="B950" s="6" t="s">
        <v>1044</v>
      </c>
      <c r="C950" s="6" t="s">
        <v>1045</v>
      </c>
      <c r="D950" s="3">
        <v>60000</v>
      </c>
      <c r="E950">
        <v>0</v>
      </c>
      <c r="F950" s="6" t="s">
        <v>31</v>
      </c>
      <c r="G950" s="6" t="s">
        <v>14</v>
      </c>
      <c r="H950" s="6" t="s">
        <v>18</v>
      </c>
      <c r="I950">
        <v>0</v>
      </c>
      <c r="J950" t="s">
        <v>16</v>
      </c>
      <c r="K95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50" s="6" t="s">
        <v>32</v>
      </c>
      <c r="M950" s="7">
        <v>40</v>
      </c>
      <c r="N950" t="s">
        <v>18</v>
      </c>
      <c r="O950" s="9" t="str">
        <f>IF(Table1_1[[#This Row],[Purchased Bike]]="yes","1","0")</f>
        <v>0</v>
      </c>
      <c r="P950" s="4" t="str">
        <f>IF(Table1_1[[#This Row],[Income]]&lt;=30000,"Low ",IF(Table1_1[[#This Row],[Income]]&lt;=70000,"Middle","High"))</f>
        <v>Middle</v>
      </c>
      <c r="Q950" s="6" t="str">
        <f>IF(Table1_1[[#This Row],[Age]]&lt;30,"Young",IF(Table1_1[[#This Row],[Age]]&lt;50,"Middle aged","Senior citizen"))</f>
        <v>Middle aged</v>
      </c>
      <c r="R950" s="7">
        <f>IF(Table1_1[[#This Row],[Marriedarital SingletatuSingle]]="M",Table1_1[[#This Row],[Children]]+2,Table1_1[[#This Row],[Children]]+1)</f>
        <v>1</v>
      </c>
      <c r="S950" s="4" t="str">
        <f>IF(Table1_1[[#This Row],[Cars]]=0,"No","Yes")</f>
        <v>No</v>
      </c>
      <c r="T950" s="6" t="str">
        <f>IF(AND(Table1_1[[#This Row],[Income]]&gt;50000,Table1_1[[#This Row],[Home Owner]]="Yes"),"High stability","Low stability")</f>
        <v>Low stability</v>
      </c>
      <c r="U950" s="3">
        <f>Table1_1[[#This Row],[Income]]/Table1_1[[#This Row],[Family size]]</f>
        <v>60000</v>
      </c>
      <c r="V950" s="6" t="str">
        <f>IF(Table1_1[[#This Row],[Occupation]]="Skilled manual","Blue collar",IF(Table1_1[[#This Row],[Occupation]]="Manual","Blue collar","White collar"))</f>
        <v>Blue collar</v>
      </c>
    </row>
    <row r="951" spans="1:22" x14ac:dyDescent="0.3">
      <c r="A951" t="s">
        <v>985</v>
      </c>
      <c r="B951" s="6" t="s">
        <v>1042</v>
      </c>
      <c r="C951" s="6" t="s">
        <v>1046</v>
      </c>
      <c r="D951" s="3">
        <v>70000</v>
      </c>
      <c r="E951">
        <v>2</v>
      </c>
      <c r="F951" s="6" t="s">
        <v>29</v>
      </c>
      <c r="G951" s="6" t="s">
        <v>14</v>
      </c>
      <c r="H951" s="6" t="s">
        <v>15</v>
      </c>
      <c r="I951">
        <v>2</v>
      </c>
      <c r="J951" t="s">
        <v>30</v>
      </c>
      <c r="K95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51" s="6" t="s">
        <v>32</v>
      </c>
      <c r="M951" s="7">
        <v>53</v>
      </c>
      <c r="N951" t="s">
        <v>18</v>
      </c>
      <c r="O951" s="9" t="str">
        <f>IF(Table1_1[[#This Row],[Purchased Bike]]="yes","1","0")</f>
        <v>0</v>
      </c>
      <c r="P951" s="4" t="str">
        <f>IF(Table1_1[[#This Row],[Income]]&lt;=30000,"Low ",IF(Table1_1[[#This Row],[Income]]&lt;=70000,"Middle","High"))</f>
        <v>Middle</v>
      </c>
      <c r="Q951" s="6" t="str">
        <f>IF(Table1_1[[#This Row],[Age]]&lt;30,"Young",IF(Table1_1[[#This Row],[Age]]&lt;50,"Middle aged","Senior citizen"))</f>
        <v>Senior citizen</v>
      </c>
      <c r="R951" s="7">
        <f>IF(Table1_1[[#This Row],[Marriedarital SingletatuSingle]]="M",Table1_1[[#This Row],[Children]]+2,Table1_1[[#This Row],[Children]]+1)</f>
        <v>3</v>
      </c>
      <c r="S951" s="4" t="str">
        <f>IF(Table1_1[[#This Row],[Cars]]=0,"No","Yes")</f>
        <v>Yes</v>
      </c>
      <c r="T951" s="6" t="str">
        <f>IF(AND(Table1_1[[#This Row],[Income]]&gt;50000,Table1_1[[#This Row],[Home Owner]]="Yes"),"High stability","Low stability")</f>
        <v>High stability</v>
      </c>
      <c r="U951" s="3">
        <f>Table1_1[[#This Row],[Income]]/Table1_1[[#This Row],[Family size]]</f>
        <v>23333.333333333332</v>
      </c>
      <c r="V951" s="6" t="str">
        <f>IF(Table1_1[[#This Row],[Occupation]]="Skilled manual","Blue collar",IF(Table1_1[[#This Row],[Occupation]]="Manual","Blue collar","White collar"))</f>
        <v>Blue collar</v>
      </c>
    </row>
    <row r="952" spans="1:22" x14ac:dyDescent="0.3">
      <c r="A952" t="s">
        <v>986</v>
      </c>
      <c r="B952" s="6" t="s">
        <v>1044</v>
      </c>
      <c r="C952" s="6" t="s">
        <v>1045</v>
      </c>
      <c r="D952" s="3">
        <v>70000</v>
      </c>
      <c r="E952">
        <v>1</v>
      </c>
      <c r="F952" s="6" t="s">
        <v>31</v>
      </c>
      <c r="G952" s="6" t="s">
        <v>21</v>
      </c>
      <c r="H952" s="6" t="s">
        <v>15</v>
      </c>
      <c r="I952">
        <v>0</v>
      </c>
      <c r="J952" t="s">
        <v>22</v>
      </c>
      <c r="K95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52" s="6" t="s">
        <v>32</v>
      </c>
      <c r="M952" s="7">
        <v>34</v>
      </c>
      <c r="N952" t="s">
        <v>18</v>
      </c>
      <c r="O952" s="9" t="str">
        <f>IF(Table1_1[[#This Row],[Purchased Bike]]="yes","1","0")</f>
        <v>0</v>
      </c>
      <c r="P952" s="4" t="str">
        <f>IF(Table1_1[[#This Row],[Income]]&lt;=30000,"Low ",IF(Table1_1[[#This Row],[Income]]&lt;=70000,"Middle","High"))</f>
        <v>Middle</v>
      </c>
      <c r="Q952" s="6" t="str">
        <f>IF(Table1_1[[#This Row],[Age]]&lt;30,"Young",IF(Table1_1[[#This Row],[Age]]&lt;50,"Middle aged","Senior citizen"))</f>
        <v>Middle aged</v>
      </c>
      <c r="R952" s="7">
        <f>IF(Table1_1[[#This Row],[Marriedarital SingletatuSingle]]="M",Table1_1[[#This Row],[Children]]+2,Table1_1[[#This Row],[Children]]+1)</f>
        <v>2</v>
      </c>
      <c r="S952" s="4" t="str">
        <f>IF(Table1_1[[#This Row],[Cars]]=0,"No","Yes")</f>
        <v>No</v>
      </c>
      <c r="T952" s="6" t="str">
        <f>IF(AND(Table1_1[[#This Row],[Income]]&gt;50000,Table1_1[[#This Row],[Home Owner]]="Yes"),"High stability","Low stability")</f>
        <v>High stability</v>
      </c>
      <c r="U952" s="3">
        <f>Table1_1[[#This Row],[Income]]/Table1_1[[#This Row],[Family size]]</f>
        <v>35000</v>
      </c>
      <c r="V952" s="6" t="str">
        <f>IF(Table1_1[[#This Row],[Occupation]]="Skilled manual","Blue collar",IF(Table1_1[[#This Row],[Occupation]]="Manual","Blue collar","White collar"))</f>
        <v>White collar</v>
      </c>
    </row>
    <row r="953" spans="1:22" x14ac:dyDescent="0.3">
      <c r="A953" t="s">
        <v>987</v>
      </c>
      <c r="B953" s="6" t="s">
        <v>1042</v>
      </c>
      <c r="C953" s="6" t="s">
        <v>1046</v>
      </c>
      <c r="D953" s="3">
        <v>70000</v>
      </c>
      <c r="E953">
        <v>0</v>
      </c>
      <c r="F953" s="6" t="s">
        <v>13</v>
      </c>
      <c r="G953" s="6" t="s">
        <v>21</v>
      </c>
      <c r="H953" s="6" t="s">
        <v>18</v>
      </c>
      <c r="I953">
        <v>1</v>
      </c>
      <c r="J953" t="s">
        <v>16</v>
      </c>
      <c r="K95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53" s="6" t="s">
        <v>32</v>
      </c>
      <c r="M953" s="7">
        <v>38</v>
      </c>
      <c r="N953" t="s">
        <v>18</v>
      </c>
      <c r="O953" s="9" t="str">
        <f>IF(Table1_1[[#This Row],[Purchased Bike]]="yes","1","0")</f>
        <v>0</v>
      </c>
      <c r="P953" s="4" t="str">
        <f>IF(Table1_1[[#This Row],[Income]]&lt;=30000,"Low ",IF(Table1_1[[#This Row],[Income]]&lt;=70000,"Middle","High"))</f>
        <v>Middle</v>
      </c>
      <c r="Q953" s="6" t="str">
        <f>IF(Table1_1[[#This Row],[Age]]&lt;30,"Young",IF(Table1_1[[#This Row],[Age]]&lt;50,"Middle aged","Senior citizen"))</f>
        <v>Middle aged</v>
      </c>
      <c r="R953" s="7">
        <f>IF(Table1_1[[#This Row],[Marriedarital SingletatuSingle]]="M",Table1_1[[#This Row],[Children]]+2,Table1_1[[#This Row],[Children]]+1)</f>
        <v>1</v>
      </c>
      <c r="S953" s="4" t="str">
        <f>IF(Table1_1[[#This Row],[Cars]]=0,"No","Yes")</f>
        <v>Yes</v>
      </c>
      <c r="T953" s="6" t="str">
        <f>IF(AND(Table1_1[[#This Row],[Income]]&gt;50000,Table1_1[[#This Row],[Home Owner]]="Yes"),"High stability","Low stability")</f>
        <v>Low stability</v>
      </c>
      <c r="U953" s="3">
        <f>Table1_1[[#This Row],[Income]]/Table1_1[[#This Row],[Family size]]</f>
        <v>70000</v>
      </c>
      <c r="V953" s="6" t="str">
        <f>IF(Table1_1[[#This Row],[Occupation]]="Skilled manual","Blue collar",IF(Table1_1[[#This Row],[Occupation]]="Manual","Blue collar","White collar"))</f>
        <v>White collar</v>
      </c>
    </row>
    <row r="954" spans="1:22" x14ac:dyDescent="0.3">
      <c r="A954" t="s">
        <v>988</v>
      </c>
      <c r="B954" s="6" t="s">
        <v>1042</v>
      </c>
      <c r="C954" s="6" t="s">
        <v>1045</v>
      </c>
      <c r="D954" s="3">
        <v>70000</v>
      </c>
      <c r="E954">
        <v>4</v>
      </c>
      <c r="F954" s="6" t="s">
        <v>13</v>
      </c>
      <c r="G954" s="6" t="s">
        <v>28</v>
      </c>
      <c r="H954" s="6" t="s">
        <v>18</v>
      </c>
      <c r="I954">
        <v>1</v>
      </c>
      <c r="J954" t="s">
        <v>26</v>
      </c>
      <c r="K95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54" s="6" t="s">
        <v>32</v>
      </c>
      <c r="M954" s="7">
        <v>59</v>
      </c>
      <c r="N954" t="s">
        <v>18</v>
      </c>
      <c r="O954" s="9" t="str">
        <f>IF(Table1_1[[#This Row],[Purchased Bike]]="yes","1","0")</f>
        <v>0</v>
      </c>
      <c r="P954" s="4" t="str">
        <f>IF(Table1_1[[#This Row],[Income]]&lt;=30000,"Low ",IF(Table1_1[[#This Row],[Income]]&lt;=70000,"Middle","High"))</f>
        <v>Middle</v>
      </c>
      <c r="Q954" s="6" t="str">
        <f>IF(Table1_1[[#This Row],[Age]]&lt;30,"Young",IF(Table1_1[[#This Row],[Age]]&lt;50,"Middle aged","Senior citizen"))</f>
        <v>Senior citizen</v>
      </c>
      <c r="R954" s="7">
        <f>IF(Table1_1[[#This Row],[Marriedarital SingletatuSingle]]="M",Table1_1[[#This Row],[Children]]+2,Table1_1[[#This Row],[Children]]+1)</f>
        <v>5</v>
      </c>
      <c r="S954" s="4" t="str">
        <f>IF(Table1_1[[#This Row],[Cars]]=0,"No","Yes")</f>
        <v>Yes</v>
      </c>
      <c r="T954" s="6" t="str">
        <f>IF(AND(Table1_1[[#This Row],[Income]]&gt;50000,Table1_1[[#This Row],[Home Owner]]="Yes"),"High stability","Low stability")</f>
        <v>Low stability</v>
      </c>
      <c r="U954" s="3">
        <f>Table1_1[[#This Row],[Income]]/Table1_1[[#This Row],[Family size]]</f>
        <v>14000</v>
      </c>
      <c r="V954" s="6" t="str">
        <f>IF(Table1_1[[#This Row],[Occupation]]="Skilled manual","Blue collar",IF(Table1_1[[#This Row],[Occupation]]="Manual","Blue collar","White collar"))</f>
        <v>White collar</v>
      </c>
    </row>
    <row r="955" spans="1:22" x14ac:dyDescent="0.3">
      <c r="A955" t="s">
        <v>989</v>
      </c>
      <c r="B955" s="6" t="s">
        <v>1044</v>
      </c>
      <c r="C955" s="6" t="s">
        <v>1045</v>
      </c>
      <c r="D955" s="3">
        <v>40000</v>
      </c>
      <c r="E955">
        <v>3</v>
      </c>
      <c r="F955" s="6" t="s">
        <v>19</v>
      </c>
      <c r="G955" s="6" t="s">
        <v>20</v>
      </c>
      <c r="H955" s="6" t="s">
        <v>15</v>
      </c>
      <c r="I955">
        <v>1</v>
      </c>
      <c r="J955" t="s">
        <v>26</v>
      </c>
      <c r="K95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55" s="6" t="s">
        <v>32</v>
      </c>
      <c r="M955" s="7">
        <v>30</v>
      </c>
      <c r="N955" t="s">
        <v>15</v>
      </c>
      <c r="O955" s="9" t="str">
        <f>IF(Table1_1[[#This Row],[Purchased Bike]]="yes","1","0")</f>
        <v>1</v>
      </c>
      <c r="P955" s="4" t="str">
        <f>IF(Table1_1[[#This Row],[Income]]&lt;=30000,"Low ",IF(Table1_1[[#This Row],[Income]]&lt;=70000,"Middle","High"))</f>
        <v>Middle</v>
      </c>
      <c r="Q955" s="6" t="str">
        <f>IF(Table1_1[[#This Row],[Age]]&lt;30,"Young",IF(Table1_1[[#This Row],[Age]]&lt;50,"Middle aged","Senior citizen"))</f>
        <v>Middle aged</v>
      </c>
      <c r="R955" s="7">
        <f>IF(Table1_1[[#This Row],[Marriedarital SingletatuSingle]]="M",Table1_1[[#This Row],[Children]]+2,Table1_1[[#This Row],[Children]]+1)</f>
        <v>4</v>
      </c>
      <c r="S955" s="4" t="str">
        <f>IF(Table1_1[[#This Row],[Cars]]=0,"No","Yes")</f>
        <v>Yes</v>
      </c>
      <c r="T955" s="6" t="str">
        <f>IF(AND(Table1_1[[#This Row],[Income]]&gt;50000,Table1_1[[#This Row],[Home Owner]]="Yes"),"High stability","Low stability")</f>
        <v>Low stability</v>
      </c>
      <c r="U955" s="3">
        <f>Table1_1[[#This Row],[Income]]/Table1_1[[#This Row],[Family size]]</f>
        <v>10000</v>
      </c>
      <c r="V955" s="6" t="str">
        <f>IF(Table1_1[[#This Row],[Occupation]]="Skilled manual","Blue collar",IF(Table1_1[[#This Row],[Occupation]]="Manual","Blue collar","White collar"))</f>
        <v>White collar</v>
      </c>
    </row>
    <row r="956" spans="1:22" x14ac:dyDescent="0.3">
      <c r="A956" t="s">
        <v>990</v>
      </c>
      <c r="B956" s="6" t="s">
        <v>1042</v>
      </c>
      <c r="C956" s="6" t="s">
        <v>1046</v>
      </c>
      <c r="D956" s="3">
        <v>60000</v>
      </c>
      <c r="E956">
        <v>1</v>
      </c>
      <c r="F956" s="6" t="s">
        <v>13</v>
      </c>
      <c r="G956" s="6" t="s">
        <v>21</v>
      </c>
      <c r="H956" s="6" t="s">
        <v>15</v>
      </c>
      <c r="I956">
        <v>1</v>
      </c>
      <c r="J956" t="s">
        <v>16</v>
      </c>
      <c r="K95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56" s="6" t="s">
        <v>32</v>
      </c>
      <c r="M956" s="7">
        <v>48</v>
      </c>
      <c r="N956" t="s">
        <v>15</v>
      </c>
      <c r="O956" s="9" t="str">
        <f>IF(Table1_1[[#This Row],[Purchased Bike]]="yes","1","0")</f>
        <v>1</v>
      </c>
      <c r="P956" s="4" t="str">
        <f>IF(Table1_1[[#This Row],[Income]]&lt;=30000,"Low ",IF(Table1_1[[#This Row],[Income]]&lt;=70000,"Middle","High"))</f>
        <v>Middle</v>
      </c>
      <c r="Q956" s="6" t="str">
        <f>IF(Table1_1[[#This Row],[Age]]&lt;30,"Young",IF(Table1_1[[#This Row],[Age]]&lt;50,"Middle aged","Senior citizen"))</f>
        <v>Middle aged</v>
      </c>
      <c r="R956" s="7">
        <f>IF(Table1_1[[#This Row],[Marriedarital SingletatuSingle]]="M",Table1_1[[#This Row],[Children]]+2,Table1_1[[#This Row],[Children]]+1)</f>
        <v>2</v>
      </c>
      <c r="S956" s="4" t="str">
        <f>IF(Table1_1[[#This Row],[Cars]]=0,"No","Yes")</f>
        <v>Yes</v>
      </c>
      <c r="T956" s="6" t="str">
        <f>IF(AND(Table1_1[[#This Row],[Income]]&gt;50000,Table1_1[[#This Row],[Home Owner]]="Yes"),"High stability","Low stability")</f>
        <v>High stability</v>
      </c>
      <c r="U956" s="3">
        <f>Table1_1[[#This Row],[Income]]/Table1_1[[#This Row],[Family size]]</f>
        <v>30000</v>
      </c>
      <c r="V956" s="6" t="str">
        <f>IF(Table1_1[[#This Row],[Occupation]]="Skilled manual","Blue collar",IF(Table1_1[[#This Row],[Occupation]]="Manual","Blue collar","White collar"))</f>
        <v>White collar</v>
      </c>
    </row>
    <row r="957" spans="1:22" x14ac:dyDescent="0.3">
      <c r="A957" t="s">
        <v>991</v>
      </c>
      <c r="B957" s="6" t="s">
        <v>1042</v>
      </c>
      <c r="C957" s="6" t="s">
        <v>1045</v>
      </c>
      <c r="D957" s="3">
        <v>40000</v>
      </c>
      <c r="E957">
        <v>4</v>
      </c>
      <c r="F957" s="6" t="s">
        <v>27</v>
      </c>
      <c r="G957" s="6" t="s">
        <v>14</v>
      </c>
      <c r="H957" s="6" t="s">
        <v>15</v>
      </c>
      <c r="I957">
        <v>2</v>
      </c>
      <c r="J957" t="s">
        <v>22</v>
      </c>
      <c r="K95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57" s="6" t="s">
        <v>32</v>
      </c>
      <c r="M957" s="7">
        <v>43</v>
      </c>
      <c r="N957" t="s">
        <v>18</v>
      </c>
      <c r="O957" s="9" t="str">
        <f>IF(Table1_1[[#This Row],[Purchased Bike]]="yes","1","0")</f>
        <v>0</v>
      </c>
      <c r="P957" s="4" t="str">
        <f>IF(Table1_1[[#This Row],[Income]]&lt;=30000,"Low ",IF(Table1_1[[#This Row],[Income]]&lt;=70000,"Middle","High"))</f>
        <v>Middle</v>
      </c>
      <c r="Q957" s="6" t="str">
        <f>IF(Table1_1[[#This Row],[Age]]&lt;30,"Young",IF(Table1_1[[#This Row],[Age]]&lt;50,"Middle aged","Senior citizen"))</f>
        <v>Middle aged</v>
      </c>
      <c r="R957" s="7">
        <f>IF(Table1_1[[#This Row],[Marriedarital SingletatuSingle]]="M",Table1_1[[#This Row],[Children]]+2,Table1_1[[#This Row],[Children]]+1)</f>
        <v>5</v>
      </c>
      <c r="S957" s="4" t="str">
        <f>IF(Table1_1[[#This Row],[Cars]]=0,"No","Yes")</f>
        <v>Yes</v>
      </c>
      <c r="T957" s="6" t="str">
        <f>IF(AND(Table1_1[[#This Row],[Income]]&gt;50000,Table1_1[[#This Row],[Home Owner]]="Yes"),"High stability","Low stability")</f>
        <v>Low stability</v>
      </c>
      <c r="U957" s="3">
        <f>Table1_1[[#This Row],[Income]]/Table1_1[[#This Row],[Family size]]</f>
        <v>8000</v>
      </c>
      <c r="V957" s="6" t="str">
        <f>IF(Table1_1[[#This Row],[Occupation]]="Skilled manual","Blue collar",IF(Table1_1[[#This Row],[Occupation]]="Manual","Blue collar","White collar"))</f>
        <v>Blue collar</v>
      </c>
    </row>
    <row r="958" spans="1:22" x14ac:dyDescent="0.3">
      <c r="A958" t="s">
        <v>992</v>
      </c>
      <c r="B958" s="6" t="s">
        <v>1042</v>
      </c>
      <c r="C958" s="6" t="s">
        <v>1045</v>
      </c>
      <c r="D958" s="3">
        <v>70000</v>
      </c>
      <c r="E958">
        <v>4</v>
      </c>
      <c r="F958" s="6" t="s">
        <v>31</v>
      </c>
      <c r="G958" s="6" t="s">
        <v>21</v>
      </c>
      <c r="H958" s="6" t="s">
        <v>15</v>
      </c>
      <c r="I958">
        <v>0</v>
      </c>
      <c r="J958" t="s">
        <v>22</v>
      </c>
      <c r="K95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58" s="6" t="s">
        <v>32</v>
      </c>
      <c r="M958" s="7">
        <v>35</v>
      </c>
      <c r="N958" t="s">
        <v>15</v>
      </c>
      <c r="O958" s="9" t="str">
        <f>IF(Table1_1[[#This Row],[Purchased Bike]]="yes","1","0")</f>
        <v>1</v>
      </c>
      <c r="P958" s="4" t="str">
        <f>IF(Table1_1[[#This Row],[Income]]&lt;=30000,"Low ",IF(Table1_1[[#This Row],[Income]]&lt;=70000,"Middle","High"))</f>
        <v>Middle</v>
      </c>
      <c r="Q958" s="6" t="str">
        <f>IF(Table1_1[[#This Row],[Age]]&lt;30,"Young",IF(Table1_1[[#This Row],[Age]]&lt;50,"Middle aged","Senior citizen"))</f>
        <v>Middle aged</v>
      </c>
      <c r="R958" s="7">
        <f>IF(Table1_1[[#This Row],[Marriedarital SingletatuSingle]]="M",Table1_1[[#This Row],[Children]]+2,Table1_1[[#This Row],[Children]]+1)</f>
        <v>5</v>
      </c>
      <c r="S958" s="4" t="str">
        <f>IF(Table1_1[[#This Row],[Cars]]=0,"No","Yes")</f>
        <v>No</v>
      </c>
      <c r="T958" s="6" t="str">
        <f>IF(AND(Table1_1[[#This Row],[Income]]&gt;50000,Table1_1[[#This Row],[Home Owner]]="Yes"),"High stability","Low stability")</f>
        <v>High stability</v>
      </c>
      <c r="U958" s="3">
        <f>Table1_1[[#This Row],[Income]]/Table1_1[[#This Row],[Family size]]</f>
        <v>14000</v>
      </c>
      <c r="V958" s="6" t="str">
        <f>IF(Table1_1[[#This Row],[Occupation]]="Skilled manual","Blue collar",IF(Table1_1[[#This Row],[Occupation]]="Manual","Blue collar","White collar"))</f>
        <v>White collar</v>
      </c>
    </row>
    <row r="959" spans="1:22" x14ac:dyDescent="0.3">
      <c r="A959" t="s">
        <v>993</v>
      </c>
      <c r="B959" s="6" t="s">
        <v>1042</v>
      </c>
      <c r="C959" s="6" t="s">
        <v>1045</v>
      </c>
      <c r="D959" s="3">
        <v>60000</v>
      </c>
      <c r="E959">
        <v>0</v>
      </c>
      <c r="F959" s="6" t="s">
        <v>19</v>
      </c>
      <c r="G959" s="6" t="s">
        <v>21</v>
      </c>
      <c r="H959" s="6" t="s">
        <v>15</v>
      </c>
      <c r="I959">
        <v>2</v>
      </c>
      <c r="J959" t="s">
        <v>23</v>
      </c>
      <c r="K95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59" s="6" t="s">
        <v>32</v>
      </c>
      <c r="M959" s="7">
        <v>30</v>
      </c>
      <c r="N959" t="s">
        <v>18</v>
      </c>
      <c r="O959" s="9" t="str">
        <f>IF(Table1_1[[#This Row],[Purchased Bike]]="yes","1","0")</f>
        <v>0</v>
      </c>
      <c r="P959" s="4" t="str">
        <f>IF(Table1_1[[#This Row],[Income]]&lt;=30000,"Low ",IF(Table1_1[[#This Row],[Income]]&lt;=70000,"Middle","High"))</f>
        <v>Middle</v>
      </c>
      <c r="Q959" s="6" t="str">
        <f>IF(Table1_1[[#This Row],[Age]]&lt;30,"Young",IF(Table1_1[[#This Row],[Age]]&lt;50,"Middle aged","Senior citizen"))</f>
        <v>Middle aged</v>
      </c>
      <c r="R959" s="7">
        <f>IF(Table1_1[[#This Row],[Marriedarital SingletatuSingle]]="M",Table1_1[[#This Row],[Children]]+2,Table1_1[[#This Row],[Children]]+1)</f>
        <v>1</v>
      </c>
      <c r="S959" s="4" t="str">
        <f>IF(Table1_1[[#This Row],[Cars]]=0,"No","Yes")</f>
        <v>Yes</v>
      </c>
      <c r="T959" s="6" t="str">
        <f>IF(AND(Table1_1[[#This Row],[Income]]&gt;50000,Table1_1[[#This Row],[Home Owner]]="Yes"),"High stability","Low stability")</f>
        <v>High stability</v>
      </c>
      <c r="U959" s="3">
        <f>Table1_1[[#This Row],[Income]]/Table1_1[[#This Row],[Family size]]</f>
        <v>60000</v>
      </c>
      <c r="V959" s="6" t="str">
        <f>IF(Table1_1[[#This Row],[Occupation]]="Skilled manual","Blue collar",IF(Table1_1[[#This Row],[Occupation]]="Manual","Blue collar","White collar"))</f>
        <v>White collar</v>
      </c>
    </row>
    <row r="960" spans="1:22" x14ac:dyDescent="0.3">
      <c r="A960" t="s">
        <v>994</v>
      </c>
      <c r="B960" s="6" t="s">
        <v>1042</v>
      </c>
      <c r="C960" s="6" t="s">
        <v>1046</v>
      </c>
      <c r="D960" s="3">
        <v>90000</v>
      </c>
      <c r="E960">
        <v>5</v>
      </c>
      <c r="F960" s="6" t="s">
        <v>31</v>
      </c>
      <c r="G960" s="6" t="s">
        <v>21</v>
      </c>
      <c r="H960" s="6" t="s">
        <v>15</v>
      </c>
      <c r="I960">
        <v>0</v>
      </c>
      <c r="J960" t="s">
        <v>16</v>
      </c>
      <c r="K96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60" s="6" t="s">
        <v>32</v>
      </c>
      <c r="M960" s="7">
        <v>47</v>
      </c>
      <c r="N960" t="s">
        <v>15</v>
      </c>
      <c r="O960" s="9" t="str">
        <f>IF(Table1_1[[#This Row],[Purchased Bike]]="yes","1","0")</f>
        <v>1</v>
      </c>
      <c r="P960" s="4" t="str">
        <f>IF(Table1_1[[#This Row],[Income]]&lt;=30000,"Low ",IF(Table1_1[[#This Row],[Income]]&lt;=70000,"Middle","High"))</f>
        <v>High</v>
      </c>
      <c r="Q960" s="6" t="str">
        <f>IF(Table1_1[[#This Row],[Age]]&lt;30,"Young",IF(Table1_1[[#This Row],[Age]]&lt;50,"Middle aged","Senior citizen"))</f>
        <v>Middle aged</v>
      </c>
      <c r="R960" s="7">
        <f>IF(Table1_1[[#This Row],[Marriedarital SingletatuSingle]]="M",Table1_1[[#This Row],[Children]]+2,Table1_1[[#This Row],[Children]]+1)</f>
        <v>6</v>
      </c>
      <c r="S960" s="4" t="str">
        <f>IF(Table1_1[[#This Row],[Cars]]=0,"No","Yes")</f>
        <v>No</v>
      </c>
      <c r="T960" s="6" t="str">
        <f>IF(AND(Table1_1[[#This Row],[Income]]&gt;50000,Table1_1[[#This Row],[Home Owner]]="Yes"),"High stability","Low stability")</f>
        <v>High stability</v>
      </c>
      <c r="U960" s="3">
        <f>Table1_1[[#This Row],[Income]]/Table1_1[[#This Row],[Family size]]</f>
        <v>15000</v>
      </c>
      <c r="V960" s="6" t="str">
        <f>IF(Table1_1[[#This Row],[Occupation]]="Skilled manual","Blue collar",IF(Table1_1[[#This Row],[Occupation]]="Manual","Blue collar","White collar"))</f>
        <v>White collar</v>
      </c>
    </row>
    <row r="961" spans="1:22" x14ac:dyDescent="0.3">
      <c r="A961" t="s">
        <v>995</v>
      </c>
      <c r="B961" s="6" t="s">
        <v>1042</v>
      </c>
      <c r="C961" s="6" t="s">
        <v>1046</v>
      </c>
      <c r="D961" s="3">
        <v>60000</v>
      </c>
      <c r="E961">
        <v>1</v>
      </c>
      <c r="F961" s="6" t="s">
        <v>19</v>
      </c>
      <c r="G961" s="6" t="s">
        <v>14</v>
      </c>
      <c r="H961" s="6" t="s">
        <v>15</v>
      </c>
      <c r="I961">
        <v>1</v>
      </c>
      <c r="J961" t="s">
        <v>22</v>
      </c>
      <c r="K96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61" s="6" t="s">
        <v>32</v>
      </c>
      <c r="M961" s="7">
        <v>45</v>
      </c>
      <c r="N961" t="s">
        <v>15</v>
      </c>
      <c r="O961" s="9" t="str">
        <f>IF(Table1_1[[#This Row],[Purchased Bike]]="yes","1","0")</f>
        <v>1</v>
      </c>
      <c r="P961" s="4" t="str">
        <f>IF(Table1_1[[#This Row],[Income]]&lt;=30000,"Low ",IF(Table1_1[[#This Row],[Income]]&lt;=70000,"Middle","High"))</f>
        <v>Middle</v>
      </c>
      <c r="Q961" s="6" t="str">
        <f>IF(Table1_1[[#This Row],[Age]]&lt;30,"Young",IF(Table1_1[[#This Row],[Age]]&lt;50,"Middle aged","Senior citizen"))</f>
        <v>Middle aged</v>
      </c>
      <c r="R961" s="7">
        <f>IF(Table1_1[[#This Row],[Marriedarital SingletatuSingle]]="M",Table1_1[[#This Row],[Children]]+2,Table1_1[[#This Row],[Children]]+1)</f>
        <v>2</v>
      </c>
      <c r="S961" s="4" t="str">
        <f>IF(Table1_1[[#This Row],[Cars]]=0,"No","Yes")</f>
        <v>Yes</v>
      </c>
      <c r="T961" s="6" t="str">
        <f>IF(AND(Table1_1[[#This Row],[Income]]&gt;50000,Table1_1[[#This Row],[Home Owner]]="Yes"),"High stability","Low stability")</f>
        <v>High stability</v>
      </c>
      <c r="U961" s="3">
        <f>Table1_1[[#This Row],[Income]]/Table1_1[[#This Row],[Family size]]</f>
        <v>30000</v>
      </c>
      <c r="V961" s="6" t="str">
        <f>IF(Table1_1[[#This Row],[Occupation]]="Skilled manual","Blue collar",IF(Table1_1[[#This Row],[Occupation]]="Manual","Blue collar","White collar"))</f>
        <v>Blue collar</v>
      </c>
    </row>
    <row r="962" spans="1:22" x14ac:dyDescent="0.3">
      <c r="A962" t="s">
        <v>996</v>
      </c>
      <c r="B962" s="6" t="s">
        <v>1044</v>
      </c>
      <c r="C962" s="6" t="s">
        <v>1046</v>
      </c>
      <c r="D962" s="3">
        <v>100000</v>
      </c>
      <c r="E962">
        <v>0</v>
      </c>
      <c r="F962" s="6" t="s">
        <v>19</v>
      </c>
      <c r="G962" s="6" t="s">
        <v>21</v>
      </c>
      <c r="H962" s="6" t="s">
        <v>18</v>
      </c>
      <c r="I962">
        <v>4</v>
      </c>
      <c r="J962" t="s">
        <v>26</v>
      </c>
      <c r="K96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62" s="6" t="s">
        <v>32</v>
      </c>
      <c r="M962" s="7">
        <v>45</v>
      </c>
      <c r="N962" t="s">
        <v>18</v>
      </c>
      <c r="O962" s="9" t="str">
        <f>IF(Table1_1[[#This Row],[Purchased Bike]]="yes","1","0")</f>
        <v>0</v>
      </c>
      <c r="P962" s="4" t="str">
        <f>IF(Table1_1[[#This Row],[Income]]&lt;=30000,"Low ",IF(Table1_1[[#This Row],[Income]]&lt;=70000,"Middle","High"))</f>
        <v>High</v>
      </c>
      <c r="Q962" s="6" t="str">
        <f>IF(Table1_1[[#This Row],[Age]]&lt;30,"Young",IF(Table1_1[[#This Row],[Age]]&lt;50,"Middle aged","Senior citizen"))</f>
        <v>Middle aged</v>
      </c>
      <c r="R962" s="7">
        <f>IF(Table1_1[[#This Row],[Marriedarital SingletatuSingle]]="M",Table1_1[[#This Row],[Children]]+2,Table1_1[[#This Row],[Children]]+1)</f>
        <v>1</v>
      </c>
      <c r="S962" s="4" t="str">
        <f>IF(Table1_1[[#This Row],[Cars]]=0,"No","Yes")</f>
        <v>Yes</v>
      </c>
      <c r="T962" s="6" t="str">
        <f>IF(AND(Table1_1[[#This Row],[Income]]&gt;50000,Table1_1[[#This Row],[Home Owner]]="Yes"),"High stability","Low stability")</f>
        <v>Low stability</v>
      </c>
      <c r="U962" s="3">
        <f>Table1_1[[#This Row],[Income]]/Table1_1[[#This Row],[Family size]]</f>
        <v>100000</v>
      </c>
      <c r="V962" s="6" t="str">
        <f>IF(Table1_1[[#This Row],[Occupation]]="Skilled manual","Blue collar",IF(Table1_1[[#This Row],[Occupation]]="Manual","Blue collar","White collar"))</f>
        <v>White collar</v>
      </c>
    </row>
    <row r="963" spans="1:22" x14ac:dyDescent="0.3">
      <c r="A963" t="s">
        <v>997</v>
      </c>
      <c r="B963" s="6" t="s">
        <v>1042</v>
      </c>
      <c r="C963" s="6" t="s">
        <v>1045</v>
      </c>
      <c r="D963" s="3">
        <v>120000</v>
      </c>
      <c r="E963">
        <v>2</v>
      </c>
      <c r="F963" s="6" t="s">
        <v>13</v>
      </c>
      <c r="G963" s="6" t="s">
        <v>28</v>
      </c>
      <c r="H963" s="6" t="s">
        <v>15</v>
      </c>
      <c r="I963">
        <v>3</v>
      </c>
      <c r="J963" t="s">
        <v>23</v>
      </c>
      <c r="K96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63" s="6" t="s">
        <v>32</v>
      </c>
      <c r="M963" s="7">
        <v>62</v>
      </c>
      <c r="N963" t="s">
        <v>18</v>
      </c>
      <c r="O963" s="9" t="str">
        <f>IF(Table1_1[[#This Row],[Purchased Bike]]="yes","1","0")</f>
        <v>0</v>
      </c>
      <c r="P963" s="4" t="str">
        <f>IF(Table1_1[[#This Row],[Income]]&lt;=30000,"Low ",IF(Table1_1[[#This Row],[Income]]&lt;=70000,"Middle","High"))</f>
        <v>High</v>
      </c>
      <c r="Q963" s="6" t="str">
        <f>IF(Table1_1[[#This Row],[Age]]&lt;30,"Young",IF(Table1_1[[#This Row],[Age]]&lt;50,"Middle aged","Senior citizen"))</f>
        <v>Senior citizen</v>
      </c>
      <c r="R963" s="7">
        <f>IF(Table1_1[[#This Row],[Marriedarital SingletatuSingle]]="M",Table1_1[[#This Row],[Children]]+2,Table1_1[[#This Row],[Children]]+1)</f>
        <v>3</v>
      </c>
      <c r="S963" s="4" t="str">
        <f>IF(Table1_1[[#This Row],[Cars]]=0,"No","Yes")</f>
        <v>Yes</v>
      </c>
      <c r="T963" s="6" t="str">
        <f>IF(AND(Table1_1[[#This Row],[Income]]&gt;50000,Table1_1[[#This Row],[Home Owner]]="Yes"),"High stability","Low stability")</f>
        <v>High stability</v>
      </c>
      <c r="U963" s="3">
        <f>Table1_1[[#This Row],[Income]]/Table1_1[[#This Row],[Family size]]</f>
        <v>40000</v>
      </c>
      <c r="V963" s="6" t="str">
        <f>IF(Table1_1[[#This Row],[Occupation]]="Skilled manual","Blue collar",IF(Table1_1[[#This Row],[Occupation]]="Manual","Blue collar","White collar"))</f>
        <v>White collar</v>
      </c>
    </row>
    <row r="964" spans="1:22" x14ac:dyDescent="0.3">
      <c r="A964" t="s">
        <v>998</v>
      </c>
      <c r="B964" s="6" t="s">
        <v>1042</v>
      </c>
      <c r="C964" s="6" t="s">
        <v>1046</v>
      </c>
      <c r="D964" s="3">
        <v>60000</v>
      </c>
      <c r="E964">
        <v>2</v>
      </c>
      <c r="F964" s="6" t="s">
        <v>19</v>
      </c>
      <c r="G964" s="6" t="s">
        <v>21</v>
      </c>
      <c r="H964" s="6" t="s">
        <v>15</v>
      </c>
      <c r="I964">
        <v>2</v>
      </c>
      <c r="J964" t="s">
        <v>30</v>
      </c>
      <c r="K96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64" s="6" t="s">
        <v>32</v>
      </c>
      <c r="M964" s="7">
        <v>55</v>
      </c>
      <c r="N964" t="s">
        <v>18</v>
      </c>
      <c r="O964" s="9" t="str">
        <f>IF(Table1_1[[#This Row],[Purchased Bike]]="yes","1","0")</f>
        <v>0</v>
      </c>
      <c r="P964" s="4" t="str">
        <f>IF(Table1_1[[#This Row],[Income]]&lt;=30000,"Low ",IF(Table1_1[[#This Row],[Income]]&lt;=70000,"Middle","High"))</f>
        <v>Middle</v>
      </c>
      <c r="Q964" s="6" t="str">
        <f>IF(Table1_1[[#This Row],[Age]]&lt;30,"Young",IF(Table1_1[[#This Row],[Age]]&lt;50,"Middle aged","Senior citizen"))</f>
        <v>Senior citizen</v>
      </c>
      <c r="R964" s="7">
        <f>IF(Table1_1[[#This Row],[Marriedarital SingletatuSingle]]="M",Table1_1[[#This Row],[Children]]+2,Table1_1[[#This Row],[Children]]+1)</f>
        <v>3</v>
      </c>
      <c r="S964" s="4" t="str">
        <f>IF(Table1_1[[#This Row],[Cars]]=0,"No","Yes")</f>
        <v>Yes</v>
      </c>
      <c r="T964" s="6" t="str">
        <f>IF(AND(Table1_1[[#This Row],[Income]]&gt;50000,Table1_1[[#This Row],[Home Owner]]="Yes"),"High stability","Low stability")</f>
        <v>High stability</v>
      </c>
      <c r="U964" s="3">
        <f>Table1_1[[#This Row],[Income]]/Table1_1[[#This Row],[Family size]]</f>
        <v>20000</v>
      </c>
      <c r="V964" s="6" t="str">
        <f>IF(Table1_1[[#This Row],[Occupation]]="Skilled manual","Blue collar",IF(Table1_1[[#This Row],[Occupation]]="Manual","Blue collar","White collar"))</f>
        <v>White collar</v>
      </c>
    </row>
    <row r="965" spans="1:22" x14ac:dyDescent="0.3">
      <c r="A965" t="s">
        <v>999</v>
      </c>
      <c r="B965" s="6" t="s">
        <v>1042</v>
      </c>
      <c r="C965" s="6" t="s">
        <v>1045</v>
      </c>
      <c r="D965" s="3">
        <v>90000</v>
      </c>
      <c r="E965">
        <v>5</v>
      </c>
      <c r="F965" s="6" t="s">
        <v>13</v>
      </c>
      <c r="G965" s="6" t="s">
        <v>28</v>
      </c>
      <c r="H965" s="6" t="s">
        <v>15</v>
      </c>
      <c r="I965">
        <v>2</v>
      </c>
      <c r="J965" t="s">
        <v>26</v>
      </c>
      <c r="K96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65" s="6" t="s">
        <v>32</v>
      </c>
      <c r="M965" s="7">
        <v>66</v>
      </c>
      <c r="N965" t="s">
        <v>15</v>
      </c>
      <c r="O965" s="9" t="str">
        <f>IF(Table1_1[[#This Row],[Purchased Bike]]="yes","1","0")</f>
        <v>1</v>
      </c>
      <c r="P965" s="4" t="str">
        <f>IF(Table1_1[[#This Row],[Income]]&lt;=30000,"Low ",IF(Table1_1[[#This Row],[Income]]&lt;=70000,"Middle","High"))</f>
        <v>High</v>
      </c>
      <c r="Q965" s="6" t="str">
        <f>IF(Table1_1[[#This Row],[Age]]&lt;30,"Young",IF(Table1_1[[#This Row],[Age]]&lt;50,"Middle aged","Senior citizen"))</f>
        <v>Senior citizen</v>
      </c>
      <c r="R965" s="7">
        <f>IF(Table1_1[[#This Row],[Marriedarital SingletatuSingle]]="M",Table1_1[[#This Row],[Children]]+2,Table1_1[[#This Row],[Children]]+1)</f>
        <v>6</v>
      </c>
      <c r="S965" s="4" t="str">
        <f>IF(Table1_1[[#This Row],[Cars]]=0,"No","Yes")</f>
        <v>Yes</v>
      </c>
      <c r="T965" s="6" t="str">
        <f>IF(AND(Table1_1[[#This Row],[Income]]&gt;50000,Table1_1[[#This Row],[Home Owner]]="Yes"),"High stability","Low stability")</f>
        <v>High stability</v>
      </c>
      <c r="U965" s="3">
        <f>Table1_1[[#This Row],[Income]]/Table1_1[[#This Row],[Family size]]</f>
        <v>15000</v>
      </c>
      <c r="V965" s="6" t="str">
        <f>IF(Table1_1[[#This Row],[Occupation]]="Skilled manual","Blue collar",IF(Table1_1[[#This Row],[Occupation]]="Manual","Blue collar","White collar"))</f>
        <v>White collar</v>
      </c>
    </row>
    <row r="966" spans="1:22" x14ac:dyDescent="0.3">
      <c r="A966" t="s">
        <v>1000</v>
      </c>
      <c r="B966" s="6" t="s">
        <v>1044</v>
      </c>
      <c r="C966" s="6" t="s">
        <v>1046</v>
      </c>
      <c r="D966" s="3">
        <v>70000</v>
      </c>
      <c r="E966">
        <v>4</v>
      </c>
      <c r="F966" s="6" t="s">
        <v>19</v>
      </c>
      <c r="G966" s="6" t="s">
        <v>21</v>
      </c>
      <c r="H966" s="6" t="s">
        <v>15</v>
      </c>
      <c r="I966">
        <v>1</v>
      </c>
      <c r="J966" t="s">
        <v>30</v>
      </c>
      <c r="K96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66" s="6" t="s">
        <v>32</v>
      </c>
      <c r="M966" s="7">
        <v>56</v>
      </c>
      <c r="N966" t="s">
        <v>18</v>
      </c>
      <c r="O966" s="9" t="str">
        <f>IF(Table1_1[[#This Row],[Purchased Bike]]="yes","1","0")</f>
        <v>0</v>
      </c>
      <c r="P966" s="4" t="str">
        <f>IF(Table1_1[[#This Row],[Income]]&lt;=30000,"Low ",IF(Table1_1[[#This Row],[Income]]&lt;=70000,"Middle","High"))</f>
        <v>Middle</v>
      </c>
      <c r="Q966" s="6" t="str">
        <f>IF(Table1_1[[#This Row],[Age]]&lt;30,"Young",IF(Table1_1[[#This Row],[Age]]&lt;50,"Middle aged","Senior citizen"))</f>
        <v>Senior citizen</v>
      </c>
      <c r="R966" s="7">
        <f>IF(Table1_1[[#This Row],[Marriedarital SingletatuSingle]]="M",Table1_1[[#This Row],[Children]]+2,Table1_1[[#This Row],[Children]]+1)</f>
        <v>5</v>
      </c>
      <c r="S966" s="4" t="str">
        <f>IF(Table1_1[[#This Row],[Cars]]=0,"No","Yes")</f>
        <v>Yes</v>
      </c>
      <c r="T966" s="6" t="str">
        <f>IF(AND(Table1_1[[#This Row],[Income]]&gt;50000,Table1_1[[#This Row],[Home Owner]]="Yes"),"High stability","Low stability")</f>
        <v>High stability</v>
      </c>
      <c r="U966" s="3">
        <f>Table1_1[[#This Row],[Income]]/Table1_1[[#This Row],[Family size]]</f>
        <v>14000</v>
      </c>
      <c r="V966" s="6" t="str">
        <f>IF(Table1_1[[#This Row],[Occupation]]="Skilled manual","Blue collar",IF(Table1_1[[#This Row],[Occupation]]="Manual","Blue collar","White collar"))</f>
        <v>White collar</v>
      </c>
    </row>
    <row r="967" spans="1:22" x14ac:dyDescent="0.3">
      <c r="A967" t="s">
        <v>1001</v>
      </c>
      <c r="B967" s="6" t="s">
        <v>1044</v>
      </c>
      <c r="C967" s="6" t="s">
        <v>1045</v>
      </c>
      <c r="D967" s="3">
        <v>50000</v>
      </c>
      <c r="E967">
        <v>3</v>
      </c>
      <c r="F967" s="6" t="s">
        <v>13</v>
      </c>
      <c r="G967" s="6" t="s">
        <v>14</v>
      </c>
      <c r="H967" s="6" t="s">
        <v>18</v>
      </c>
      <c r="I967">
        <v>1</v>
      </c>
      <c r="J967" t="s">
        <v>16</v>
      </c>
      <c r="K96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67" s="6" t="s">
        <v>32</v>
      </c>
      <c r="M967" s="7">
        <v>40</v>
      </c>
      <c r="N967" t="s">
        <v>18</v>
      </c>
      <c r="O967" s="9" t="str">
        <f>IF(Table1_1[[#This Row],[Purchased Bike]]="yes","1","0")</f>
        <v>0</v>
      </c>
      <c r="P967" s="4" t="str">
        <f>IF(Table1_1[[#This Row],[Income]]&lt;=30000,"Low ",IF(Table1_1[[#This Row],[Income]]&lt;=70000,"Middle","High"))</f>
        <v>Middle</v>
      </c>
      <c r="Q967" s="6" t="str">
        <f>IF(Table1_1[[#This Row],[Age]]&lt;30,"Young",IF(Table1_1[[#This Row],[Age]]&lt;50,"Middle aged","Senior citizen"))</f>
        <v>Middle aged</v>
      </c>
      <c r="R967" s="7">
        <f>IF(Table1_1[[#This Row],[Marriedarital SingletatuSingle]]="M",Table1_1[[#This Row],[Children]]+2,Table1_1[[#This Row],[Children]]+1)</f>
        <v>4</v>
      </c>
      <c r="S967" s="4" t="str">
        <f>IF(Table1_1[[#This Row],[Cars]]=0,"No","Yes")</f>
        <v>Yes</v>
      </c>
      <c r="T967" s="6" t="str">
        <f>IF(AND(Table1_1[[#This Row],[Income]]&gt;50000,Table1_1[[#This Row],[Home Owner]]="Yes"),"High stability","Low stability")</f>
        <v>Low stability</v>
      </c>
      <c r="U967" s="3">
        <f>Table1_1[[#This Row],[Income]]/Table1_1[[#This Row],[Family size]]</f>
        <v>12500</v>
      </c>
      <c r="V967" s="6" t="str">
        <f>IF(Table1_1[[#This Row],[Occupation]]="Skilled manual","Blue collar",IF(Table1_1[[#This Row],[Occupation]]="Manual","Blue collar","White collar"))</f>
        <v>Blue collar</v>
      </c>
    </row>
    <row r="968" spans="1:22" x14ac:dyDescent="0.3">
      <c r="A968" t="s">
        <v>1002</v>
      </c>
      <c r="B968" s="6" t="s">
        <v>1042</v>
      </c>
      <c r="C968" s="6" t="s">
        <v>1045</v>
      </c>
      <c r="D968" s="3">
        <v>50000</v>
      </c>
      <c r="E968">
        <v>0</v>
      </c>
      <c r="F968" s="6" t="s">
        <v>31</v>
      </c>
      <c r="G968" s="6" t="s">
        <v>14</v>
      </c>
      <c r="H968" s="6" t="s">
        <v>15</v>
      </c>
      <c r="I968">
        <v>0</v>
      </c>
      <c r="J968" t="s">
        <v>26</v>
      </c>
      <c r="K96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68" s="6" t="s">
        <v>32</v>
      </c>
      <c r="M968" s="7">
        <v>33</v>
      </c>
      <c r="N968" t="s">
        <v>15</v>
      </c>
      <c r="O968" s="9" t="str">
        <f>IF(Table1_1[[#This Row],[Purchased Bike]]="yes","1","0")</f>
        <v>1</v>
      </c>
      <c r="P968" s="4" t="str">
        <f>IF(Table1_1[[#This Row],[Income]]&lt;=30000,"Low ",IF(Table1_1[[#This Row],[Income]]&lt;=70000,"Middle","High"))</f>
        <v>Middle</v>
      </c>
      <c r="Q968" s="6" t="str">
        <f>IF(Table1_1[[#This Row],[Age]]&lt;30,"Young",IF(Table1_1[[#This Row],[Age]]&lt;50,"Middle aged","Senior citizen"))</f>
        <v>Middle aged</v>
      </c>
      <c r="R968" s="7">
        <f>IF(Table1_1[[#This Row],[Marriedarital SingletatuSingle]]="M",Table1_1[[#This Row],[Children]]+2,Table1_1[[#This Row],[Children]]+1)</f>
        <v>1</v>
      </c>
      <c r="S968" s="4" t="str">
        <f>IF(Table1_1[[#This Row],[Cars]]=0,"No","Yes")</f>
        <v>No</v>
      </c>
      <c r="T968" s="6" t="str">
        <f>IF(AND(Table1_1[[#This Row],[Income]]&gt;50000,Table1_1[[#This Row],[Home Owner]]="Yes"),"High stability","Low stability")</f>
        <v>Low stability</v>
      </c>
      <c r="U968" s="3">
        <f>Table1_1[[#This Row],[Income]]/Table1_1[[#This Row],[Family size]]</f>
        <v>50000</v>
      </c>
      <c r="V968" s="6" t="str">
        <f>IF(Table1_1[[#This Row],[Occupation]]="Skilled manual","Blue collar",IF(Table1_1[[#This Row],[Occupation]]="Manual","Blue collar","White collar"))</f>
        <v>Blue collar</v>
      </c>
    </row>
    <row r="969" spans="1:22" x14ac:dyDescent="0.3">
      <c r="A969" t="s">
        <v>1003</v>
      </c>
      <c r="B969" s="6" t="s">
        <v>1042</v>
      </c>
      <c r="C969" s="6" t="s">
        <v>1046</v>
      </c>
      <c r="D969" s="3">
        <v>80000</v>
      </c>
      <c r="E969">
        <v>3</v>
      </c>
      <c r="F969" s="6" t="s">
        <v>13</v>
      </c>
      <c r="G969" s="6" t="s">
        <v>28</v>
      </c>
      <c r="H969" s="6" t="s">
        <v>15</v>
      </c>
      <c r="I969">
        <v>1</v>
      </c>
      <c r="J969" t="s">
        <v>26</v>
      </c>
      <c r="K96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69" s="6" t="s">
        <v>32</v>
      </c>
      <c r="M969" s="7">
        <v>56</v>
      </c>
      <c r="N969" t="s">
        <v>18</v>
      </c>
      <c r="O969" s="9" t="str">
        <f>IF(Table1_1[[#This Row],[Purchased Bike]]="yes","1","0")</f>
        <v>0</v>
      </c>
      <c r="P969" s="4" t="str">
        <f>IF(Table1_1[[#This Row],[Income]]&lt;=30000,"Low ",IF(Table1_1[[#This Row],[Income]]&lt;=70000,"Middle","High"))</f>
        <v>High</v>
      </c>
      <c r="Q969" s="6" t="str">
        <f>IF(Table1_1[[#This Row],[Age]]&lt;30,"Young",IF(Table1_1[[#This Row],[Age]]&lt;50,"Middle aged","Senior citizen"))</f>
        <v>Senior citizen</v>
      </c>
      <c r="R969" s="7">
        <f>IF(Table1_1[[#This Row],[Marriedarital SingletatuSingle]]="M",Table1_1[[#This Row],[Children]]+2,Table1_1[[#This Row],[Children]]+1)</f>
        <v>4</v>
      </c>
      <c r="S969" s="4" t="str">
        <f>IF(Table1_1[[#This Row],[Cars]]=0,"No","Yes")</f>
        <v>Yes</v>
      </c>
      <c r="T969" s="6" t="str">
        <f>IF(AND(Table1_1[[#This Row],[Income]]&gt;50000,Table1_1[[#This Row],[Home Owner]]="Yes"),"High stability","Low stability")</f>
        <v>High stability</v>
      </c>
      <c r="U969" s="3">
        <f>Table1_1[[#This Row],[Income]]/Table1_1[[#This Row],[Family size]]</f>
        <v>20000</v>
      </c>
      <c r="V969" s="6" t="str">
        <f>IF(Table1_1[[#This Row],[Occupation]]="Skilled manual","Blue collar",IF(Table1_1[[#This Row],[Occupation]]="Manual","Blue collar","White collar"))</f>
        <v>White collar</v>
      </c>
    </row>
    <row r="970" spans="1:22" x14ac:dyDescent="0.3">
      <c r="A970" t="s">
        <v>1004</v>
      </c>
      <c r="B970" s="6" t="s">
        <v>1044</v>
      </c>
      <c r="C970" s="6" t="s">
        <v>1046</v>
      </c>
      <c r="D970" s="3">
        <v>30000</v>
      </c>
      <c r="E970">
        <v>0</v>
      </c>
      <c r="F970" s="6" t="s">
        <v>29</v>
      </c>
      <c r="G970" s="6" t="s">
        <v>20</v>
      </c>
      <c r="H970" s="6" t="s">
        <v>18</v>
      </c>
      <c r="I970">
        <v>2</v>
      </c>
      <c r="J970" t="s">
        <v>23</v>
      </c>
      <c r="K97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70" s="6" t="s">
        <v>32</v>
      </c>
      <c r="M970" s="7">
        <v>27</v>
      </c>
      <c r="N970" t="s">
        <v>18</v>
      </c>
      <c r="O970" s="9" t="str">
        <f>IF(Table1_1[[#This Row],[Purchased Bike]]="yes","1","0")</f>
        <v>0</v>
      </c>
      <c r="P970" s="4" t="str">
        <f>IF(Table1_1[[#This Row],[Income]]&lt;=30000,"Low ",IF(Table1_1[[#This Row],[Income]]&lt;=70000,"Middle","High"))</f>
        <v xml:space="preserve">Low </v>
      </c>
      <c r="Q970" s="6" t="str">
        <f>IF(Table1_1[[#This Row],[Age]]&lt;30,"Young",IF(Table1_1[[#This Row],[Age]]&lt;50,"Middle aged","Senior citizen"))</f>
        <v>Young</v>
      </c>
      <c r="R970" s="7">
        <f>IF(Table1_1[[#This Row],[Marriedarital SingletatuSingle]]="M",Table1_1[[#This Row],[Children]]+2,Table1_1[[#This Row],[Children]]+1)</f>
        <v>1</v>
      </c>
      <c r="S970" s="4" t="str">
        <f>IF(Table1_1[[#This Row],[Cars]]=0,"No","Yes")</f>
        <v>Yes</v>
      </c>
      <c r="T970" s="6" t="str">
        <f>IF(AND(Table1_1[[#This Row],[Income]]&gt;50000,Table1_1[[#This Row],[Home Owner]]="Yes"),"High stability","Low stability")</f>
        <v>Low stability</v>
      </c>
      <c r="U970" s="3">
        <f>Table1_1[[#This Row],[Income]]/Table1_1[[#This Row],[Family size]]</f>
        <v>30000</v>
      </c>
      <c r="V970" s="6" t="str">
        <f>IF(Table1_1[[#This Row],[Occupation]]="Skilled manual","Blue collar",IF(Table1_1[[#This Row],[Occupation]]="Manual","Blue collar","White collar"))</f>
        <v>White collar</v>
      </c>
    </row>
    <row r="971" spans="1:22" x14ac:dyDescent="0.3">
      <c r="A971" t="s">
        <v>1005</v>
      </c>
      <c r="B971" s="6" t="s">
        <v>1042</v>
      </c>
      <c r="C971" s="6" t="s">
        <v>1046</v>
      </c>
      <c r="D971" s="3">
        <v>60000</v>
      </c>
      <c r="E971">
        <v>0</v>
      </c>
      <c r="F971" s="6" t="s">
        <v>31</v>
      </c>
      <c r="G971" s="6" t="s">
        <v>21</v>
      </c>
      <c r="H971" s="6" t="s">
        <v>18</v>
      </c>
      <c r="I971">
        <v>0</v>
      </c>
      <c r="J971" t="s">
        <v>16</v>
      </c>
      <c r="K97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71" s="6" t="s">
        <v>32</v>
      </c>
      <c r="M971" s="7">
        <v>39</v>
      </c>
      <c r="N971" t="s">
        <v>18</v>
      </c>
      <c r="O971" s="9" t="str">
        <f>IF(Table1_1[[#This Row],[Purchased Bike]]="yes","1","0")</f>
        <v>0</v>
      </c>
      <c r="P971" s="4" t="str">
        <f>IF(Table1_1[[#This Row],[Income]]&lt;=30000,"Low ",IF(Table1_1[[#This Row],[Income]]&lt;=70000,"Middle","High"))</f>
        <v>Middle</v>
      </c>
      <c r="Q971" s="6" t="str">
        <f>IF(Table1_1[[#This Row],[Age]]&lt;30,"Young",IF(Table1_1[[#This Row],[Age]]&lt;50,"Middle aged","Senior citizen"))</f>
        <v>Middle aged</v>
      </c>
      <c r="R971" s="7">
        <f>IF(Table1_1[[#This Row],[Marriedarital SingletatuSingle]]="M",Table1_1[[#This Row],[Children]]+2,Table1_1[[#This Row],[Children]]+1)</f>
        <v>1</v>
      </c>
      <c r="S971" s="4" t="str">
        <f>IF(Table1_1[[#This Row],[Cars]]=0,"No","Yes")</f>
        <v>No</v>
      </c>
      <c r="T971" s="6" t="str">
        <f>IF(AND(Table1_1[[#This Row],[Income]]&gt;50000,Table1_1[[#This Row],[Home Owner]]="Yes"),"High stability","Low stability")</f>
        <v>Low stability</v>
      </c>
      <c r="U971" s="3">
        <f>Table1_1[[#This Row],[Income]]/Table1_1[[#This Row],[Family size]]</f>
        <v>60000</v>
      </c>
      <c r="V971" s="6" t="str">
        <f>IF(Table1_1[[#This Row],[Occupation]]="Skilled manual","Blue collar",IF(Table1_1[[#This Row],[Occupation]]="Manual","Blue collar","White collar"))</f>
        <v>White collar</v>
      </c>
    </row>
    <row r="972" spans="1:22" x14ac:dyDescent="0.3">
      <c r="A972" t="s">
        <v>1006</v>
      </c>
      <c r="B972" s="6" t="s">
        <v>1042</v>
      </c>
      <c r="C972" s="6" t="s">
        <v>1045</v>
      </c>
      <c r="D972" s="3">
        <v>60000</v>
      </c>
      <c r="E972">
        <v>0</v>
      </c>
      <c r="F972" s="6" t="s">
        <v>19</v>
      </c>
      <c r="G972" s="6" t="s">
        <v>14</v>
      </c>
      <c r="H972" s="6" t="s">
        <v>15</v>
      </c>
      <c r="I972">
        <v>2</v>
      </c>
      <c r="J972" t="s">
        <v>23</v>
      </c>
      <c r="K97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72" s="6" t="s">
        <v>32</v>
      </c>
      <c r="M972" s="7">
        <v>31</v>
      </c>
      <c r="N972" t="s">
        <v>18</v>
      </c>
      <c r="O972" s="9" t="str">
        <f>IF(Table1_1[[#This Row],[Purchased Bike]]="yes","1","0")</f>
        <v>0</v>
      </c>
      <c r="P972" s="4" t="str">
        <f>IF(Table1_1[[#This Row],[Income]]&lt;=30000,"Low ",IF(Table1_1[[#This Row],[Income]]&lt;=70000,"Middle","High"))</f>
        <v>Middle</v>
      </c>
      <c r="Q972" s="6" t="str">
        <f>IF(Table1_1[[#This Row],[Age]]&lt;30,"Young",IF(Table1_1[[#This Row],[Age]]&lt;50,"Middle aged","Senior citizen"))</f>
        <v>Middle aged</v>
      </c>
      <c r="R972" s="7">
        <f>IF(Table1_1[[#This Row],[Marriedarital SingletatuSingle]]="M",Table1_1[[#This Row],[Children]]+2,Table1_1[[#This Row],[Children]]+1)</f>
        <v>1</v>
      </c>
      <c r="S972" s="4" t="str">
        <f>IF(Table1_1[[#This Row],[Cars]]=0,"No","Yes")</f>
        <v>Yes</v>
      </c>
      <c r="T972" s="6" t="str">
        <f>IF(AND(Table1_1[[#This Row],[Income]]&gt;50000,Table1_1[[#This Row],[Home Owner]]="Yes"),"High stability","Low stability")</f>
        <v>High stability</v>
      </c>
      <c r="U972" s="3">
        <f>Table1_1[[#This Row],[Income]]/Table1_1[[#This Row],[Family size]]</f>
        <v>60000</v>
      </c>
      <c r="V972" s="6" t="str">
        <f>IF(Table1_1[[#This Row],[Occupation]]="Skilled manual","Blue collar",IF(Table1_1[[#This Row],[Occupation]]="Manual","Blue collar","White collar"))</f>
        <v>Blue collar</v>
      </c>
    </row>
    <row r="973" spans="1:22" x14ac:dyDescent="0.3">
      <c r="A973" t="s">
        <v>1007</v>
      </c>
      <c r="B973" s="6" t="s">
        <v>1044</v>
      </c>
      <c r="C973" s="6" t="s">
        <v>1045</v>
      </c>
      <c r="D973" s="3">
        <v>60000</v>
      </c>
      <c r="E973">
        <v>2</v>
      </c>
      <c r="F973" s="6" t="s">
        <v>29</v>
      </c>
      <c r="G973" s="6" t="s">
        <v>14</v>
      </c>
      <c r="H973" s="6" t="s">
        <v>18</v>
      </c>
      <c r="I973">
        <v>2</v>
      </c>
      <c r="J973" t="s">
        <v>26</v>
      </c>
      <c r="K97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73" s="6" t="s">
        <v>32</v>
      </c>
      <c r="M973" s="7">
        <v>51</v>
      </c>
      <c r="N973" t="s">
        <v>18</v>
      </c>
      <c r="O973" s="9" t="str">
        <f>IF(Table1_1[[#This Row],[Purchased Bike]]="yes","1","0")</f>
        <v>0</v>
      </c>
      <c r="P973" s="4" t="str">
        <f>IF(Table1_1[[#This Row],[Income]]&lt;=30000,"Low ",IF(Table1_1[[#This Row],[Income]]&lt;=70000,"Middle","High"))</f>
        <v>Middle</v>
      </c>
      <c r="Q973" s="6" t="str">
        <f>IF(Table1_1[[#This Row],[Age]]&lt;30,"Young",IF(Table1_1[[#This Row],[Age]]&lt;50,"Middle aged","Senior citizen"))</f>
        <v>Senior citizen</v>
      </c>
      <c r="R973" s="7">
        <f>IF(Table1_1[[#This Row],[Marriedarital SingletatuSingle]]="M",Table1_1[[#This Row],[Children]]+2,Table1_1[[#This Row],[Children]]+1)</f>
        <v>3</v>
      </c>
      <c r="S973" s="4" t="str">
        <f>IF(Table1_1[[#This Row],[Cars]]=0,"No","Yes")</f>
        <v>Yes</v>
      </c>
      <c r="T973" s="6" t="str">
        <f>IF(AND(Table1_1[[#This Row],[Income]]&gt;50000,Table1_1[[#This Row],[Home Owner]]="Yes"),"High stability","Low stability")</f>
        <v>Low stability</v>
      </c>
      <c r="U973" s="3">
        <f>Table1_1[[#This Row],[Income]]/Table1_1[[#This Row],[Family size]]</f>
        <v>20000</v>
      </c>
      <c r="V973" s="6" t="str">
        <f>IF(Table1_1[[#This Row],[Occupation]]="Skilled manual","Blue collar",IF(Table1_1[[#This Row],[Occupation]]="Manual","Blue collar","White collar"))</f>
        <v>Blue collar</v>
      </c>
    </row>
    <row r="974" spans="1:22" x14ac:dyDescent="0.3">
      <c r="A974" t="s">
        <v>1008</v>
      </c>
      <c r="B974" s="6" t="s">
        <v>1042</v>
      </c>
      <c r="C974" s="6" t="s">
        <v>1045</v>
      </c>
      <c r="D974" s="3">
        <v>30000</v>
      </c>
      <c r="E974">
        <v>1</v>
      </c>
      <c r="F974" s="6" t="s">
        <v>27</v>
      </c>
      <c r="G974" s="6" t="s">
        <v>20</v>
      </c>
      <c r="H974" s="6" t="s">
        <v>15</v>
      </c>
      <c r="I974">
        <v>1</v>
      </c>
      <c r="J974" t="s">
        <v>23</v>
      </c>
      <c r="K97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74" s="6" t="s">
        <v>32</v>
      </c>
      <c r="M974" s="7">
        <v>52</v>
      </c>
      <c r="N974" t="s">
        <v>18</v>
      </c>
      <c r="O974" s="9" t="str">
        <f>IF(Table1_1[[#This Row],[Purchased Bike]]="yes","1","0")</f>
        <v>0</v>
      </c>
      <c r="P974" s="4" t="str">
        <f>IF(Table1_1[[#This Row],[Income]]&lt;=30000,"Low ",IF(Table1_1[[#This Row],[Income]]&lt;=70000,"Middle","High"))</f>
        <v xml:space="preserve">Low </v>
      </c>
      <c r="Q974" s="6" t="str">
        <f>IF(Table1_1[[#This Row],[Age]]&lt;30,"Young",IF(Table1_1[[#This Row],[Age]]&lt;50,"Middle aged","Senior citizen"))</f>
        <v>Senior citizen</v>
      </c>
      <c r="R974" s="7">
        <f>IF(Table1_1[[#This Row],[Marriedarital SingletatuSingle]]="M",Table1_1[[#This Row],[Children]]+2,Table1_1[[#This Row],[Children]]+1)</f>
        <v>2</v>
      </c>
      <c r="S974" s="4" t="str">
        <f>IF(Table1_1[[#This Row],[Cars]]=0,"No","Yes")</f>
        <v>Yes</v>
      </c>
      <c r="T974" s="6" t="str">
        <f>IF(AND(Table1_1[[#This Row],[Income]]&gt;50000,Table1_1[[#This Row],[Home Owner]]="Yes"),"High stability","Low stability")</f>
        <v>Low stability</v>
      </c>
      <c r="U974" s="3">
        <f>Table1_1[[#This Row],[Income]]/Table1_1[[#This Row],[Family size]]</f>
        <v>15000</v>
      </c>
      <c r="V974" s="6" t="str">
        <f>IF(Table1_1[[#This Row],[Occupation]]="Skilled manual","Blue collar",IF(Table1_1[[#This Row],[Occupation]]="Manual","Blue collar","White collar"))</f>
        <v>White collar</v>
      </c>
    </row>
    <row r="975" spans="1:22" x14ac:dyDescent="0.3">
      <c r="A975" t="s">
        <v>1009</v>
      </c>
      <c r="B975" s="6" t="s">
        <v>1042</v>
      </c>
      <c r="C975" s="6" t="s">
        <v>1046</v>
      </c>
      <c r="D975" s="3">
        <v>60000</v>
      </c>
      <c r="E975">
        <v>1</v>
      </c>
      <c r="F975" s="6" t="s">
        <v>19</v>
      </c>
      <c r="G975" s="6" t="s">
        <v>14</v>
      </c>
      <c r="H975" s="6" t="s">
        <v>18</v>
      </c>
      <c r="I975">
        <v>1</v>
      </c>
      <c r="J975" t="s">
        <v>16</v>
      </c>
      <c r="K97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75" s="6" t="s">
        <v>32</v>
      </c>
      <c r="M975" s="7">
        <v>47</v>
      </c>
      <c r="N975" t="s">
        <v>18</v>
      </c>
      <c r="O975" s="9" t="str">
        <f>IF(Table1_1[[#This Row],[Purchased Bike]]="yes","1","0")</f>
        <v>0</v>
      </c>
      <c r="P975" s="4" t="str">
        <f>IF(Table1_1[[#This Row],[Income]]&lt;=30000,"Low ",IF(Table1_1[[#This Row],[Income]]&lt;=70000,"Middle","High"))</f>
        <v>Middle</v>
      </c>
      <c r="Q975" s="6" t="str">
        <f>IF(Table1_1[[#This Row],[Age]]&lt;30,"Young",IF(Table1_1[[#This Row],[Age]]&lt;50,"Middle aged","Senior citizen"))</f>
        <v>Middle aged</v>
      </c>
      <c r="R975" s="7">
        <f>IF(Table1_1[[#This Row],[Marriedarital SingletatuSingle]]="M",Table1_1[[#This Row],[Children]]+2,Table1_1[[#This Row],[Children]]+1)</f>
        <v>2</v>
      </c>
      <c r="S975" s="4" t="str">
        <f>IF(Table1_1[[#This Row],[Cars]]=0,"No","Yes")</f>
        <v>Yes</v>
      </c>
      <c r="T975" s="6" t="str">
        <f>IF(AND(Table1_1[[#This Row],[Income]]&gt;50000,Table1_1[[#This Row],[Home Owner]]="Yes"),"High stability","Low stability")</f>
        <v>Low stability</v>
      </c>
      <c r="U975" s="3">
        <f>Table1_1[[#This Row],[Income]]/Table1_1[[#This Row],[Family size]]</f>
        <v>30000</v>
      </c>
      <c r="V975" s="6" t="str">
        <f>IF(Table1_1[[#This Row],[Occupation]]="Skilled manual","Blue collar",IF(Table1_1[[#This Row],[Occupation]]="Manual","Blue collar","White collar"))</f>
        <v>Blue collar</v>
      </c>
    </row>
    <row r="976" spans="1:22" x14ac:dyDescent="0.3">
      <c r="A976" t="s">
        <v>1010</v>
      </c>
      <c r="B976" s="6" t="s">
        <v>1042</v>
      </c>
      <c r="C976" s="6" t="s">
        <v>1046</v>
      </c>
      <c r="D976" s="3">
        <v>70000</v>
      </c>
      <c r="E976">
        <v>3</v>
      </c>
      <c r="F976" s="6" t="s">
        <v>31</v>
      </c>
      <c r="G976" s="6" t="s">
        <v>28</v>
      </c>
      <c r="H976" s="6" t="s">
        <v>15</v>
      </c>
      <c r="I976">
        <v>2</v>
      </c>
      <c r="J976" t="s">
        <v>23</v>
      </c>
      <c r="K97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76" s="6" t="s">
        <v>32</v>
      </c>
      <c r="M976" s="7">
        <v>53</v>
      </c>
      <c r="N976" t="s">
        <v>15</v>
      </c>
      <c r="O976" s="9" t="str">
        <f>IF(Table1_1[[#This Row],[Purchased Bike]]="yes","1","0")</f>
        <v>1</v>
      </c>
      <c r="P976" s="4" t="str">
        <f>IF(Table1_1[[#This Row],[Income]]&lt;=30000,"Low ",IF(Table1_1[[#This Row],[Income]]&lt;=70000,"Middle","High"))</f>
        <v>Middle</v>
      </c>
      <c r="Q976" s="6" t="str">
        <f>IF(Table1_1[[#This Row],[Age]]&lt;30,"Young",IF(Table1_1[[#This Row],[Age]]&lt;50,"Middle aged","Senior citizen"))</f>
        <v>Senior citizen</v>
      </c>
      <c r="R976" s="7">
        <f>IF(Table1_1[[#This Row],[Marriedarital SingletatuSingle]]="M",Table1_1[[#This Row],[Children]]+2,Table1_1[[#This Row],[Children]]+1)</f>
        <v>4</v>
      </c>
      <c r="S976" s="4" t="str">
        <f>IF(Table1_1[[#This Row],[Cars]]=0,"No","Yes")</f>
        <v>Yes</v>
      </c>
      <c r="T976" s="6" t="str">
        <f>IF(AND(Table1_1[[#This Row],[Income]]&gt;50000,Table1_1[[#This Row],[Home Owner]]="Yes"),"High stability","Low stability")</f>
        <v>High stability</v>
      </c>
      <c r="U976" s="3">
        <f>Table1_1[[#This Row],[Income]]/Table1_1[[#This Row],[Family size]]</f>
        <v>17500</v>
      </c>
      <c r="V976" s="6" t="str">
        <f>IF(Table1_1[[#This Row],[Occupation]]="Skilled manual","Blue collar",IF(Table1_1[[#This Row],[Occupation]]="Manual","Blue collar","White collar"))</f>
        <v>White collar</v>
      </c>
    </row>
    <row r="977" spans="1:22" x14ac:dyDescent="0.3">
      <c r="A977" t="s">
        <v>1011</v>
      </c>
      <c r="B977" s="6" t="s">
        <v>1042</v>
      </c>
      <c r="C977" s="6" t="s">
        <v>1046</v>
      </c>
      <c r="D977" s="3">
        <v>70000</v>
      </c>
      <c r="E977">
        <v>3</v>
      </c>
      <c r="F977" s="6" t="s">
        <v>31</v>
      </c>
      <c r="G977" s="6" t="s">
        <v>21</v>
      </c>
      <c r="H977" s="6" t="s">
        <v>15</v>
      </c>
      <c r="I977">
        <v>0</v>
      </c>
      <c r="J977" t="s">
        <v>16</v>
      </c>
      <c r="K97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77" s="6" t="s">
        <v>32</v>
      </c>
      <c r="M977" s="7">
        <v>35</v>
      </c>
      <c r="N977" t="s">
        <v>15</v>
      </c>
      <c r="O977" s="9" t="str">
        <f>IF(Table1_1[[#This Row],[Purchased Bike]]="yes","1","0")</f>
        <v>1</v>
      </c>
      <c r="P977" s="4" t="str">
        <f>IF(Table1_1[[#This Row],[Income]]&lt;=30000,"Low ",IF(Table1_1[[#This Row],[Income]]&lt;=70000,"Middle","High"))</f>
        <v>Middle</v>
      </c>
      <c r="Q977" s="6" t="str">
        <f>IF(Table1_1[[#This Row],[Age]]&lt;30,"Young",IF(Table1_1[[#This Row],[Age]]&lt;50,"Middle aged","Senior citizen"))</f>
        <v>Middle aged</v>
      </c>
      <c r="R977" s="7">
        <f>IF(Table1_1[[#This Row],[Marriedarital SingletatuSingle]]="M",Table1_1[[#This Row],[Children]]+2,Table1_1[[#This Row],[Children]]+1)</f>
        <v>4</v>
      </c>
      <c r="S977" s="4" t="str">
        <f>IF(Table1_1[[#This Row],[Cars]]=0,"No","Yes")</f>
        <v>No</v>
      </c>
      <c r="T977" s="6" t="str">
        <f>IF(AND(Table1_1[[#This Row],[Income]]&gt;50000,Table1_1[[#This Row],[Home Owner]]="Yes"),"High stability","Low stability")</f>
        <v>High stability</v>
      </c>
      <c r="U977" s="3">
        <f>Table1_1[[#This Row],[Income]]/Table1_1[[#This Row],[Family size]]</f>
        <v>17500</v>
      </c>
      <c r="V977" s="6" t="str">
        <f>IF(Table1_1[[#This Row],[Occupation]]="Skilled manual","Blue collar",IF(Table1_1[[#This Row],[Occupation]]="Manual","Blue collar","White collar"))</f>
        <v>White collar</v>
      </c>
    </row>
    <row r="978" spans="1:22" x14ac:dyDescent="0.3">
      <c r="A978" t="s">
        <v>1012</v>
      </c>
      <c r="B978" s="6" t="s">
        <v>1042</v>
      </c>
      <c r="C978" s="6" t="s">
        <v>1045</v>
      </c>
      <c r="D978" s="3">
        <v>60000</v>
      </c>
      <c r="E978">
        <v>3</v>
      </c>
      <c r="F978" s="6" t="s">
        <v>13</v>
      </c>
      <c r="G978" s="6" t="s">
        <v>28</v>
      </c>
      <c r="H978" s="6" t="s">
        <v>15</v>
      </c>
      <c r="I978">
        <v>2</v>
      </c>
      <c r="J978" t="s">
        <v>30</v>
      </c>
      <c r="K97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78" s="6" t="s">
        <v>32</v>
      </c>
      <c r="M978" s="7">
        <v>66</v>
      </c>
      <c r="N978" t="s">
        <v>18</v>
      </c>
      <c r="O978" s="9" t="str">
        <f>IF(Table1_1[[#This Row],[Purchased Bike]]="yes","1","0")</f>
        <v>0</v>
      </c>
      <c r="P978" s="4" t="str">
        <f>IF(Table1_1[[#This Row],[Income]]&lt;=30000,"Low ",IF(Table1_1[[#This Row],[Income]]&lt;=70000,"Middle","High"))</f>
        <v>Middle</v>
      </c>
      <c r="Q978" s="6" t="str">
        <f>IF(Table1_1[[#This Row],[Age]]&lt;30,"Young",IF(Table1_1[[#This Row],[Age]]&lt;50,"Middle aged","Senior citizen"))</f>
        <v>Senior citizen</v>
      </c>
      <c r="R978" s="7">
        <f>IF(Table1_1[[#This Row],[Marriedarital SingletatuSingle]]="M",Table1_1[[#This Row],[Children]]+2,Table1_1[[#This Row],[Children]]+1)</f>
        <v>4</v>
      </c>
      <c r="S978" s="4" t="str">
        <f>IF(Table1_1[[#This Row],[Cars]]=0,"No","Yes")</f>
        <v>Yes</v>
      </c>
      <c r="T978" s="6" t="str">
        <f>IF(AND(Table1_1[[#This Row],[Income]]&gt;50000,Table1_1[[#This Row],[Home Owner]]="Yes"),"High stability","Low stability")</f>
        <v>High stability</v>
      </c>
      <c r="U978" s="3">
        <f>Table1_1[[#This Row],[Income]]/Table1_1[[#This Row],[Family size]]</f>
        <v>15000</v>
      </c>
      <c r="V978" s="6" t="str">
        <f>IF(Table1_1[[#This Row],[Occupation]]="Skilled manual","Blue collar",IF(Table1_1[[#This Row],[Occupation]]="Manual","Blue collar","White collar"))</f>
        <v>White collar</v>
      </c>
    </row>
    <row r="979" spans="1:22" x14ac:dyDescent="0.3">
      <c r="A979" t="s">
        <v>1013</v>
      </c>
      <c r="B979" s="6" t="s">
        <v>1044</v>
      </c>
      <c r="C979" s="6" t="s">
        <v>1045</v>
      </c>
      <c r="D979" s="3">
        <v>80000</v>
      </c>
      <c r="E979">
        <v>4</v>
      </c>
      <c r="F979" s="6" t="s">
        <v>31</v>
      </c>
      <c r="G979" s="6" t="s">
        <v>28</v>
      </c>
      <c r="H979" s="6" t="s">
        <v>15</v>
      </c>
      <c r="I979">
        <v>2</v>
      </c>
      <c r="J979" t="s">
        <v>23</v>
      </c>
      <c r="K97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79" s="6" t="s">
        <v>32</v>
      </c>
      <c r="M979" s="7">
        <v>65</v>
      </c>
      <c r="N979" t="s">
        <v>18</v>
      </c>
      <c r="O979" s="9" t="str">
        <f>IF(Table1_1[[#This Row],[Purchased Bike]]="yes","1","0")</f>
        <v>0</v>
      </c>
      <c r="P979" s="4" t="str">
        <f>IF(Table1_1[[#This Row],[Income]]&lt;=30000,"Low ",IF(Table1_1[[#This Row],[Income]]&lt;=70000,"Middle","High"))</f>
        <v>High</v>
      </c>
      <c r="Q979" s="6" t="str">
        <f>IF(Table1_1[[#This Row],[Age]]&lt;30,"Young",IF(Table1_1[[#This Row],[Age]]&lt;50,"Middle aged","Senior citizen"))</f>
        <v>Senior citizen</v>
      </c>
      <c r="R979" s="7">
        <f>IF(Table1_1[[#This Row],[Marriedarital SingletatuSingle]]="M",Table1_1[[#This Row],[Children]]+2,Table1_1[[#This Row],[Children]]+1)</f>
        <v>5</v>
      </c>
      <c r="S979" s="4" t="str">
        <f>IF(Table1_1[[#This Row],[Cars]]=0,"No","Yes")</f>
        <v>Yes</v>
      </c>
      <c r="T979" s="6" t="str">
        <f>IF(AND(Table1_1[[#This Row],[Income]]&gt;50000,Table1_1[[#This Row],[Home Owner]]="Yes"),"High stability","Low stability")</f>
        <v>High stability</v>
      </c>
      <c r="U979" s="3">
        <f>Table1_1[[#This Row],[Income]]/Table1_1[[#This Row],[Family size]]</f>
        <v>16000</v>
      </c>
      <c r="V979" s="6" t="str">
        <f>IF(Table1_1[[#This Row],[Occupation]]="Skilled manual","Blue collar",IF(Table1_1[[#This Row],[Occupation]]="Manual","Blue collar","White collar"))</f>
        <v>White collar</v>
      </c>
    </row>
    <row r="980" spans="1:22" x14ac:dyDescent="0.3">
      <c r="A980" t="s">
        <v>1014</v>
      </c>
      <c r="B980" s="6" t="s">
        <v>1042</v>
      </c>
      <c r="C980" s="6" t="s">
        <v>1046</v>
      </c>
      <c r="D980" s="3">
        <v>80000</v>
      </c>
      <c r="E980">
        <v>5</v>
      </c>
      <c r="F980" s="6" t="s">
        <v>19</v>
      </c>
      <c r="G980" s="6" t="s">
        <v>21</v>
      </c>
      <c r="H980" s="6" t="s">
        <v>15</v>
      </c>
      <c r="I980">
        <v>3</v>
      </c>
      <c r="J980" t="s">
        <v>23</v>
      </c>
      <c r="K98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80" s="6" t="s">
        <v>32</v>
      </c>
      <c r="M980" s="7">
        <v>45</v>
      </c>
      <c r="N980" t="s">
        <v>18</v>
      </c>
      <c r="O980" s="9" t="str">
        <f>IF(Table1_1[[#This Row],[Purchased Bike]]="yes","1","0")</f>
        <v>0</v>
      </c>
      <c r="P980" s="4" t="str">
        <f>IF(Table1_1[[#This Row],[Income]]&lt;=30000,"Low ",IF(Table1_1[[#This Row],[Income]]&lt;=70000,"Middle","High"))</f>
        <v>High</v>
      </c>
      <c r="Q980" s="6" t="str">
        <f>IF(Table1_1[[#This Row],[Age]]&lt;30,"Young",IF(Table1_1[[#This Row],[Age]]&lt;50,"Middle aged","Senior citizen"))</f>
        <v>Middle aged</v>
      </c>
      <c r="R980" s="7">
        <f>IF(Table1_1[[#This Row],[Marriedarital SingletatuSingle]]="M",Table1_1[[#This Row],[Children]]+2,Table1_1[[#This Row],[Children]]+1)</f>
        <v>6</v>
      </c>
      <c r="S980" s="4" t="str">
        <f>IF(Table1_1[[#This Row],[Cars]]=0,"No","Yes")</f>
        <v>Yes</v>
      </c>
      <c r="T980" s="6" t="str">
        <f>IF(AND(Table1_1[[#This Row],[Income]]&gt;50000,Table1_1[[#This Row],[Home Owner]]="Yes"),"High stability","Low stability")</f>
        <v>High stability</v>
      </c>
      <c r="U980" s="3">
        <f>Table1_1[[#This Row],[Income]]/Table1_1[[#This Row],[Family size]]</f>
        <v>13333.333333333334</v>
      </c>
      <c r="V980" s="6" t="str">
        <f>IF(Table1_1[[#This Row],[Occupation]]="Skilled manual","Blue collar",IF(Table1_1[[#This Row],[Occupation]]="Manual","Blue collar","White collar"))</f>
        <v>White collar</v>
      </c>
    </row>
    <row r="981" spans="1:22" x14ac:dyDescent="0.3">
      <c r="A981" t="s">
        <v>1015</v>
      </c>
      <c r="B981" s="6" t="s">
        <v>1044</v>
      </c>
      <c r="C981" s="6" t="s">
        <v>1046</v>
      </c>
      <c r="D981" s="3">
        <v>40000</v>
      </c>
      <c r="E981">
        <v>0</v>
      </c>
      <c r="F981" s="6" t="s">
        <v>27</v>
      </c>
      <c r="G981" s="6" t="s">
        <v>14</v>
      </c>
      <c r="H981" s="6" t="s">
        <v>15</v>
      </c>
      <c r="I981">
        <v>1</v>
      </c>
      <c r="J981" t="s">
        <v>23</v>
      </c>
      <c r="K98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81" s="6" t="s">
        <v>32</v>
      </c>
      <c r="M981" s="7">
        <v>31</v>
      </c>
      <c r="N981" t="s">
        <v>18</v>
      </c>
      <c r="O981" s="9" t="str">
        <f>IF(Table1_1[[#This Row],[Purchased Bike]]="yes","1","0")</f>
        <v>0</v>
      </c>
      <c r="P981" s="4" t="str">
        <f>IF(Table1_1[[#This Row],[Income]]&lt;=30000,"Low ",IF(Table1_1[[#This Row],[Income]]&lt;=70000,"Middle","High"))</f>
        <v>Middle</v>
      </c>
      <c r="Q981" s="6" t="str">
        <f>IF(Table1_1[[#This Row],[Age]]&lt;30,"Young",IF(Table1_1[[#This Row],[Age]]&lt;50,"Middle aged","Senior citizen"))</f>
        <v>Middle aged</v>
      </c>
      <c r="R981" s="7">
        <f>IF(Table1_1[[#This Row],[Marriedarital SingletatuSingle]]="M",Table1_1[[#This Row],[Children]]+2,Table1_1[[#This Row],[Children]]+1)</f>
        <v>1</v>
      </c>
      <c r="S981" s="4" t="str">
        <f>IF(Table1_1[[#This Row],[Cars]]=0,"No","Yes")</f>
        <v>Yes</v>
      </c>
      <c r="T981" s="6" t="str">
        <f>IF(AND(Table1_1[[#This Row],[Income]]&gt;50000,Table1_1[[#This Row],[Home Owner]]="Yes"),"High stability","Low stability")</f>
        <v>Low stability</v>
      </c>
      <c r="U981" s="3">
        <f>Table1_1[[#This Row],[Income]]/Table1_1[[#This Row],[Family size]]</f>
        <v>40000</v>
      </c>
      <c r="V981" s="6" t="str">
        <f>IF(Table1_1[[#This Row],[Occupation]]="Skilled manual","Blue collar",IF(Table1_1[[#This Row],[Occupation]]="Manual","Blue collar","White collar"))</f>
        <v>Blue collar</v>
      </c>
    </row>
    <row r="982" spans="1:22" x14ac:dyDescent="0.3">
      <c r="A982" t="s">
        <v>1016</v>
      </c>
      <c r="B982" s="6" t="s">
        <v>1044</v>
      </c>
      <c r="C982" s="6" t="s">
        <v>1045</v>
      </c>
      <c r="D982" s="3">
        <v>80000</v>
      </c>
      <c r="E982">
        <v>3</v>
      </c>
      <c r="F982" s="6" t="s">
        <v>13</v>
      </c>
      <c r="G982" s="6" t="s">
        <v>14</v>
      </c>
      <c r="H982" s="6" t="s">
        <v>15</v>
      </c>
      <c r="I982">
        <v>3</v>
      </c>
      <c r="J982" t="s">
        <v>30</v>
      </c>
      <c r="K98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82" s="6" t="s">
        <v>32</v>
      </c>
      <c r="M982" s="7">
        <v>40</v>
      </c>
      <c r="N982" t="s">
        <v>15</v>
      </c>
      <c r="O982" s="9" t="str">
        <f>IF(Table1_1[[#This Row],[Purchased Bike]]="yes","1","0")</f>
        <v>1</v>
      </c>
      <c r="P982" s="4" t="str">
        <f>IF(Table1_1[[#This Row],[Income]]&lt;=30000,"Low ",IF(Table1_1[[#This Row],[Income]]&lt;=70000,"Middle","High"))</f>
        <v>High</v>
      </c>
      <c r="Q982" s="6" t="str">
        <f>IF(Table1_1[[#This Row],[Age]]&lt;30,"Young",IF(Table1_1[[#This Row],[Age]]&lt;50,"Middle aged","Senior citizen"))</f>
        <v>Middle aged</v>
      </c>
      <c r="R982" s="7">
        <f>IF(Table1_1[[#This Row],[Marriedarital SingletatuSingle]]="M",Table1_1[[#This Row],[Children]]+2,Table1_1[[#This Row],[Children]]+1)</f>
        <v>4</v>
      </c>
      <c r="S982" s="4" t="str">
        <f>IF(Table1_1[[#This Row],[Cars]]=0,"No","Yes")</f>
        <v>Yes</v>
      </c>
      <c r="T982" s="6" t="str">
        <f>IF(AND(Table1_1[[#This Row],[Income]]&gt;50000,Table1_1[[#This Row],[Home Owner]]="Yes"),"High stability","Low stability")</f>
        <v>High stability</v>
      </c>
      <c r="U982" s="3">
        <f>Table1_1[[#This Row],[Income]]/Table1_1[[#This Row],[Family size]]</f>
        <v>20000</v>
      </c>
      <c r="V982" s="6" t="str">
        <f>IF(Table1_1[[#This Row],[Occupation]]="Skilled manual","Blue collar",IF(Table1_1[[#This Row],[Occupation]]="Manual","Blue collar","White collar"))</f>
        <v>Blue collar</v>
      </c>
    </row>
    <row r="983" spans="1:22" x14ac:dyDescent="0.3">
      <c r="A983" t="s">
        <v>1017</v>
      </c>
      <c r="B983" s="6" t="s">
        <v>1042</v>
      </c>
      <c r="C983" s="6" t="s">
        <v>1046</v>
      </c>
      <c r="D983" s="3">
        <v>110000</v>
      </c>
      <c r="E983">
        <v>5</v>
      </c>
      <c r="F983" s="6" t="s">
        <v>19</v>
      </c>
      <c r="G983" s="6" t="s">
        <v>21</v>
      </c>
      <c r="H983" s="6" t="s">
        <v>15</v>
      </c>
      <c r="I983">
        <v>4</v>
      </c>
      <c r="J983" t="s">
        <v>22</v>
      </c>
      <c r="K98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83" s="6" t="s">
        <v>32</v>
      </c>
      <c r="M983" s="7">
        <v>46</v>
      </c>
      <c r="N983" t="s">
        <v>18</v>
      </c>
      <c r="O983" s="9" t="str">
        <f>IF(Table1_1[[#This Row],[Purchased Bike]]="yes","1","0")</f>
        <v>0</v>
      </c>
      <c r="P983" s="4" t="str">
        <f>IF(Table1_1[[#This Row],[Income]]&lt;=30000,"Low ",IF(Table1_1[[#This Row],[Income]]&lt;=70000,"Middle","High"))</f>
        <v>High</v>
      </c>
      <c r="Q983" s="6" t="str">
        <f>IF(Table1_1[[#This Row],[Age]]&lt;30,"Young",IF(Table1_1[[#This Row],[Age]]&lt;50,"Middle aged","Senior citizen"))</f>
        <v>Middle aged</v>
      </c>
      <c r="R983" s="7">
        <f>IF(Table1_1[[#This Row],[Marriedarital SingletatuSingle]]="M",Table1_1[[#This Row],[Children]]+2,Table1_1[[#This Row],[Children]]+1)</f>
        <v>6</v>
      </c>
      <c r="S983" s="4" t="str">
        <f>IF(Table1_1[[#This Row],[Cars]]=0,"No","Yes")</f>
        <v>Yes</v>
      </c>
      <c r="T983" s="6" t="str">
        <f>IF(AND(Table1_1[[#This Row],[Income]]&gt;50000,Table1_1[[#This Row],[Home Owner]]="Yes"),"High stability","Low stability")</f>
        <v>High stability</v>
      </c>
      <c r="U983" s="3">
        <f>Table1_1[[#This Row],[Income]]/Table1_1[[#This Row],[Family size]]</f>
        <v>18333.333333333332</v>
      </c>
      <c r="V983" s="6" t="str">
        <f>IF(Table1_1[[#This Row],[Occupation]]="Skilled manual","Blue collar",IF(Table1_1[[#This Row],[Occupation]]="Manual","Blue collar","White collar"))</f>
        <v>White collar</v>
      </c>
    </row>
    <row r="984" spans="1:22" x14ac:dyDescent="0.3">
      <c r="A984" t="s">
        <v>1018</v>
      </c>
      <c r="B984" s="6" t="s">
        <v>1044</v>
      </c>
      <c r="C984" s="6" t="s">
        <v>1046</v>
      </c>
      <c r="D984" s="3">
        <v>40000</v>
      </c>
      <c r="E984">
        <v>2</v>
      </c>
      <c r="F984" s="6" t="s">
        <v>19</v>
      </c>
      <c r="G984" s="6" t="s">
        <v>20</v>
      </c>
      <c r="H984" s="6" t="s">
        <v>18</v>
      </c>
      <c r="I984">
        <v>1</v>
      </c>
      <c r="J984" t="s">
        <v>26</v>
      </c>
      <c r="K98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84" s="6" t="s">
        <v>32</v>
      </c>
      <c r="M984" s="7">
        <v>47</v>
      </c>
      <c r="N984" t="s">
        <v>15</v>
      </c>
      <c r="O984" s="9" t="str">
        <f>IF(Table1_1[[#This Row],[Purchased Bike]]="yes","1","0")</f>
        <v>1</v>
      </c>
      <c r="P984" s="4" t="str">
        <f>IF(Table1_1[[#This Row],[Income]]&lt;=30000,"Low ",IF(Table1_1[[#This Row],[Income]]&lt;=70000,"Middle","High"))</f>
        <v>Middle</v>
      </c>
      <c r="Q984" s="6" t="str">
        <f>IF(Table1_1[[#This Row],[Age]]&lt;30,"Young",IF(Table1_1[[#This Row],[Age]]&lt;50,"Middle aged","Senior citizen"))</f>
        <v>Middle aged</v>
      </c>
      <c r="R984" s="7">
        <f>IF(Table1_1[[#This Row],[Marriedarital SingletatuSingle]]="M",Table1_1[[#This Row],[Children]]+2,Table1_1[[#This Row],[Children]]+1)</f>
        <v>3</v>
      </c>
      <c r="S984" s="4" t="str">
        <f>IF(Table1_1[[#This Row],[Cars]]=0,"No","Yes")</f>
        <v>Yes</v>
      </c>
      <c r="T984" s="6" t="str">
        <f>IF(AND(Table1_1[[#This Row],[Income]]&gt;50000,Table1_1[[#This Row],[Home Owner]]="Yes"),"High stability","Low stability")</f>
        <v>Low stability</v>
      </c>
      <c r="U984" s="3">
        <f>Table1_1[[#This Row],[Income]]/Table1_1[[#This Row],[Family size]]</f>
        <v>13333.333333333334</v>
      </c>
      <c r="V984" s="6" t="str">
        <f>IF(Table1_1[[#This Row],[Occupation]]="Skilled manual","Blue collar",IF(Table1_1[[#This Row],[Occupation]]="Manual","Blue collar","White collar"))</f>
        <v>White collar</v>
      </c>
    </row>
    <row r="985" spans="1:22" x14ac:dyDescent="0.3">
      <c r="A985" t="s">
        <v>1019</v>
      </c>
      <c r="B985" s="6" t="s">
        <v>1042</v>
      </c>
      <c r="C985" s="6" t="s">
        <v>1046</v>
      </c>
      <c r="D985" s="3">
        <v>130000</v>
      </c>
      <c r="E985">
        <v>2</v>
      </c>
      <c r="F985" s="6" t="s">
        <v>31</v>
      </c>
      <c r="G985" s="6" t="s">
        <v>28</v>
      </c>
      <c r="H985" s="6" t="s">
        <v>15</v>
      </c>
      <c r="I985">
        <v>2</v>
      </c>
      <c r="J985" t="s">
        <v>16</v>
      </c>
      <c r="K98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85" s="6" t="s">
        <v>32</v>
      </c>
      <c r="M985" s="7">
        <v>41</v>
      </c>
      <c r="N985" t="s">
        <v>18</v>
      </c>
      <c r="O985" s="9" t="str">
        <f>IF(Table1_1[[#This Row],[Purchased Bike]]="yes","1","0")</f>
        <v>0</v>
      </c>
      <c r="P985" s="4" t="str">
        <f>IF(Table1_1[[#This Row],[Income]]&lt;=30000,"Low ",IF(Table1_1[[#This Row],[Income]]&lt;=70000,"Middle","High"))</f>
        <v>High</v>
      </c>
      <c r="Q985" s="6" t="str">
        <f>IF(Table1_1[[#This Row],[Age]]&lt;30,"Young",IF(Table1_1[[#This Row],[Age]]&lt;50,"Middle aged","Senior citizen"))</f>
        <v>Middle aged</v>
      </c>
      <c r="R985" s="7">
        <f>IF(Table1_1[[#This Row],[Marriedarital SingletatuSingle]]="M",Table1_1[[#This Row],[Children]]+2,Table1_1[[#This Row],[Children]]+1)</f>
        <v>3</v>
      </c>
      <c r="S985" s="4" t="str">
        <f>IF(Table1_1[[#This Row],[Cars]]=0,"No","Yes")</f>
        <v>Yes</v>
      </c>
      <c r="T985" s="6" t="str">
        <f>IF(AND(Table1_1[[#This Row],[Income]]&gt;50000,Table1_1[[#This Row],[Home Owner]]="Yes"),"High stability","Low stability")</f>
        <v>High stability</v>
      </c>
      <c r="U985" s="3">
        <f>Table1_1[[#This Row],[Income]]/Table1_1[[#This Row],[Family size]]</f>
        <v>43333.333333333336</v>
      </c>
      <c r="V985" s="6" t="str">
        <f>IF(Table1_1[[#This Row],[Occupation]]="Skilled manual","Blue collar",IF(Table1_1[[#This Row],[Occupation]]="Manual","Blue collar","White collar"))</f>
        <v>White collar</v>
      </c>
    </row>
    <row r="986" spans="1:22" x14ac:dyDescent="0.3">
      <c r="A986" t="s">
        <v>1020</v>
      </c>
      <c r="B986" s="6" t="s">
        <v>1042</v>
      </c>
      <c r="C986" s="6" t="s">
        <v>1046</v>
      </c>
      <c r="D986" s="3">
        <v>60000</v>
      </c>
      <c r="E986">
        <v>2</v>
      </c>
      <c r="F986" s="6" t="s">
        <v>27</v>
      </c>
      <c r="G986" s="6" t="s">
        <v>21</v>
      </c>
      <c r="H986" s="6" t="s">
        <v>18</v>
      </c>
      <c r="I986">
        <v>2</v>
      </c>
      <c r="J986" t="s">
        <v>26</v>
      </c>
      <c r="K98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86" s="6" t="s">
        <v>32</v>
      </c>
      <c r="M986" s="7">
        <v>48</v>
      </c>
      <c r="N986" t="s">
        <v>15</v>
      </c>
      <c r="O986" s="9" t="str">
        <f>IF(Table1_1[[#This Row],[Purchased Bike]]="yes","1","0")</f>
        <v>1</v>
      </c>
      <c r="P986" s="4" t="str">
        <f>IF(Table1_1[[#This Row],[Income]]&lt;=30000,"Low ",IF(Table1_1[[#This Row],[Income]]&lt;=70000,"Middle","High"))</f>
        <v>Middle</v>
      </c>
      <c r="Q986" s="6" t="str">
        <f>IF(Table1_1[[#This Row],[Age]]&lt;30,"Young",IF(Table1_1[[#This Row],[Age]]&lt;50,"Middle aged","Senior citizen"))</f>
        <v>Middle aged</v>
      </c>
      <c r="R986" s="7">
        <f>IF(Table1_1[[#This Row],[Marriedarital SingletatuSingle]]="M",Table1_1[[#This Row],[Children]]+2,Table1_1[[#This Row],[Children]]+1)</f>
        <v>3</v>
      </c>
      <c r="S986" s="4" t="str">
        <f>IF(Table1_1[[#This Row],[Cars]]=0,"No","Yes")</f>
        <v>Yes</v>
      </c>
      <c r="T986" s="6" t="str">
        <f>IF(AND(Table1_1[[#This Row],[Income]]&gt;50000,Table1_1[[#This Row],[Home Owner]]="Yes"),"High stability","Low stability")</f>
        <v>Low stability</v>
      </c>
      <c r="U986" s="3">
        <f>Table1_1[[#This Row],[Income]]/Table1_1[[#This Row],[Family size]]</f>
        <v>20000</v>
      </c>
      <c r="V986" s="6" t="str">
        <f>IF(Table1_1[[#This Row],[Occupation]]="Skilled manual","Blue collar",IF(Table1_1[[#This Row],[Occupation]]="Manual","Blue collar","White collar"))</f>
        <v>White collar</v>
      </c>
    </row>
    <row r="987" spans="1:22" x14ac:dyDescent="0.3">
      <c r="A987" t="s">
        <v>1021</v>
      </c>
      <c r="B987" s="6" t="s">
        <v>1044</v>
      </c>
      <c r="C987" s="6" t="s">
        <v>1045</v>
      </c>
      <c r="D987" s="3">
        <v>50000</v>
      </c>
      <c r="E987">
        <v>4</v>
      </c>
      <c r="F987" s="6" t="s">
        <v>13</v>
      </c>
      <c r="G987" s="6" t="s">
        <v>14</v>
      </c>
      <c r="H987" s="6" t="s">
        <v>15</v>
      </c>
      <c r="I987">
        <v>2</v>
      </c>
      <c r="J987" t="s">
        <v>16</v>
      </c>
      <c r="K98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87" s="6" t="s">
        <v>32</v>
      </c>
      <c r="M987" s="7">
        <v>42</v>
      </c>
      <c r="N987" t="s">
        <v>18</v>
      </c>
      <c r="O987" s="9" t="str">
        <f>IF(Table1_1[[#This Row],[Purchased Bike]]="yes","1","0")</f>
        <v>0</v>
      </c>
      <c r="P987" s="4" t="str">
        <f>IF(Table1_1[[#This Row],[Income]]&lt;=30000,"Low ",IF(Table1_1[[#This Row],[Income]]&lt;=70000,"Middle","High"))</f>
        <v>Middle</v>
      </c>
      <c r="Q987" s="6" t="str">
        <f>IF(Table1_1[[#This Row],[Age]]&lt;30,"Young",IF(Table1_1[[#This Row],[Age]]&lt;50,"Middle aged","Senior citizen"))</f>
        <v>Middle aged</v>
      </c>
      <c r="R987" s="7">
        <f>IF(Table1_1[[#This Row],[Marriedarital SingletatuSingle]]="M",Table1_1[[#This Row],[Children]]+2,Table1_1[[#This Row],[Children]]+1)</f>
        <v>5</v>
      </c>
      <c r="S987" s="4" t="str">
        <f>IF(Table1_1[[#This Row],[Cars]]=0,"No","Yes")</f>
        <v>Yes</v>
      </c>
      <c r="T987" s="6" t="str">
        <f>IF(AND(Table1_1[[#This Row],[Income]]&gt;50000,Table1_1[[#This Row],[Home Owner]]="Yes"),"High stability","Low stability")</f>
        <v>Low stability</v>
      </c>
      <c r="U987" s="3">
        <f>Table1_1[[#This Row],[Income]]/Table1_1[[#This Row],[Family size]]</f>
        <v>10000</v>
      </c>
      <c r="V987" s="6" t="str">
        <f>IF(Table1_1[[#This Row],[Occupation]]="Skilled manual","Blue collar",IF(Table1_1[[#This Row],[Occupation]]="Manual","Blue collar","White collar"))</f>
        <v>Blue collar</v>
      </c>
    </row>
    <row r="988" spans="1:22" x14ac:dyDescent="0.3">
      <c r="A988" t="s">
        <v>1022</v>
      </c>
      <c r="B988" s="6" t="s">
        <v>1044</v>
      </c>
      <c r="C988" s="6" t="s">
        <v>1046</v>
      </c>
      <c r="D988" s="3">
        <v>40000</v>
      </c>
      <c r="E988">
        <v>5</v>
      </c>
      <c r="F988" s="6" t="s">
        <v>27</v>
      </c>
      <c r="G988" s="6" t="s">
        <v>21</v>
      </c>
      <c r="H988" s="6" t="s">
        <v>15</v>
      </c>
      <c r="I988">
        <v>4</v>
      </c>
      <c r="J988" t="s">
        <v>30</v>
      </c>
      <c r="K98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88" s="6" t="s">
        <v>32</v>
      </c>
      <c r="M988" s="7">
        <v>60</v>
      </c>
      <c r="N988" t="s">
        <v>15</v>
      </c>
      <c r="O988" s="9" t="str">
        <f>IF(Table1_1[[#This Row],[Purchased Bike]]="yes","1","0")</f>
        <v>1</v>
      </c>
      <c r="P988" s="4" t="str">
        <f>IF(Table1_1[[#This Row],[Income]]&lt;=30000,"Low ",IF(Table1_1[[#This Row],[Income]]&lt;=70000,"Middle","High"))</f>
        <v>Middle</v>
      </c>
      <c r="Q988" s="6" t="str">
        <f>IF(Table1_1[[#This Row],[Age]]&lt;30,"Young",IF(Table1_1[[#This Row],[Age]]&lt;50,"Middle aged","Senior citizen"))</f>
        <v>Senior citizen</v>
      </c>
      <c r="R988" s="7">
        <f>IF(Table1_1[[#This Row],[Marriedarital SingletatuSingle]]="M",Table1_1[[#This Row],[Children]]+2,Table1_1[[#This Row],[Children]]+1)</f>
        <v>6</v>
      </c>
      <c r="S988" s="4" t="str">
        <f>IF(Table1_1[[#This Row],[Cars]]=0,"No","Yes")</f>
        <v>Yes</v>
      </c>
      <c r="T988" s="6" t="str">
        <f>IF(AND(Table1_1[[#This Row],[Income]]&gt;50000,Table1_1[[#This Row],[Home Owner]]="Yes"),"High stability","Low stability")</f>
        <v>Low stability</v>
      </c>
      <c r="U988" s="3">
        <f>Table1_1[[#This Row],[Income]]/Table1_1[[#This Row],[Family size]]</f>
        <v>6666.666666666667</v>
      </c>
      <c r="V988" s="6" t="str">
        <f>IF(Table1_1[[#This Row],[Occupation]]="Skilled manual","Blue collar",IF(Table1_1[[#This Row],[Occupation]]="Manual","Blue collar","White collar"))</f>
        <v>White collar</v>
      </c>
    </row>
    <row r="989" spans="1:22" x14ac:dyDescent="0.3">
      <c r="A989" t="s">
        <v>1023</v>
      </c>
      <c r="B989" s="6" t="s">
        <v>1044</v>
      </c>
      <c r="C989" s="6" t="s">
        <v>1045</v>
      </c>
      <c r="D989" s="3">
        <v>60000</v>
      </c>
      <c r="E989">
        <v>3</v>
      </c>
      <c r="F989" s="6" t="s">
        <v>31</v>
      </c>
      <c r="G989" s="6" t="s">
        <v>28</v>
      </c>
      <c r="H989" s="6" t="s">
        <v>15</v>
      </c>
      <c r="I989">
        <v>2</v>
      </c>
      <c r="J989" t="s">
        <v>30</v>
      </c>
      <c r="K98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89" s="6" t="s">
        <v>32</v>
      </c>
      <c r="M989" s="7">
        <v>66</v>
      </c>
      <c r="N989" t="s">
        <v>18</v>
      </c>
      <c r="O989" s="9" t="str">
        <f>IF(Table1_1[[#This Row],[Purchased Bike]]="yes","1","0")</f>
        <v>0</v>
      </c>
      <c r="P989" s="4" t="str">
        <f>IF(Table1_1[[#This Row],[Income]]&lt;=30000,"Low ",IF(Table1_1[[#This Row],[Income]]&lt;=70000,"Middle","High"))</f>
        <v>Middle</v>
      </c>
      <c r="Q989" s="6" t="str">
        <f>IF(Table1_1[[#This Row],[Age]]&lt;30,"Young",IF(Table1_1[[#This Row],[Age]]&lt;50,"Middle aged","Senior citizen"))</f>
        <v>Senior citizen</v>
      </c>
      <c r="R989" s="7">
        <f>IF(Table1_1[[#This Row],[Marriedarital SingletatuSingle]]="M",Table1_1[[#This Row],[Children]]+2,Table1_1[[#This Row],[Children]]+1)</f>
        <v>4</v>
      </c>
      <c r="S989" s="4" t="str">
        <f>IF(Table1_1[[#This Row],[Cars]]=0,"No","Yes")</f>
        <v>Yes</v>
      </c>
      <c r="T989" s="6" t="str">
        <f>IF(AND(Table1_1[[#This Row],[Income]]&gt;50000,Table1_1[[#This Row],[Home Owner]]="Yes"),"High stability","Low stability")</f>
        <v>High stability</v>
      </c>
      <c r="U989" s="3">
        <f>Table1_1[[#This Row],[Income]]/Table1_1[[#This Row],[Family size]]</f>
        <v>15000</v>
      </c>
      <c r="V989" s="6" t="str">
        <f>IF(Table1_1[[#This Row],[Occupation]]="Skilled manual","Blue collar",IF(Table1_1[[#This Row],[Occupation]]="Manual","Blue collar","White collar"))</f>
        <v>White collar</v>
      </c>
    </row>
    <row r="990" spans="1:22" x14ac:dyDescent="0.3">
      <c r="A990" t="s">
        <v>1024</v>
      </c>
      <c r="B990" s="6" t="s">
        <v>1042</v>
      </c>
      <c r="C990" s="6" t="s">
        <v>1046</v>
      </c>
      <c r="D990" s="3">
        <v>70000</v>
      </c>
      <c r="E990">
        <v>5</v>
      </c>
      <c r="F990" s="6" t="s">
        <v>13</v>
      </c>
      <c r="G990" s="6" t="s">
        <v>28</v>
      </c>
      <c r="H990" s="6" t="s">
        <v>15</v>
      </c>
      <c r="I990">
        <v>2</v>
      </c>
      <c r="J990" t="s">
        <v>30</v>
      </c>
      <c r="K99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90" s="6" t="s">
        <v>32</v>
      </c>
      <c r="M990" s="7">
        <v>63</v>
      </c>
      <c r="N990" t="s">
        <v>18</v>
      </c>
      <c r="O990" s="9" t="str">
        <f>IF(Table1_1[[#This Row],[Purchased Bike]]="yes","1","0")</f>
        <v>0</v>
      </c>
      <c r="P990" s="4" t="str">
        <f>IF(Table1_1[[#This Row],[Income]]&lt;=30000,"Low ",IF(Table1_1[[#This Row],[Income]]&lt;=70000,"Middle","High"))</f>
        <v>Middle</v>
      </c>
      <c r="Q990" s="6" t="str">
        <f>IF(Table1_1[[#This Row],[Age]]&lt;30,"Young",IF(Table1_1[[#This Row],[Age]]&lt;50,"Middle aged","Senior citizen"))</f>
        <v>Senior citizen</v>
      </c>
      <c r="R990" s="7">
        <f>IF(Table1_1[[#This Row],[Marriedarital SingletatuSingle]]="M",Table1_1[[#This Row],[Children]]+2,Table1_1[[#This Row],[Children]]+1)</f>
        <v>6</v>
      </c>
      <c r="S990" s="4" t="str">
        <f>IF(Table1_1[[#This Row],[Cars]]=0,"No","Yes")</f>
        <v>Yes</v>
      </c>
      <c r="T990" s="6" t="str">
        <f>IF(AND(Table1_1[[#This Row],[Income]]&gt;50000,Table1_1[[#This Row],[Home Owner]]="Yes"),"High stability","Low stability")</f>
        <v>High stability</v>
      </c>
      <c r="U990" s="3">
        <f>Table1_1[[#This Row],[Income]]/Table1_1[[#This Row],[Family size]]</f>
        <v>11666.666666666666</v>
      </c>
      <c r="V990" s="6" t="str">
        <f>IF(Table1_1[[#This Row],[Occupation]]="Skilled manual","Blue collar",IF(Table1_1[[#This Row],[Occupation]]="Manual","Blue collar","White collar"))</f>
        <v>White collar</v>
      </c>
    </row>
    <row r="991" spans="1:22" x14ac:dyDescent="0.3">
      <c r="A991" t="s">
        <v>1025</v>
      </c>
      <c r="B991" s="6" t="s">
        <v>1042</v>
      </c>
      <c r="C991" s="6" t="s">
        <v>1046</v>
      </c>
      <c r="D991" s="3">
        <v>60000</v>
      </c>
      <c r="E991">
        <v>4</v>
      </c>
      <c r="F991" s="6" t="s">
        <v>13</v>
      </c>
      <c r="G991" s="6" t="s">
        <v>14</v>
      </c>
      <c r="H991" s="6" t="s">
        <v>18</v>
      </c>
      <c r="I991">
        <v>3</v>
      </c>
      <c r="J991" t="s">
        <v>30</v>
      </c>
      <c r="K99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991" s="6" t="s">
        <v>32</v>
      </c>
      <c r="M991" s="7">
        <v>42</v>
      </c>
      <c r="N991" t="s">
        <v>18</v>
      </c>
      <c r="O991" s="9" t="str">
        <f>IF(Table1_1[[#This Row],[Purchased Bike]]="yes","1","0")</f>
        <v>0</v>
      </c>
      <c r="P991" s="4" t="str">
        <f>IF(Table1_1[[#This Row],[Income]]&lt;=30000,"Low ",IF(Table1_1[[#This Row],[Income]]&lt;=70000,"Middle","High"))</f>
        <v>Middle</v>
      </c>
      <c r="Q991" s="6" t="str">
        <f>IF(Table1_1[[#This Row],[Age]]&lt;30,"Young",IF(Table1_1[[#This Row],[Age]]&lt;50,"Middle aged","Senior citizen"))</f>
        <v>Middle aged</v>
      </c>
      <c r="R991" s="7">
        <f>IF(Table1_1[[#This Row],[Marriedarital SingletatuSingle]]="M",Table1_1[[#This Row],[Children]]+2,Table1_1[[#This Row],[Children]]+1)</f>
        <v>5</v>
      </c>
      <c r="S991" s="4" t="str">
        <f>IF(Table1_1[[#This Row],[Cars]]=0,"No","Yes")</f>
        <v>Yes</v>
      </c>
      <c r="T991" s="6" t="str">
        <f>IF(AND(Table1_1[[#This Row],[Income]]&gt;50000,Table1_1[[#This Row],[Home Owner]]="Yes"),"High stability","Low stability")</f>
        <v>Low stability</v>
      </c>
      <c r="U991" s="3">
        <f>Table1_1[[#This Row],[Income]]/Table1_1[[#This Row],[Family size]]</f>
        <v>12000</v>
      </c>
      <c r="V991" s="6" t="str">
        <f>IF(Table1_1[[#This Row],[Occupation]]="Skilled manual","Blue collar",IF(Table1_1[[#This Row],[Occupation]]="Manual","Blue collar","White collar"))</f>
        <v>Blue collar</v>
      </c>
    </row>
    <row r="992" spans="1:22" x14ac:dyDescent="0.3">
      <c r="A992" t="s">
        <v>1026</v>
      </c>
      <c r="B992" s="6" t="s">
        <v>1044</v>
      </c>
      <c r="C992" s="6" t="s">
        <v>1045</v>
      </c>
      <c r="D992" s="3">
        <v>30000</v>
      </c>
      <c r="E992">
        <v>0</v>
      </c>
      <c r="F992" s="6" t="s">
        <v>27</v>
      </c>
      <c r="G992" s="6" t="s">
        <v>14</v>
      </c>
      <c r="H992" s="6" t="s">
        <v>18</v>
      </c>
      <c r="I992">
        <v>2</v>
      </c>
      <c r="J992" t="s">
        <v>23</v>
      </c>
      <c r="K992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92" s="6" t="s">
        <v>32</v>
      </c>
      <c r="M992" s="7">
        <v>26</v>
      </c>
      <c r="N992" t="s">
        <v>18</v>
      </c>
      <c r="O992" s="9" t="str">
        <f>IF(Table1_1[[#This Row],[Purchased Bike]]="yes","1","0")</f>
        <v>0</v>
      </c>
      <c r="P992" s="4" t="str">
        <f>IF(Table1_1[[#This Row],[Income]]&lt;=30000,"Low ",IF(Table1_1[[#This Row],[Income]]&lt;=70000,"Middle","High"))</f>
        <v xml:space="preserve">Low </v>
      </c>
      <c r="Q992" s="6" t="str">
        <f>IF(Table1_1[[#This Row],[Age]]&lt;30,"Young",IF(Table1_1[[#This Row],[Age]]&lt;50,"Middle aged","Senior citizen"))</f>
        <v>Young</v>
      </c>
      <c r="R992" s="7">
        <f>IF(Table1_1[[#This Row],[Marriedarital SingletatuSingle]]="M",Table1_1[[#This Row],[Children]]+2,Table1_1[[#This Row],[Children]]+1)</f>
        <v>1</v>
      </c>
      <c r="S992" s="4" t="str">
        <f>IF(Table1_1[[#This Row],[Cars]]=0,"No","Yes")</f>
        <v>Yes</v>
      </c>
      <c r="T992" s="6" t="str">
        <f>IF(AND(Table1_1[[#This Row],[Income]]&gt;50000,Table1_1[[#This Row],[Home Owner]]="Yes"),"High stability","Low stability")</f>
        <v>Low stability</v>
      </c>
      <c r="U992" s="3">
        <f>Table1_1[[#This Row],[Income]]/Table1_1[[#This Row],[Family size]]</f>
        <v>30000</v>
      </c>
      <c r="V992" s="6" t="str">
        <f>IF(Table1_1[[#This Row],[Occupation]]="Skilled manual","Blue collar",IF(Table1_1[[#This Row],[Occupation]]="Manual","Blue collar","White collar"))</f>
        <v>Blue collar</v>
      </c>
    </row>
    <row r="993" spans="1:22" x14ac:dyDescent="0.3">
      <c r="A993" t="s">
        <v>1027</v>
      </c>
      <c r="B993" s="6" t="s">
        <v>1044</v>
      </c>
      <c r="C993" s="6" t="s">
        <v>1045</v>
      </c>
      <c r="D993" s="3">
        <v>60000</v>
      </c>
      <c r="E993">
        <v>1</v>
      </c>
      <c r="F993" s="6" t="s">
        <v>31</v>
      </c>
      <c r="G993" s="6" t="s">
        <v>21</v>
      </c>
      <c r="H993" s="6" t="s">
        <v>15</v>
      </c>
      <c r="I993">
        <v>0</v>
      </c>
      <c r="J993" t="s">
        <v>22</v>
      </c>
      <c r="K993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93" s="6" t="s">
        <v>32</v>
      </c>
      <c r="M993" s="7">
        <v>36</v>
      </c>
      <c r="N993" t="s">
        <v>15</v>
      </c>
      <c r="O993" s="9" t="str">
        <f>IF(Table1_1[[#This Row],[Purchased Bike]]="yes","1","0")</f>
        <v>1</v>
      </c>
      <c r="P993" s="4" t="str">
        <f>IF(Table1_1[[#This Row],[Income]]&lt;=30000,"Low ",IF(Table1_1[[#This Row],[Income]]&lt;=70000,"Middle","High"))</f>
        <v>Middle</v>
      </c>
      <c r="Q993" s="6" t="str">
        <f>IF(Table1_1[[#This Row],[Age]]&lt;30,"Young",IF(Table1_1[[#This Row],[Age]]&lt;50,"Middle aged","Senior citizen"))</f>
        <v>Middle aged</v>
      </c>
      <c r="R993" s="7">
        <f>IF(Table1_1[[#This Row],[Marriedarital SingletatuSingle]]="M",Table1_1[[#This Row],[Children]]+2,Table1_1[[#This Row],[Children]]+1)</f>
        <v>2</v>
      </c>
      <c r="S993" s="4" t="str">
        <f>IF(Table1_1[[#This Row],[Cars]]=0,"No","Yes")</f>
        <v>No</v>
      </c>
      <c r="T993" s="6" t="str">
        <f>IF(AND(Table1_1[[#This Row],[Income]]&gt;50000,Table1_1[[#This Row],[Home Owner]]="Yes"),"High stability","Low stability")</f>
        <v>High stability</v>
      </c>
      <c r="U993" s="3">
        <f>Table1_1[[#This Row],[Income]]/Table1_1[[#This Row],[Family size]]</f>
        <v>30000</v>
      </c>
      <c r="V993" s="6" t="str">
        <f>IF(Table1_1[[#This Row],[Occupation]]="Skilled manual","Blue collar",IF(Table1_1[[#This Row],[Occupation]]="Manual","Blue collar","White collar"))</f>
        <v>White collar</v>
      </c>
    </row>
    <row r="994" spans="1:22" x14ac:dyDescent="0.3">
      <c r="A994" t="s">
        <v>1028</v>
      </c>
      <c r="B994" s="6" t="s">
        <v>1042</v>
      </c>
      <c r="C994" s="6" t="s">
        <v>1046</v>
      </c>
      <c r="D994" s="3">
        <v>90000</v>
      </c>
      <c r="E994">
        <v>2</v>
      </c>
      <c r="F994" s="6" t="s">
        <v>19</v>
      </c>
      <c r="G994" s="6" t="s">
        <v>21</v>
      </c>
      <c r="H994" s="6" t="s">
        <v>18</v>
      </c>
      <c r="I994">
        <v>0</v>
      </c>
      <c r="J994" t="s">
        <v>23</v>
      </c>
      <c r="K994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7.5</v>
      </c>
      <c r="L994" s="6" t="s">
        <v>32</v>
      </c>
      <c r="M994" s="7">
        <v>49</v>
      </c>
      <c r="N994" t="s">
        <v>15</v>
      </c>
      <c r="O994" s="9" t="str">
        <f>IF(Table1_1[[#This Row],[Purchased Bike]]="yes","1","0")</f>
        <v>1</v>
      </c>
      <c r="P994" s="4" t="str">
        <f>IF(Table1_1[[#This Row],[Income]]&lt;=30000,"Low ",IF(Table1_1[[#This Row],[Income]]&lt;=70000,"Middle","High"))</f>
        <v>High</v>
      </c>
      <c r="Q994" s="6" t="str">
        <f>IF(Table1_1[[#This Row],[Age]]&lt;30,"Young",IF(Table1_1[[#This Row],[Age]]&lt;50,"Middle aged","Senior citizen"))</f>
        <v>Middle aged</v>
      </c>
      <c r="R994" s="7">
        <f>IF(Table1_1[[#This Row],[Marriedarital SingletatuSingle]]="M",Table1_1[[#This Row],[Children]]+2,Table1_1[[#This Row],[Children]]+1)</f>
        <v>3</v>
      </c>
      <c r="S994" s="4" t="str">
        <f>IF(Table1_1[[#This Row],[Cars]]=0,"No","Yes")</f>
        <v>No</v>
      </c>
      <c r="T994" s="6" t="str">
        <f>IF(AND(Table1_1[[#This Row],[Income]]&gt;50000,Table1_1[[#This Row],[Home Owner]]="Yes"),"High stability","Low stability")</f>
        <v>Low stability</v>
      </c>
      <c r="U994" s="3">
        <f>Table1_1[[#This Row],[Income]]/Table1_1[[#This Row],[Family size]]</f>
        <v>30000</v>
      </c>
      <c r="V994" s="6" t="str">
        <f>IF(Table1_1[[#This Row],[Occupation]]="Skilled manual","Blue collar",IF(Table1_1[[#This Row],[Occupation]]="Manual","Blue collar","White collar"))</f>
        <v>White collar</v>
      </c>
    </row>
    <row r="995" spans="1:22" x14ac:dyDescent="0.3">
      <c r="A995" t="s">
        <v>1029</v>
      </c>
      <c r="B995" s="6" t="s">
        <v>1044</v>
      </c>
      <c r="C995" s="6" t="s">
        <v>1046</v>
      </c>
      <c r="D995" s="3">
        <v>150000</v>
      </c>
      <c r="E995">
        <v>1</v>
      </c>
      <c r="F995" s="6" t="s">
        <v>19</v>
      </c>
      <c r="G995" s="6" t="s">
        <v>21</v>
      </c>
      <c r="H995" s="6" t="s">
        <v>18</v>
      </c>
      <c r="I995">
        <v>3</v>
      </c>
      <c r="J995" t="s">
        <v>16</v>
      </c>
      <c r="K995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95" s="6" t="s">
        <v>32</v>
      </c>
      <c r="M995" s="7">
        <v>44</v>
      </c>
      <c r="N995" t="s">
        <v>15</v>
      </c>
      <c r="O995" s="9" t="str">
        <f>IF(Table1_1[[#This Row],[Purchased Bike]]="yes","1","0")</f>
        <v>1</v>
      </c>
      <c r="P995" s="4" t="str">
        <f>IF(Table1_1[[#This Row],[Income]]&lt;=30000,"Low ",IF(Table1_1[[#This Row],[Income]]&lt;=70000,"Middle","High"))</f>
        <v>High</v>
      </c>
      <c r="Q995" s="6" t="str">
        <f>IF(Table1_1[[#This Row],[Age]]&lt;30,"Young",IF(Table1_1[[#This Row],[Age]]&lt;50,"Middle aged","Senior citizen"))</f>
        <v>Middle aged</v>
      </c>
      <c r="R995" s="7">
        <f>IF(Table1_1[[#This Row],[Marriedarital SingletatuSingle]]="M",Table1_1[[#This Row],[Children]]+2,Table1_1[[#This Row],[Children]]+1)</f>
        <v>2</v>
      </c>
      <c r="S995" s="4" t="str">
        <f>IF(Table1_1[[#This Row],[Cars]]=0,"No","Yes")</f>
        <v>Yes</v>
      </c>
      <c r="T995" s="6" t="str">
        <f>IF(AND(Table1_1[[#This Row],[Income]]&gt;50000,Table1_1[[#This Row],[Home Owner]]="Yes"),"High stability","Low stability")</f>
        <v>Low stability</v>
      </c>
      <c r="U995" s="3">
        <f>Table1_1[[#This Row],[Income]]/Table1_1[[#This Row],[Family size]]</f>
        <v>75000</v>
      </c>
      <c r="V995" s="6" t="str">
        <f>IF(Table1_1[[#This Row],[Occupation]]="Skilled manual","Blue collar",IF(Table1_1[[#This Row],[Occupation]]="Manual","Blue collar","White collar"))</f>
        <v>White collar</v>
      </c>
    </row>
    <row r="996" spans="1:22" x14ac:dyDescent="0.3">
      <c r="A996" t="s">
        <v>1030</v>
      </c>
      <c r="B996" s="6" t="s">
        <v>1042</v>
      </c>
      <c r="C996" s="6" t="s">
        <v>1046</v>
      </c>
      <c r="D996" s="3">
        <v>80000</v>
      </c>
      <c r="E996">
        <v>5</v>
      </c>
      <c r="F996" s="6" t="s">
        <v>19</v>
      </c>
      <c r="G996" s="6" t="s">
        <v>21</v>
      </c>
      <c r="H996" s="6" t="s">
        <v>15</v>
      </c>
      <c r="I996">
        <v>3</v>
      </c>
      <c r="J996" t="s">
        <v>26</v>
      </c>
      <c r="K996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996" s="6" t="s">
        <v>32</v>
      </c>
      <c r="M996" s="7">
        <v>46</v>
      </c>
      <c r="N996" t="s">
        <v>18</v>
      </c>
      <c r="O996" s="9" t="str">
        <f>IF(Table1_1[[#This Row],[Purchased Bike]]="yes","1","0")</f>
        <v>0</v>
      </c>
      <c r="P996" s="4" t="str">
        <f>IF(Table1_1[[#This Row],[Income]]&lt;=30000,"Low ",IF(Table1_1[[#This Row],[Income]]&lt;=70000,"Middle","High"))</f>
        <v>High</v>
      </c>
      <c r="Q996" s="6" t="str">
        <f>IF(Table1_1[[#This Row],[Age]]&lt;30,"Young",IF(Table1_1[[#This Row],[Age]]&lt;50,"Middle aged","Senior citizen"))</f>
        <v>Middle aged</v>
      </c>
      <c r="R996" s="7">
        <f>IF(Table1_1[[#This Row],[Marriedarital SingletatuSingle]]="M",Table1_1[[#This Row],[Children]]+2,Table1_1[[#This Row],[Children]]+1)</f>
        <v>6</v>
      </c>
      <c r="S996" s="4" t="str">
        <f>IF(Table1_1[[#This Row],[Cars]]=0,"No","Yes")</f>
        <v>Yes</v>
      </c>
      <c r="T996" s="6" t="str">
        <f>IF(AND(Table1_1[[#This Row],[Income]]&gt;50000,Table1_1[[#This Row],[Home Owner]]="Yes"),"High stability","Low stability")</f>
        <v>High stability</v>
      </c>
      <c r="U996" s="3">
        <f>Table1_1[[#This Row],[Income]]/Table1_1[[#This Row],[Family size]]</f>
        <v>13333.333333333334</v>
      </c>
      <c r="V996" s="6" t="str">
        <f>IF(Table1_1[[#This Row],[Occupation]]="Skilled manual","Blue collar",IF(Table1_1[[#This Row],[Occupation]]="Manual","Blue collar","White collar"))</f>
        <v>White collar</v>
      </c>
    </row>
    <row r="997" spans="1:22" x14ac:dyDescent="0.3">
      <c r="A997" t="s">
        <v>1031</v>
      </c>
      <c r="B997" s="6" t="s">
        <v>1042</v>
      </c>
      <c r="C997" s="6" t="s">
        <v>1046</v>
      </c>
      <c r="D997" s="3">
        <v>60000</v>
      </c>
      <c r="E997">
        <v>2</v>
      </c>
      <c r="F997" s="6" t="s">
        <v>27</v>
      </c>
      <c r="G997" s="6" t="s">
        <v>21</v>
      </c>
      <c r="H997" s="6" t="s">
        <v>15</v>
      </c>
      <c r="I997">
        <v>2</v>
      </c>
      <c r="J997" t="s">
        <v>22</v>
      </c>
      <c r="K997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97" s="6" t="s">
        <v>32</v>
      </c>
      <c r="M997" s="7">
        <v>54</v>
      </c>
      <c r="N997" t="s">
        <v>15</v>
      </c>
      <c r="O997" s="9" t="str">
        <f>IF(Table1_1[[#This Row],[Purchased Bike]]="yes","1","0")</f>
        <v>1</v>
      </c>
      <c r="P997" s="4" t="str">
        <f>IF(Table1_1[[#This Row],[Income]]&lt;=30000,"Low ",IF(Table1_1[[#This Row],[Income]]&lt;=70000,"Middle","High"))</f>
        <v>Middle</v>
      </c>
      <c r="Q997" s="6" t="str">
        <f>IF(Table1_1[[#This Row],[Age]]&lt;30,"Young",IF(Table1_1[[#This Row],[Age]]&lt;50,"Middle aged","Senior citizen"))</f>
        <v>Senior citizen</v>
      </c>
      <c r="R997" s="7">
        <f>IF(Table1_1[[#This Row],[Marriedarital SingletatuSingle]]="M",Table1_1[[#This Row],[Children]]+2,Table1_1[[#This Row],[Children]]+1)</f>
        <v>3</v>
      </c>
      <c r="S997" s="4" t="str">
        <f>IF(Table1_1[[#This Row],[Cars]]=0,"No","Yes")</f>
        <v>Yes</v>
      </c>
      <c r="T997" s="6" t="str">
        <f>IF(AND(Table1_1[[#This Row],[Income]]&gt;50000,Table1_1[[#This Row],[Home Owner]]="Yes"),"High stability","Low stability")</f>
        <v>High stability</v>
      </c>
      <c r="U997" s="3">
        <f>Table1_1[[#This Row],[Income]]/Table1_1[[#This Row],[Family size]]</f>
        <v>20000</v>
      </c>
      <c r="V997" s="6" t="str">
        <f>IF(Table1_1[[#This Row],[Occupation]]="Skilled manual","Blue collar",IF(Table1_1[[#This Row],[Occupation]]="Manual","Blue collar","White collar"))</f>
        <v>White collar</v>
      </c>
    </row>
    <row r="998" spans="1:22" x14ac:dyDescent="0.3">
      <c r="A998" t="s">
        <v>1032</v>
      </c>
      <c r="B998" s="6" t="s">
        <v>1044</v>
      </c>
      <c r="C998" s="6" t="s">
        <v>1046</v>
      </c>
      <c r="D998" s="3">
        <v>70000</v>
      </c>
      <c r="E998">
        <v>4</v>
      </c>
      <c r="F998" s="6" t="s">
        <v>31</v>
      </c>
      <c r="G998" s="6" t="s">
        <v>21</v>
      </c>
      <c r="H998" s="6" t="s">
        <v>15</v>
      </c>
      <c r="I998">
        <v>0</v>
      </c>
      <c r="J998" t="s">
        <v>22</v>
      </c>
      <c r="K998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3.5</v>
      </c>
      <c r="L998" s="6" t="s">
        <v>32</v>
      </c>
      <c r="M998" s="7">
        <v>35</v>
      </c>
      <c r="N998" t="s">
        <v>15</v>
      </c>
      <c r="O998" s="9" t="str">
        <f>IF(Table1_1[[#This Row],[Purchased Bike]]="yes","1","0")</f>
        <v>1</v>
      </c>
      <c r="P998" s="4" t="str">
        <f>IF(Table1_1[[#This Row],[Income]]&lt;=30000,"Low ",IF(Table1_1[[#This Row],[Income]]&lt;=70000,"Middle","High"))</f>
        <v>Middle</v>
      </c>
      <c r="Q998" s="6" t="str">
        <f>IF(Table1_1[[#This Row],[Age]]&lt;30,"Young",IF(Table1_1[[#This Row],[Age]]&lt;50,"Middle aged","Senior citizen"))</f>
        <v>Middle aged</v>
      </c>
      <c r="R998" s="7">
        <f>IF(Table1_1[[#This Row],[Marriedarital SingletatuSingle]]="M",Table1_1[[#This Row],[Children]]+2,Table1_1[[#This Row],[Children]]+1)</f>
        <v>5</v>
      </c>
      <c r="S998" s="4" t="str">
        <f>IF(Table1_1[[#This Row],[Cars]]=0,"No","Yes")</f>
        <v>No</v>
      </c>
      <c r="T998" s="6" t="str">
        <f>IF(AND(Table1_1[[#This Row],[Income]]&gt;50000,Table1_1[[#This Row],[Home Owner]]="Yes"),"High stability","Low stability")</f>
        <v>High stability</v>
      </c>
      <c r="U998" s="3">
        <f>Table1_1[[#This Row],[Income]]/Table1_1[[#This Row],[Family size]]</f>
        <v>14000</v>
      </c>
      <c r="V998" s="6" t="str">
        <f>IF(Table1_1[[#This Row],[Occupation]]="Skilled manual","Blue collar",IF(Table1_1[[#This Row],[Occupation]]="Manual","Blue collar","White collar"))</f>
        <v>White collar</v>
      </c>
    </row>
    <row r="999" spans="1:22" x14ac:dyDescent="0.3">
      <c r="A999" t="s">
        <v>1033</v>
      </c>
      <c r="B999" s="6" t="s">
        <v>1042</v>
      </c>
      <c r="C999" s="6" t="s">
        <v>1046</v>
      </c>
      <c r="D999" s="3">
        <v>60000</v>
      </c>
      <c r="E999">
        <v>2</v>
      </c>
      <c r="F999" s="6" t="s">
        <v>13</v>
      </c>
      <c r="G999" s="6" t="s">
        <v>14</v>
      </c>
      <c r="H999" s="6" t="s">
        <v>15</v>
      </c>
      <c r="I999">
        <v>0</v>
      </c>
      <c r="J999" t="s">
        <v>16</v>
      </c>
      <c r="K999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0.5</v>
      </c>
      <c r="L999" s="6" t="s">
        <v>32</v>
      </c>
      <c r="M999" s="7">
        <v>38</v>
      </c>
      <c r="N999" t="s">
        <v>15</v>
      </c>
      <c r="O999" s="9" t="str">
        <f>IF(Table1_1[[#This Row],[Purchased Bike]]="yes","1","0")</f>
        <v>1</v>
      </c>
      <c r="P999" s="4" t="str">
        <f>IF(Table1_1[[#This Row],[Income]]&lt;=30000,"Low ",IF(Table1_1[[#This Row],[Income]]&lt;=70000,"Middle","High"))</f>
        <v>Middle</v>
      </c>
      <c r="Q999" s="6" t="str">
        <f>IF(Table1_1[[#This Row],[Age]]&lt;30,"Young",IF(Table1_1[[#This Row],[Age]]&lt;50,"Middle aged","Senior citizen"))</f>
        <v>Middle aged</v>
      </c>
      <c r="R999" s="7">
        <f>IF(Table1_1[[#This Row],[Marriedarital SingletatuSingle]]="M",Table1_1[[#This Row],[Children]]+2,Table1_1[[#This Row],[Children]]+1)</f>
        <v>3</v>
      </c>
      <c r="S999" s="4" t="str">
        <f>IF(Table1_1[[#This Row],[Cars]]=0,"No","Yes")</f>
        <v>No</v>
      </c>
      <c r="T999" s="6" t="str">
        <f>IF(AND(Table1_1[[#This Row],[Income]]&gt;50000,Table1_1[[#This Row],[Home Owner]]="Yes"),"High stability","Low stability")</f>
        <v>High stability</v>
      </c>
      <c r="U999" s="3">
        <f>Table1_1[[#This Row],[Income]]/Table1_1[[#This Row],[Family size]]</f>
        <v>20000</v>
      </c>
      <c r="V999" s="6" t="str">
        <f>IF(Table1_1[[#This Row],[Occupation]]="Skilled manual","Blue collar",IF(Table1_1[[#This Row],[Occupation]]="Manual","Blue collar","White collar"))</f>
        <v>Blue collar</v>
      </c>
    </row>
    <row r="1000" spans="1:22" x14ac:dyDescent="0.3">
      <c r="A1000" t="s">
        <v>1034</v>
      </c>
      <c r="B1000" s="6" t="s">
        <v>1044</v>
      </c>
      <c r="C1000" s="6" t="s">
        <v>1046</v>
      </c>
      <c r="D1000" s="3">
        <v>100000</v>
      </c>
      <c r="E1000">
        <v>3</v>
      </c>
      <c r="F1000" s="6" t="s">
        <v>13</v>
      </c>
      <c r="G1000" s="6" t="s">
        <v>28</v>
      </c>
      <c r="H1000" s="6" t="s">
        <v>18</v>
      </c>
      <c r="I1000">
        <v>3</v>
      </c>
      <c r="J1000" t="s">
        <v>26</v>
      </c>
      <c r="K1000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1.5</v>
      </c>
      <c r="L1000" s="6" t="s">
        <v>32</v>
      </c>
      <c r="M1000" s="7">
        <v>38</v>
      </c>
      <c r="N1000" t="s">
        <v>18</v>
      </c>
      <c r="O1000" s="9" t="str">
        <f>IF(Table1_1[[#This Row],[Purchased Bike]]="yes","1","0")</f>
        <v>0</v>
      </c>
      <c r="P1000" s="4" t="str">
        <f>IF(Table1_1[[#This Row],[Income]]&lt;=30000,"Low ",IF(Table1_1[[#This Row],[Income]]&lt;=70000,"Middle","High"))</f>
        <v>High</v>
      </c>
      <c r="Q1000" s="6" t="str">
        <f>IF(Table1_1[[#This Row],[Age]]&lt;30,"Young",IF(Table1_1[[#This Row],[Age]]&lt;50,"Middle aged","Senior citizen"))</f>
        <v>Middle aged</v>
      </c>
      <c r="R1000" s="7">
        <f>IF(Table1_1[[#This Row],[Marriedarital SingletatuSingle]]="M",Table1_1[[#This Row],[Children]]+2,Table1_1[[#This Row],[Children]]+1)</f>
        <v>4</v>
      </c>
      <c r="S1000" s="4" t="str">
        <f>IF(Table1_1[[#This Row],[Cars]]=0,"No","Yes")</f>
        <v>Yes</v>
      </c>
      <c r="T1000" s="6" t="str">
        <f>IF(AND(Table1_1[[#This Row],[Income]]&gt;50000,Table1_1[[#This Row],[Home Owner]]="Yes"),"High stability","Low stability")</f>
        <v>Low stability</v>
      </c>
      <c r="U1000" s="3">
        <f>Table1_1[[#This Row],[Income]]/Table1_1[[#This Row],[Family size]]</f>
        <v>25000</v>
      </c>
      <c r="V1000" s="6" t="str">
        <f>IF(Table1_1[[#This Row],[Occupation]]="Skilled manual","Blue collar",IF(Table1_1[[#This Row],[Occupation]]="Manual","Blue collar","White collar"))</f>
        <v>White collar</v>
      </c>
    </row>
    <row r="1001" spans="1:22" x14ac:dyDescent="0.3">
      <c r="A1001" t="s">
        <v>1035</v>
      </c>
      <c r="B1001" s="6" t="s">
        <v>1044</v>
      </c>
      <c r="C1001" s="6" t="s">
        <v>1046</v>
      </c>
      <c r="D1001" s="3">
        <v>60000</v>
      </c>
      <c r="E1001">
        <v>3</v>
      </c>
      <c r="F1001" s="6" t="s">
        <v>27</v>
      </c>
      <c r="G1001" s="6" t="s">
        <v>21</v>
      </c>
      <c r="H1001" s="6" t="s">
        <v>15</v>
      </c>
      <c r="I1001">
        <v>2</v>
      </c>
      <c r="J1001" t="s">
        <v>30</v>
      </c>
      <c r="K1001" s="5">
        <f>IF(Table1_1[[#This Row],[Commute Distance]]="0-1 Miles",0.5,IF(Table1_1[[#This Row],[Commute Distance]]="1-2 Miles",1.5,IF(Table1_1[[#This Row],[Commute Distance]]="2-5 Miles",3.5,IF(Table1_1[[#This Row],[Commute Distance]]="5-10 Miles",7.5,12))))</f>
        <v>12</v>
      </c>
      <c r="L1001" s="6" t="s">
        <v>32</v>
      </c>
      <c r="M1001" s="7">
        <v>53</v>
      </c>
      <c r="N1001" t="s">
        <v>15</v>
      </c>
      <c r="O1001" s="9" t="str">
        <f>IF(Table1_1[[#This Row],[Purchased Bike]]="yes","1","0")</f>
        <v>1</v>
      </c>
      <c r="P1001" s="4" t="str">
        <f>IF(Table1_1[[#This Row],[Income]]&lt;=30000,"Low ",IF(Table1_1[[#This Row],[Income]]&lt;=70000,"Middle","High"))</f>
        <v>Middle</v>
      </c>
      <c r="Q1001" s="6" t="str">
        <f>IF(Table1_1[[#This Row],[Age]]&lt;30,"Young",IF(Table1_1[[#This Row],[Age]]&lt;50,"Middle aged","Senior citizen"))</f>
        <v>Senior citizen</v>
      </c>
      <c r="R1001" s="7">
        <f>IF(Table1_1[[#This Row],[Marriedarital SingletatuSingle]]="M",Table1_1[[#This Row],[Children]]+2,Table1_1[[#This Row],[Children]]+1)</f>
        <v>4</v>
      </c>
      <c r="S1001" s="4" t="str">
        <f>IF(Table1_1[[#This Row],[Cars]]=0,"No","Yes")</f>
        <v>Yes</v>
      </c>
      <c r="T1001" s="6" t="str">
        <f>IF(AND(Table1_1[[#This Row],[Income]]&gt;50000,Table1_1[[#This Row],[Home Owner]]="Yes"),"High stability","Low stability")</f>
        <v>High stability</v>
      </c>
      <c r="U1001" s="3">
        <f>Table1_1[[#This Row],[Income]]/Table1_1[[#This Row],[Family size]]</f>
        <v>15000</v>
      </c>
      <c r="V1001" s="6" t="str">
        <f>IF(Table1_1[[#This Row],[Occupation]]="Skilled manual","Blue collar",IF(Table1_1[[#This Row],[Occupation]]="Manual","Blue collar","White collar"))</f>
        <v>White collar</v>
      </c>
    </row>
  </sheetData>
  <conditionalFormatting sqref="D1:D1048576">
    <cfRule type="top10" dxfId="35" priority="47" rank="10"/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{A8D7D89A-94F8-4D94-9490-B79E9E0C0680}</x14:id>
        </ext>
      </extLst>
    </cfRule>
  </conditionalFormatting>
  <conditionalFormatting sqref="I1:I1048576">
    <cfRule type="cellIs" dxfId="34" priority="1" operator="between">
      <formula>1</formula>
      <formula>2</formula>
    </cfRule>
    <cfRule type="cellIs" dxfId="33" priority="48" stopIfTrue="1" operator="greaterThan">
      <formula>2</formula>
    </cfRule>
    <cfRule type="cellIs" dxfId="32" priority="49" stopIfTrue="1" operator="lessThan">
      <formula>1</formula>
    </cfRule>
  </conditionalFormatting>
  <conditionalFormatting sqref="O1002:O1048576 N1:N1001">
    <cfRule type="containsText" dxfId="31" priority="5" operator="containsText" text="y">
      <formula>NOT(ISERROR(SEARCH("y",N1)))</formula>
    </cfRule>
    <cfRule type="containsText" dxfId="30" priority="44" operator="containsText" text="No">
      <formula>NOT(ISERROR(SEARCH("No",N1)))</formula>
    </cfRule>
    <cfRule type="expression" dxfId="29" priority="45">
      <formula>"No"</formula>
    </cfRule>
    <cfRule type="colorScale" priority="46">
      <colorScale>
        <cfvo type="min"/>
        <cfvo type="max"/>
        <color rgb="FFFFEF9C"/>
        <color rgb="FF63BE7B"/>
      </colorScale>
    </cfRule>
  </conditionalFormatting>
  <conditionalFormatting sqref="H1:H1048576">
    <cfRule type="containsText" dxfId="28" priority="2" operator="containsText" text="y">
      <formula>NOT(ISERROR(SEARCH("y",H1)))</formula>
    </cfRule>
    <cfRule type="containsText" dxfId="27" priority="37" operator="containsText" text="No">
      <formula>NOT(ISERROR(SEARCH("No",H1)))</formula>
    </cfRule>
    <cfRule type="containsText" dxfId="26" priority="43" operator="containsText" text="No">
      <formula>NOT(ISERROR(SEARCH("No",H1)))</formula>
    </cfRule>
  </conditionalFormatting>
  <conditionalFormatting sqref="O1002:O1048576 N1:N1001">
    <cfRule type="containsText" dxfId="25" priority="39" operator="containsText" text="No">
      <formula>NOT(ISERROR(SEARCH("No",N1)))</formula>
    </cfRule>
  </conditionalFormatting>
  <conditionalFormatting sqref="Q1002:Q1048576 P1:P1001">
    <cfRule type="containsText" dxfId="24" priority="30" stopIfTrue="1" operator="containsText" text="middle">
      <formula>NOT(ISERROR(SEARCH("middle",P1)))</formula>
    </cfRule>
    <cfRule type="containsText" dxfId="23" priority="31" stopIfTrue="1" operator="containsText" text="low">
      <formula>NOT(ISERROR(SEARCH("low",P1)))</formula>
    </cfRule>
    <cfRule type="containsText" dxfId="22" priority="32" stopIfTrue="1" operator="containsText" text="high">
      <formula>NOT(ISERROR(SEARCH("high",P1)))</formula>
    </cfRule>
  </conditionalFormatting>
  <conditionalFormatting sqref="W1002:W1048576 V1:V1001">
    <cfRule type="containsText" dxfId="21" priority="18" operator="containsText" text="white">
      <formula>NOT(ISERROR(SEARCH("white",V1)))</formula>
    </cfRule>
    <cfRule type="containsText" dxfId="20" priority="26" operator="containsText" text="white collar">
      <formula>NOT(ISERROR(SEARCH("white collar",V1)))</formula>
    </cfRule>
    <cfRule type="containsText" dxfId="19" priority="27" operator="containsText" text="blue collar">
      <formula>NOT(ISERROR(SEARCH("blue collar",V1)))</formula>
    </cfRule>
    <cfRule type="containsText" dxfId="18" priority="28" operator="containsText" text="blue collar">
      <formula>NOT(ISERROR(SEARCH("blue collar",V1)))</formula>
    </cfRule>
    <cfRule type="containsText" dxfId="17" priority="29" operator="containsText" text="White collar">
      <formula>NOT(ISERROR(SEARCH("White collar",V1)))</formula>
    </cfRule>
  </conditionalFormatting>
  <conditionalFormatting sqref="V1002:V1048576 U2:U1001">
    <cfRule type="cellIs" dxfId="16" priority="19" operator="greaterThan">
      <formula>50000</formula>
    </cfRule>
    <cfRule type="cellIs" dxfId="15" priority="22" operator="greaterThan">
      <formula>50000</formula>
    </cfRule>
    <cfRule type="cellIs" dxfId="14" priority="24" stopIfTrue="1" operator="between">
      <formula>15001</formula>
      <formula>50000</formula>
    </cfRule>
    <cfRule type="cellIs" dxfId="13" priority="25" operator="lessThan">
      <formula>15000</formula>
    </cfRule>
  </conditionalFormatting>
  <conditionalFormatting sqref="U1 U1002:U1048576 T1:T1001">
    <cfRule type="containsText" dxfId="12" priority="20" operator="containsText" text="high">
      <formula>NOT(ISERROR(SEARCH("high",T1)))</formula>
    </cfRule>
    <cfRule type="containsText" dxfId="11" priority="21" operator="containsText" text="low">
      <formula>NOT(ISERROR(SEARCH("low",T1)))</formula>
    </cfRule>
  </conditionalFormatting>
  <conditionalFormatting sqref="T1002:T1048576 S1:S1001">
    <cfRule type="containsText" dxfId="10" priority="14" operator="containsText" text="y">
      <formula>NOT(ISERROR(SEARCH("y",S1)))</formula>
    </cfRule>
    <cfRule type="containsText" dxfId="9" priority="17" operator="containsText" text="no">
      <formula>NOT(ISERROR(SEARCH("no",S1)))</formula>
    </cfRule>
  </conditionalFormatting>
  <conditionalFormatting sqref="S1002:S1048576 R2:R1001">
    <cfRule type="cellIs" dxfId="8" priority="16" operator="greaterThan">
      <formula>4</formula>
    </cfRule>
  </conditionalFormatting>
  <conditionalFormatting sqref="S1002:S1048576 R1:R1001">
    <cfRule type="cellIs" dxfId="7" priority="13" operator="lessThan">
      <formula>4.5</formula>
    </cfRule>
    <cfRule type="cellIs" dxfId="6" priority="15" operator="lessThan">
      <formula>4</formula>
    </cfRule>
  </conditionalFormatting>
  <conditionalFormatting sqref="R1002:R1048576 Q1:Q1001">
    <cfRule type="containsText" dxfId="5" priority="10" operator="containsText" text="young">
      <formula>NOT(ISERROR(SEARCH("young",Q1)))</formula>
    </cfRule>
    <cfRule type="containsText" dxfId="4" priority="11" operator="containsText" text="sen">
      <formula>NOT(ISERROR(SEARCH("sen",Q1)))</formula>
    </cfRule>
    <cfRule type="containsText" dxfId="3" priority="12" stopIfTrue="1" operator="containsText" text="midd">
      <formula>NOT(ISERROR(SEARCH("midd",Q1)))</formula>
    </cfRule>
  </conditionalFormatting>
  <conditionalFormatting sqref="P1002:P1048576 O1:O1001">
    <cfRule type="cellIs" dxfId="2" priority="3" operator="equal">
      <formula>1</formula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{5DB25541-3266-455C-8933-BCD17268CA72}</x14:id>
        </ext>
      </extLst>
    </cfRule>
    <cfRule type="cellIs" dxfId="1" priority="6" operator="equal">
      <formula>1</formula>
    </cfRule>
    <cfRule type="cellIs" dxfId="0" priority="7" stopIfTrue="1" operator="equal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D7D89A-94F8-4D94-9490-B79E9E0C06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5DB25541-3266-455C-8933-BCD17268C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P1002:P1048576 O1:O1001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J1" sqref="J1"/>
    </sheetView>
  </sheetViews>
  <sheetFormatPr defaultColWidth="11.88671875" defaultRowHeight="14.4" x14ac:dyDescent="0.3"/>
  <cols>
    <col min="2" max="2" width="14.5546875" customWidth="1"/>
    <col min="6" max="6" width="16.21875" bestFit="1" customWidth="1"/>
    <col min="7" max="7" width="12.6640625" bestFit="1" customWidth="1"/>
    <col min="8" max="8" width="13.88671875" customWidth="1"/>
    <col min="10" max="10" width="18.77734375" customWidth="1"/>
    <col min="13" max="13" width="15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E8D2D0-454E-422B-B944-BDDA891138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shinaz mohamed</cp:lastModifiedBy>
  <dcterms:created xsi:type="dcterms:W3CDTF">2022-03-18T02:50:57Z</dcterms:created>
  <dcterms:modified xsi:type="dcterms:W3CDTF">2026-02-21T18:30:18Z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